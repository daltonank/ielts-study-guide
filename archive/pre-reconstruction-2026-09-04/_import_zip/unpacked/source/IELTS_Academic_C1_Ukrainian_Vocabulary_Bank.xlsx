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tables/table4.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c082040ca32a43cf" /></Relationships>
</file>

<file path=xl/workbook.xml><?xml version="1.0" encoding="utf-8"?>
<x:workbook xmlns:x="http://schemas.openxmlformats.org/spreadsheetml/2006/main">
  <x:sheets>
    <x:sheet xmlns:r="http://schemas.openxmlformats.org/officeDocument/2006/relationships" name="Read Me" sheetId="1" r:id="Rf5bc1a6bbb704463"/>
    <x:sheet xmlns:r="http://schemas.openxmlformats.org/officeDocument/2006/relationships" name="Dashboard" sheetId="2" r:id="Ra73b0514d7aa4104"/>
    <x:sheet xmlns:r="http://schemas.openxmlformats.org/officeDocument/2006/relationships" name="Oxford C1 Bank" sheetId="3" r:id="Rb9ce9baa5bf54231"/>
    <x:sheet xmlns:r="http://schemas.openxmlformats.org/officeDocument/2006/relationships" name="Academic Word List" sheetId="4" r:id="Receeb582e4024c5d"/>
    <x:sheet xmlns:r="http://schemas.openxmlformats.org/officeDocument/2006/relationships" name="Starter 100" sheetId="5" r:id="R0f2c7862dfd04cdf"/>
    <x:sheet xmlns:r="http://schemas.openxmlformats.org/officeDocument/2006/relationships" name="Study Bank" sheetId="6" r:id="R09911e1146ba48b4"/>
  </x:sheets>
</x:workbook>
</file>

<file path=xl/sharedStrings.xml><?xml version="1.0" encoding="utf-8"?>
<x:sst xmlns:x="http://schemas.openxmlformats.org/spreadsheetml/2006/main"/>
</file>

<file path=xl/styles.xml><?xml version="1.0" encoding="utf-8"?>
<x:styleSheet xmlns:x="http://schemas.openxmlformats.org/spreadsheetml/2006/main">
  <x:numFmts count="3">
    <x:numFmt numFmtId="200" formatCode="0%"/>
    <x:numFmt numFmtId="201" formatCode="0"/>
    <x:numFmt numFmtId="202" formatCode="yyyy-mm-dd"/>
  </x:numFmts>
  <x:fonts count="13">
    <x:font>
      <x:sz val="11"/>
      <x:name val="Carlito"/>
    </x:font>
    <x:font>
      <x:b/>
      <x:sz val="20"/>
      <x:color rgb="FFFFFFFF"/>
      <x:name val="Aptos Display"/>
    </x:font>
    <x:font>
      <x:i/>
      <x:sz val="10"/>
      <x:color rgb="FF5B6876"/>
      <x:name val="Aptos"/>
    </x:font>
    <x:font>
      <x:b/>
      <x:sz val="13"/>
      <x:color rgb="FFFFFFFF"/>
      <x:name val="Carlito"/>
    </x:font>
    <x:font>
      <x:b/>
      <x:sz val="11"/>
      <x:color rgb="FF17324D"/>
      <x:name val="Carlito"/>
    </x:font>
    <x:font>
      <x:b/>
      <x:sz val="11"/>
      <x:color rgb="FF1F2937"/>
      <x:name val="Carlito"/>
    </x:font>
    <x:font>
      <x:b/>
      <x:sz val="10"/>
      <x:color rgb="FFFFFFFF"/>
      <x:name val="Aptos"/>
    </x:font>
    <x:font>
      <x:b/>
      <x:sz val="11"/>
      <x:color rgb="FFFFFFFF"/>
      <x:name val="Carlito"/>
    </x:font>
    <x:font>
      <x:b/>
      <x:sz val="20"/>
      <x:color rgb="FF17324D"/>
      <x:name val="Carlito"/>
    </x:font>
    <x:font>
      <x:b/>
      <x:sz val="18"/>
      <x:color rgb="FF17324D"/>
      <x:name val="Carlito"/>
    </x:font>
    <x:font>
      <x:b/>
      <x:sz val="16"/>
      <x:color rgb="FF17324D"/>
      <x:name val="Carlito"/>
    </x:font>
    <x:font>
      <x:i/>
      <x:sz val="11"/>
      <x:color rgb="FF1F2937"/>
      <x:name val="Carlito"/>
    </x:font>
    <x:font>
      <x:sz val="10"/>
      <x:color rgb="FF1F2937"/>
      <x:name val="Aptos"/>
    </x:font>
  </x:fonts>
  <x:fills count="14">
    <x:fill>
      <x:patternFill patternType="none"/>
    </x:fill>
    <x:fill>
      <x:patternFill patternType="gray125"/>
    </x:fill>
    <x:fill>
      <x:patternFill patternType="solid">
        <x:fgColor rgb="FF17324D"/>
      </x:patternFill>
    </x:fill>
    <x:fill>
      <x:patternFill patternType="solid">
        <x:fgColor rgb="FFEAF2F8"/>
      </x:patternFill>
    </x:fill>
    <x:fill>
      <x:patternFill patternType="solid">
        <x:fgColor rgb="FF3A7D78"/>
      </x:patternFill>
    </x:fill>
    <x:fill>
      <x:patternFill patternType="solid">
        <x:fgColor rgb="FFFFF5DC"/>
      </x:patternFill>
    </x:fill>
    <x:fill>
      <x:patternFill patternType="solid">
        <x:fgColor rgb="FF2F6690"/>
      </x:patternFill>
    </x:fill>
    <x:fill>
      <x:patternFill patternType="solid">
        <x:fgColor rgb="FFE9F5F3"/>
      </x:patternFill>
    </x:fill>
    <x:fill>
      <x:patternFill patternType="solid">
        <x:fgColor rgb="FFD6A84B"/>
      </x:patternFill>
    </x:fill>
    <x:fill>
      <x:patternFill patternType="solid">
        <x:fgColor rgb="FFFFFDF5"/>
      </x:patternFill>
    </x:fill>
    <x:fill>
      <x:patternFill patternType="solid">
        <x:fgColor rgb="FF17324D"/>
      </x:patternFill>
    </x:fill>
    <x:fill>
      <x:patternFill patternType="solid">
        <x:fgColor rgb="FFEAF2F8"/>
      </x:patternFill>
    </x:fill>
    <x:fill>
      <x:patternFill patternType="solid">
        <x:fgColor rgb="FF2F6690"/>
      </x:patternFill>
    </x:fill>
    <x:fill>
      <x:patternFill patternType="solid">
        <x:fgColor rgb="FFFFFDF5"/>
      </x:patternFill>
    </x:fill>
  </x:fills>
  <x:borders count="17">
    <x:border/>
    <x:border>
      <x:right style="thin">
        <x:color rgb="FFCFD8E3"/>
      </x:right>
      <x:bottom style="thin">
        <x:color rgb="FFCFD8E3"/>
      </x:bottom>
    </x:border>
    <x:border>
      <x:left style="thin">
        <x:color rgb="FFCFD8E3"/>
      </x:left>
      <x:right style="thin">
        <x:color rgb="FFCFD8E3"/>
      </x:right>
      <x:bottom style="thin">
        <x:color rgb="FFCFD8E3"/>
      </x:bottom>
    </x:border>
    <x:border>
      <x:left style="thin">
        <x:color rgb="FFCFD8E3"/>
      </x:left>
      <x:bottom style="thin">
        <x:color rgb="FFCFD8E3"/>
      </x:bottom>
    </x:border>
    <x:border>
      <x:right style="thin">
        <x:color rgb="FFCFD8E3"/>
      </x:right>
      <x:top style="thin">
        <x:color rgb="FFCFD8E3"/>
      </x:top>
      <x:bottom style="thin">
        <x:color rgb="FFCFD8E3"/>
      </x:bottom>
    </x:border>
    <x:border>
      <x:left style="thin">
        <x:color rgb="FFCFD8E3"/>
      </x:left>
      <x:right style="thin">
        <x:color rgb="FFCFD8E3"/>
      </x:right>
      <x:top style="thin">
        <x:color rgb="FFCFD8E3"/>
      </x:top>
      <x:bottom style="thin">
        <x:color rgb="FFCFD8E3"/>
      </x:bottom>
    </x:border>
    <x:border>
      <x:left style="thin">
        <x:color rgb="FFCFD8E3"/>
      </x:left>
      <x:top style="thin">
        <x:color rgb="FFCFD8E3"/>
      </x:top>
      <x:bottom style="thin">
        <x:color rgb="FFCFD8E3"/>
      </x:bottom>
    </x:border>
    <x:border>
      <x:right style="thin">
        <x:color rgb="FFCFD8E3"/>
      </x:right>
      <x:top style="thin">
        <x:color rgb="FFCFD8E3"/>
      </x:top>
    </x:border>
    <x:border>
      <x:left style="thin">
        <x:color rgb="FFCFD8E3"/>
      </x:left>
      <x:right style="thin">
        <x:color rgb="FFCFD8E3"/>
      </x:right>
      <x:top style="thin">
        <x:color rgb="FFCFD8E3"/>
      </x:top>
    </x:border>
    <x:border>
      <x:left style="thin">
        <x:color rgb="FFCFD8E3"/>
      </x:left>
      <x:top style="thin">
        <x:color rgb="FFCFD8E3"/>
      </x:top>
    </x:border>
    <x:border>
      <x:left style="thin">
        <x:color rgb="FF17324D"/>
      </x:left>
      <x:top style="thin">
        <x:color rgb="FF17324D"/>
      </x:top>
      <x:bottom style="thin">
        <x:color rgb="FF17324D"/>
      </x:bottom>
    </x:border>
    <x:border>
      <x:top style="thin">
        <x:color rgb="FF17324D"/>
      </x:top>
      <x:bottom style="thin">
        <x:color rgb="FF17324D"/>
      </x:bottom>
    </x:border>
    <x:border>
      <x:right style="thin">
        <x:color rgb="FF17324D"/>
      </x:right>
      <x:top style="thin">
        <x:color rgb="FF17324D"/>
      </x:top>
      <x:bottom style="thin">
        <x:color rgb="FF17324D"/>
      </x:bottom>
    </x:border>
    <x:border>
      <x:top style="thin">
        <x:color rgb="FFCFD8E3"/>
      </x:top>
    </x:border>
    <x:border>
      <x:left style="thin">
        <x:color rgb="FFCFD8E3"/>
      </x:left>
    </x:border>
    <x:border>
      <x:right style="thin">
        <x:color rgb="FFCFD8E3"/>
      </x:right>
    </x:border>
    <x:border>
      <x:bottom style="thin">
        <x:color rgb="FFCFD8E3"/>
      </x:bottom>
    </x:border>
  </x:borders>
  <x:cellStyleXfs count="1">
    <x:xf numFmtId="0" fontId="0" fillId="0" borderId="0"/>
  </x:cellStyleXfs>
  <x:cellXfs count="196">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vertical="center"/>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vertical="center"/>
    </x:xf>
    <x:xf numFmtId="0" fontId="0" fillId="4" borderId="0" xfId="0" applyNumberFormat="1" applyFont="1" applyFill="1" applyBorder="1"/>
    <x:xf numFmtId="0" fontId="3" fillId="4" borderId="0" xfId="0" applyNumberFormat="1" applyFont="1" applyFill="1" applyBorder="1"/>
    <x:xf numFmtId="0" fontId="0" fillId="5" borderId="0" xfId="0" applyNumberFormat="1" applyFont="1" applyFill="1" applyBorder="1"/>
    <x:xf numFmtId="0" fontId="4" fillId="5" borderId="0" xfId="0" applyNumberFormat="1" applyFont="1" applyFill="1" applyBorder="1"/>
    <x:xf numFmtId="0" fontId="4" fillId="5" borderId="0" xfId="0" applyNumberFormat="1" applyFont="1" applyFill="1" applyBorder="1" applyAlignment="1">
      <x:alignment horizontal="center"/>
    </x:xf>
    <x:xf numFmtId="0" fontId="5" fillId="0" borderId="0" xfId="0" applyNumberFormat="1" applyFont="1" applyFill="1" applyBorder="1"/>
    <x:xf numFmtId="0" fontId="5" fillId="0" borderId="0" xfId="0" applyNumberFormat="1" applyFont="1" applyFill="1" applyBorder="1" applyAlignment="1">
      <x:alignment wrapText="1"/>
    </x:xf>
    <x:xf numFmtId="0" fontId="0" fillId="0" borderId="0" xfId="0" applyNumberFormat="1" applyFont="1" applyFill="1" applyBorder="1" applyAlignment="1">
      <x:alignment wrapText="1"/>
    </x:xf>
    <x:xf numFmtId="0" fontId="4" fillId="5" borderId="1" xfId="0" applyNumberFormat="1" applyFont="1" applyFill="1" applyBorder="1" applyAlignment="1">
      <x:alignment horizontal="center"/>
    </x:xf>
    <x:xf numFmtId="0" fontId="5" fillId="0" borderId="2" xfId="0" applyNumberFormat="1" applyFont="1" applyFill="1" applyBorder="1" applyAlignment="1">
      <x:alignment wrapText="1"/>
    </x:xf>
    <x:xf numFmtId="0" fontId="0" fillId="0" borderId="2" xfId="0" applyNumberFormat="1" applyFont="1" applyFill="1" applyBorder="1" applyAlignment="1">
      <x:alignment wrapText="1"/>
    </x:xf>
    <x:xf numFmtId="0" fontId="0" fillId="0" borderId="3" xfId="0" applyNumberFormat="1" applyFont="1" applyFill="1" applyBorder="1" applyAlignment="1">
      <x:alignment wrapText="1"/>
    </x:xf>
    <x:xf numFmtId="0" fontId="4" fillId="5" borderId="4" xfId="0" applyNumberFormat="1" applyFont="1" applyFill="1" applyBorder="1" applyAlignment="1">
      <x:alignment horizontal="center"/>
    </x:xf>
    <x:xf numFmtId="0" fontId="5" fillId="0" borderId="5" xfId="0" applyNumberFormat="1" applyFont="1" applyFill="1" applyBorder="1" applyAlignment="1">
      <x:alignment wrapText="1"/>
    </x:xf>
    <x:xf numFmtId="0" fontId="0" fillId="0" borderId="5" xfId="0" applyNumberFormat="1" applyFont="1" applyFill="1" applyBorder="1" applyAlignment="1">
      <x:alignment wrapText="1"/>
    </x:xf>
    <x:xf numFmtId="0" fontId="0" fillId="0" borderId="6" xfId="0" applyNumberFormat="1" applyFont="1" applyFill="1" applyBorder="1" applyAlignment="1">
      <x:alignment wrapText="1"/>
    </x:xf>
    <x:xf numFmtId="0" fontId="4" fillId="5" borderId="7" xfId="0" applyNumberFormat="1" applyFont="1" applyFill="1" applyBorder="1" applyAlignment="1">
      <x:alignment horizontal="center"/>
    </x:xf>
    <x:xf numFmtId="0" fontId="5" fillId="0" borderId="8" xfId="0" applyNumberFormat="1" applyFont="1" applyFill="1" applyBorder="1" applyAlignment="1">
      <x:alignment wrapText="1"/>
    </x:xf>
    <x:xf numFmtId="0" fontId="0" fillId="0" borderId="8" xfId="0" applyNumberFormat="1" applyFont="1" applyFill="1" applyBorder="1" applyAlignment="1">
      <x:alignment wrapText="1"/>
    </x:xf>
    <x:xf numFmtId="0" fontId="0" fillId="0" borderId="9" xfId="0" applyNumberFormat="1" applyFont="1" applyFill="1" applyBorder="1" applyAlignment="1">
      <x:alignment wrapText="1"/>
    </x:xf>
    <x:xf numFmtId="0" fontId="0" fillId="6" borderId="0" xfId="0" applyNumberFormat="1" applyFont="1" applyFill="1" applyBorder="1"/>
    <x:xf numFmtId="0" fontId="6" fillId="6" borderId="0" xfId="0" applyNumberFormat="1" applyFont="1" applyFill="1" applyBorder="1"/>
    <x:xf numFmtId="0" fontId="6" fillId="6" borderId="10" xfId="0" applyNumberFormat="1" applyFont="1" applyFill="1" applyBorder="1"/>
    <x:xf numFmtId="0" fontId="6" fillId="6" borderId="11" xfId="0" applyNumberFormat="1" applyFont="1" applyFill="1" applyBorder="1"/>
    <x:xf numFmtId="0" fontId="6" fillId="6" borderId="12" xfId="0" applyNumberFormat="1" applyFont="1" applyFill="1" applyBorder="1"/>
    <x:xf numFmtId="0" fontId="6" fillId="6" borderId="10" xfId="0" applyNumberFormat="1" applyFont="1" applyFill="1" applyBorder="1" applyAlignment="1">
      <x:alignment wrapText="1"/>
    </x:xf>
    <x:xf numFmtId="0" fontId="6" fillId="6" borderId="11" xfId="0" applyNumberFormat="1" applyFont="1" applyFill="1" applyBorder="1" applyAlignment="1">
      <x:alignment wrapText="1"/>
    </x:xf>
    <x:xf numFmtId="0" fontId="6" fillId="6" borderId="12" xfId="0" applyNumberFormat="1" applyFont="1" applyFill="1" applyBorder="1" applyAlignment="1">
      <x:alignment wrapText="1"/>
    </x:xf>
    <x:xf numFmtId="0" fontId="6" fillId="6" borderId="10" xfId="0" applyNumberFormat="1" applyFont="1" applyFill="1" applyBorder="1" applyAlignment="1">
      <x:alignment vertical="center" wrapText="1"/>
    </x:xf>
    <x:xf numFmtId="0" fontId="6" fillId="6" borderId="11" xfId="0" applyNumberFormat="1" applyFont="1" applyFill="1" applyBorder="1" applyAlignment="1">
      <x:alignment vertical="center" wrapText="1"/>
    </x:xf>
    <x:xf numFmtId="0" fontId="6" fillId="6" borderId="12" xfId="0" applyNumberFormat="1" applyFont="1" applyFill="1" applyBorder="1" applyAlignment="1">
      <x:alignment vertical="center" wrapText="1"/>
    </x:xf>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0" fillId="0" borderId="4" xfId="0" applyNumberFormat="1" applyFont="1" applyFill="1" applyBorder="1"/>
    <x:xf numFmtId="0" fontId="0" fillId="0" borderId="5" xfId="0" applyNumberFormat="1" applyFont="1" applyFill="1" applyBorder="1"/>
    <x:xf numFmtId="0" fontId="0" fillId="0" borderId="6" xfId="0" applyNumberFormat="1" applyFont="1" applyFill="1" applyBorder="1"/>
    <x:xf numFmtId="0" fontId="0" fillId="0" borderId="7" xfId="0" applyNumberFormat="1" applyFont="1" applyFill="1" applyBorder="1"/>
    <x:xf numFmtId="0" fontId="0" fillId="0" borderId="8" xfId="0" applyNumberFormat="1" applyFont="1" applyFill="1" applyBorder="1"/>
    <x:xf numFmtId="0" fontId="0" fillId="0" borderId="9" xfId="0" applyNumberFormat="1" applyFont="1" applyFill="1" applyBorder="1"/>
    <x:xf numFmtId="0" fontId="0" fillId="0" borderId="1" xfId="0" applyNumberFormat="1" applyFont="1" applyFill="1" applyBorder="1" applyAlignment="1">
      <x:alignment wrapText="1"/>
    </x:xf>
    <x:xf numFmtId="0" fontId="0" fillId="0" borderId="4" xfId="0" applyNumberFormat="1" applyFont="1" applyFill="1" applyBorder="1" applyAlignment="1">
      <x:alignment wrapText="1"/>
    </x:xf>
    <x:xf numFmtId="0" fontId="0" fillId="0" borderId="7" xfId="0" applyNumberFormat="1" applyFont="1" applyFill="1" applyBorder="1" applyAlignment="1">
      <x:alignment wrapText="1"/>
    </x:xf>
    <x:xf numFmtId="0" fontId="7" fillId="6" borderId="0" xfId="0" applyNumberFormat="1" applyFont="1" applyFill="1" applyBorder="1"/>
    <x:xf numFmtId="0" fontId="7" fillId="6" borderId="0" xfId="0" applyNumberFormat="1" applyFont="1" applyFill="1" applyBorder="1" applyAlignment="1">
      <x:alignment horizontal="center"/>
    </x:xf>
    <x:xf numFmtId="0" fontId="8" fillId="3" borderId="0" xfId="0" applyNumberFormat="1" applyFont="1" applyFill="1" applyBorder="1"/>
    <x:xf numFmtId="0" fontId="8" fillId="3" borderId="9" xfId="0" applyNumberFormat="1" applyFont="1" applyFill="1" applyBorder="1"/>
    <x:xf numFmtId="0" fontId="8" fillId="3" borderId="7" xfId="0" applyNumberFormat="1" applyFont="1" applyFill="1" applyBorder="1"/>
    <x:xf numFmtId="0" fontId="8" fillId="3" borderId="3" xfId="0" applyNumberFormat="1" applyFont="1" applyFill="1" applyBorder="1"/>
    <x:xf numFmtId="0" fontId="8" fillId="3" borderId="1" xfId="0" applyNumberFormat="1" applyFont="1" applyFill="1" applyBorder="1"/>
    <x:xf numFmtId="0" fontId="8" fillId="3" borderId="9" xfId="0" applyNumberFormat="1" applyFont="1" applyFill="1" applyBorder="1" applyAlignment="1">
      <x:alignment horizontal="center"/>
    </x:xf>
    <x:xf numFmtId="0" fontId="8" fillId="3" borderId="7" xfId="0" applyNumberFormat="1" applyFont="1" applyFill="1" applyBorder="1" applyAlignment="1">
      <x:alignment horizontal="center"/>
    </x:xf>
    <x:xf numFmtId="0" fontId="8" fillId="3" borderId="3" xfId="0" applyNumberFormat="1" applyFont="1" applyFill="1" applyBorder="1" applyAlignment="1">
      <x:alignment horizontal="center"/>
    </x:xf>
    <x:xf numFmtId="0" fontId="8" fillId="3" borderId="1" xfId="0" applyNumberFormat="1" applyFont="1" applyFill="1" applyBorder="1" applyAlignment="1">
      <x:alignment horizontal="center"/>
    </x:xf>
    <x:xf numFmtId="0" fontId="8" fillId="3" borderId="9" xfId="0" applyNumberFormat="1" applyFont="1" applyFill="1" applyBorder="1" applyAlignment="1">
      <x:alignment horizontal="center" vertical="center"/>
    </x:xf>
    <x:xf numFmtId="0" fontId="8" fillId="3" borderId="7" xfId="0" applyNumberFormat="1" applyFont="1" applyFill="1" applyBorder="1" applyAlignment="1">
      <x:alignment horizontal="center" vertical="center"/>
    </x:xf>
    <x:xf numFmtId="0" fontId="8" fillId="3" borderId="3" xfId="0" applyNumberFormat="1" applyFont="1" applyFill="1" applyBorder="1" applyAlignment="1">
      <x:alignment horizontal="center" vertical="center"/>
    </x:xf>
    <x:xf numFmtId="0" fontId="8" fillId="3" borderId="1" xfId="0" applyNumberFormat="1" applyFont="1" applyFill="1" applyBorder="1" applyAlignment="1">
      <x:alignment horizontal="center" vertical="center"/>
    </x:xf>
    <x:xf numFmtId="0" fontId="7" fillId="4" borderId="0" xfId="0" applyNumberFormat="1" applyFont="1" applyFill="1" applyBorder="1"/>
    <x:xf numFmtId="0" fontId="7" fillId="4" borderId="0" xfId="0" applyNumberFormat="1" applyFont="1" applyFill="1" applyBorder="1" applyAlignment="1">
      <x:alignment horizontal="center"/>
    </x:xf>
    <x:xf numFmtId="0" fontId="0" fillId="7" borderId="0" xfId="0" applyNumberFormat="1" applyFont="1" applyFill="1" applyBorder="1"/>
    <x:xf numFmtId="0" fontId="9" fillId="7" borderId="0" xfId="0" applyNumberFormat="1" applyFont="1" applyFill="1" applyBorder="1"/>
    <x:xf numFmtId="0" fontId="9" fillId="7" borderId="9" xfId="0" applyNumberFormat="1" applyFont="1" applyFill="1" applyBorder="1"/>
    <x:xf numFmtId="0" fontId="9" fillId="7" borderId="7" xfId="0" applyNumberFormat="1" applyFont="1" applyFill="1" applyBorder="1"/>
    <x:xf numFmtId="0" fontId="9" fillId="7" borderId="3" xfId="0" applyNumberFormat="1" applyFont="1" applyFill="1" applyBorder="1"/>
    <x:xf numFmtId="0" fontId="9" fillId="7" borderId="1" xfId="0" applyNumberFormat="1" applyFont="1" applyFill="1" applyBorder="1"/>
    <x:xf numFmtId="0" fontId="9" fillId="7" borderId="9" xfId="0" applyNumberFormat="1" applyFont="1" applyFill="1" applyBorder="1" applyAlignment="1">
      <x:alignment horizontal="center"/>
    </x:xf>
    <x:xf numFmtId="0" fontId="9" fillId="7" borderId="7" xfId="0" applyNumberFormat="1" applyFont="1" applyFill="1" applyBorder="1" applyAlignment="1">
      <x:alignment horizontal="center"/>
    </x:xf>
    <x:xf numFmtId="0" fontId="9" fillId="7" borderId="3" xfId="0" applyNumberFormat="1" applyFont="1" applyFill="1" applyBorder="1" applyAlignment="1">
      <x:alignment horizontal="center"/>
    </x:xf>
    <x:xf numFmtId="0" fontId="9" fillId="7" borderId="1" xfId="0" applyNumberFormat="1" applyFont="1" applyFill="1" applyBorder="1" applyAlignment="1">
      <x:alignment horizontal="center"/>
    </x:xf>
    <x:xf numFmtId="0" fontId="9" fillId="7" borderId="9" xfId="0" applyNumberFormat="1" applyFont="1" applyFill="1" applyBorder="1" applyAlignment="1">
      <x:alignment horizontal="center" vertical="center"/>
    </x:xf>
    <x:xf numFmtId="0" fontId="9" fillId="7" borderId="7" xfId="0" applyNumberFormat="1" applyFont="1" applyFill="1" applyBorder="1" applyAlignment="1">
      <x:alignment horizontal="center" vertical="center"/>
    </x:xf>
    <x:xf numFmtId="0" fontId="9" fillId="7" borderId="3" xfId="0" applyNumberFormat="1" applyFont="1" applyFill="1" applyBorder="1" applyAlignment="1">
      <x:alignment horizontal="center" vertical="center"/>
    </x:xf>
    <x:xf numFmtId="0" fontId="9" fillId="7" borderId="1" xfId="0" applyNumberFormat="1" applyFont="1" applyFill="1" applyBorder="1" applyAlignment="1">
      <x:alignment horizontal="center" vertical="center"/>
    </x:xf>
    <x:xf numFmtId="0" fontId="0" fillId="8" borderId="0" xfId="0" applyNumberFormat="1" applyFont="1" applyFill="1" applyBorder="1"/>
    <x:xf numFmtId="0" fontId="4" fillId="8" borderId="0" xfId="0" applyNumberFormat="1" applyFont="1" applyFill="1" applyBorder="1"/>
    <x:xf numFmtId="0" fontId="4" fillId="8"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0" fontId="0" fillId="5" borderId="0" xfId="0" applyNumberFormat="1" applyFont="1" applyFill="1" applyBorder="1"/>
    <x:xf numFmtId="200" fontId="10" fillId="5" borderId="0" xfId="0" applyNumberFormat="1" applyFont="1" applyFill="1" applyBorder="1"/>
    <x:xf numFmtId="200" fontId="10" fillId="5" borderId="9" xfId="0" applyNumberFormat="1" applyFont="1" applyFill="1" applyBorder="1"/>
    <x:xf numFmtId="200" fontId="10" fillId="5" borderId="7" xfId="0" applyNumberFormat="1" applyFont="1" applyFill="1" applyBorder="1"/>
    <x:xf numFmtId="200" fontId="10" fillId="5" borderId="3" xfId="0" applyNumberFormat="1" applyFont="1" applyFill="1" applyBorder="1"/>
    <x:xf numFmtId="200" fontId="10" fillId="5" borderId="1" xfId="0" applyNumberFormat="1" applyFont="1" applyFill="1" applyBorder="1"/>
    <x:xf numFmtId="200" fontId="10" fillId="5" borderId="9" xfId="0" applyNumberFormat="1" applyFont="1" applyFill="1" applyBorder="1" applyAlignment="1">
      <x:alignment wrapText="1"/>
    </x:xf>
    <x:xf numFmtId="200" fontId="10" fillId="5" borderId="7" xfId="0" applyNumberFormat="1" applyFont="1" applyFill="1" applyBorder="1" applyAlignment="1">
      <x:alignment wrapText="1"/>
    </x:xf>
    <x:xf numFmtId="200" fontId="10" fillId="5" borderId="3" xfId="0" applyNumberFormat="1" applyFont="1" applyFill="1" applyBorder="1" applyAlignment="1">
      <x:alignment wrapText="1"/>
    </x:xf>
    <x:xf numFmtId="200" fontId="10" fillId="5" borderId="1" xfId="0" applyNumberFormat="1" applyFont="1" applyFill="1" applyBorder="1" applyAlignment="1">
      <x:alignment wrapText="1"/>
    </x:xf>
    <x:xf numFmtId="200" fontId="10" fillId="5" borderId="9" xfId="0" applyNumberFormat="1" applyFont="1" applyFill="1" applyBorder="1" applyAlignment="1">
      <x:alignment horizontal="center" wrapText="1"/>
    </x:xf>
    <x:xf numFmtId="200" fontId="10" fillId="5" borderId="7" xfId="0" applyNumberFormat="1" applyFont="1" applyFill="1" applyBorder="1" applyAlignment="1">
      <x:alignment horizontal="center" wrapText="1"/>
    </x:xf>
    <x:xf numFmtId="200" fontId="10" fillId="5" borderId="3" xfId="0" applyNumberFormat="1" applyFont="1" applyFill="1" applyBorder="1" applyAlignment="1">
      <x:alignment horizontal="center" wrapText="1"/>
    </x:xf>
    <x:xf numFmtId="200" fontId="10" fillId="5" borderId="1" xfId="0" applyNumberFormat="1" applyFont="1" applyFill="1" applyBorder="1" applyAlignment="1">
      <x:alignment horizontal="center" wrapText="1"/>
    </x:xf>
    <x:xf numFmtId="200" fontId="10" fillId="5" borderId="9" xfId="0" applyNumberFormat="1" applyFont="1" applyFill="1" applyBorder="1" applyAlignment="1">
      <x:alignment horizontal="center" vertical="center" wrapText="1"/>
    </x:xf>
    <x:xf numFmtId="200" fontId="10" fillId="5" borderId="7" xfId="0" applyNumberFormat="1" applyFont="1" applyFill="1" applyBorder="1" applyAlignment="1">
      <x:alignment horizontal="center" vertical="center" wrapText="1"/>
    </x:xf>
    <x:xf numFmtId="200" fontId="10" fillId="5" borderId="3" xfId="0" applyNumberFormat="1" applyFont="1" applyFill="1" applyBorder="1" applyAlignment="1">
      <x:alignment horizontal="center" vertical="center" wrapText="1"/>
    </x:xf>
    <x:xf numFmtId="200" fontId="10" fillId="5" borderId="1" xfId="0" applyNumberFormat="1" applyFont="1" applyFill="1" applyBorder="1" applyAlignment="1">
      <x:alignment horizontal="center" vertical="center" wrapText="1"/>
    </x:xf>
    <x:xf numFmtId="201" fontId="0" fillId="5" borderId="0" xfId="0" applyNumberFormat="1" applyFont="1" applyFill="1" applyBorder="1"/>
    <x:xf numFmtId="201" fontId="10" fillId="5" borderId="0" xfId="0" applyNumberFormat="1" applyFont="1" applyFill="1" applyBorder="1"/>
    <x:xf numFmtId="201" fontId="10" fillId="5" borderId="9" xfId="0" applyNumberFormat="1" applyFont="1" applyFill="1" applyBorder="1"/>
    <x:xf numFmtId="201" fontId="10" fillId="5" borderId="7" xfId="0" applyNumberFormat="1" applyFont="1" applyFill="1" applyBorder="1"/>
    <x:xf numFmtId="201" fontId="10" fillId="5" borderId="3" xfId="0" applyNumberFormat="1" applyFont="1" applyFill="1" applyBorder="1"/>
    <x:xf numFmtId="201" fontId="10" fillId="5" borderId="1" xfId="0" applyNumberFormat="1" applyFont="1" applyFill="1" applyBorder="1"/>
    <x:xf numFmtId="201" fontId="10" fillId="5" borderId="9" xfId="0" applyNumberFormat="1" applyFont="1" applyFill="1" applyBorder="1" applyAlignment="1">
      <x:alignment wrapText="1"/>
    </x:xf>
    <x:xf numFmtId="201" fontId="10" fillId="5" borderId="7" xfId="0" applyNumberFormat="1" applyFont="1" applyFill="1" applyBorder="1" applyAlignment="1">
      <x:alignment wrapText="1"/>
    </x:xf>
    <x:xf numFmtId="201" fontId="10" fillId="5" borderId="3" xfId="0" applyNumberFormat="1" applyFont="1" applyFill="1" applyBorder="1" applyAlignment="1">
      <x:alignment wrapText="1"/>
    </x:xf>
    <x:xf numFmtId="201" fontId="10" fillId="5" borderId="1" xfId="0" applyNumberFormat="1" applyFont="1" applyFill="1" applyBorder="1" applyAlignment="1">
      <x:alignment wrapText="1"/>
    </x:xf>
    <x:xf numFmtId="201" fontId="10" fillId="5" borderId="9" xfId="0" applyNumberFormat="1" applyFont="1" applyFill="1" applyBorder="1" applyAlignment="1">
      <x:alignment horizontal="center" wrapText="1"/>
    </x:xf>
    <x:xf numFmtId="201" fontId="10" fillId="5" borderId="7" xfId="0" applyNumberFormat="1" applyFont="1" applyFill="1" applyBorder="1" applyAlignment="1">
      <x:alignment horizontal="center" wrapText="1"/>
    </x:xf>
    <x:xf numFmtId="201" fontId="10" fillId="5" borderId="3" xfId="0" applyNumberFormat="1" applyFont="1" applyFill="1" applyBorder="1" applyAlignment="1">
      <x:alignment horizontal="center" wrapText="1"/>
    </x:xf>
    <x:xf numFmtId="201" fontId="10" fillId="5" borderId="1" xfId="0" applyNumberFormat="1" applyFont="1" applyFill="1" applyBorder="1" applyAlignment="1">
      <x:alignment horizontal="center" wrapText="1"/>
    </x:xf>
    <x:xf numFmtId="201" fontId="10" fillId="5" borderId="9" xfId="0" applyNumberFormat="1" applyFont="1" applyFill="1" applyBorder="1" applyAlignment="1">
      <x:alignment horizontal="center" vertical="center" wrapText="1"/>
    </x:xf>
    <x:xf numFmtId="201" fontId="10" fillId="5" borderId="7" xfId="0" applyNumberFormat="1" applyFont="1" applyFill="1" applyBorder="1" applyAlignment="1">
      <x:alignment horizontal="center" vertical="center" wrapText="1"/>
    </x:xf>
    <x:xf numFmtId="201" fontId="10" fillId="5" borderId="3" xfId="0" applyNumberFormat="1" applyFont="1" applyFill="1" applyBorder="1" applyAlignment="1">
      <x:alignment horizontal="center" vertical="center" wrapText="1"/>
    </x:xf>
    <x:xf numFmtId="201" fontId="10" fillId="5" borderId="1" xfId="0" applyNumberFormat="1" applyFont="1" applyFill="1" applyBorder="1" applyAlignment="1">
      <x:alignment horizontal="center" vertical="center" wrapText="1"/>
    </x:xf>
    <x:xf numFmtId="0" fontId="10" fillId="5" borderId="0" xfId="0" applyNumberFormat="1" applyFont="1" applyFill="1" applyBorder="1"/>
    <x:xf numFmtId="0" fontId="10" fillId="5" borderId="9" xfId="0" applyNumberFormat="1" applyFont="1" applyFill="1" applyBorder="1"/>
    <x:xf numFmtId="0" fontId="10" fillId="5" borderId="7" xfId="0" applyNumberFormat="1" applyFont="1" applyFill="1" applyBorder="1"/>
    <x:xf numFmtId="0" fontId="10" fillId="5" borderId="3" xfId="0" applyNumberFormat="1" applyFont="1" applyFill="1" applyBorder="1"/>
    <x:xf numFmtId="0" fontId="10" fillId="5" borderId="1" xfId="0" applyNumberFormat="1" applyFont="1" applyFill="1" applyBorder="1"/>
    <x:xf numFmtId="0" fontId="10" fillId="5" borderId="9" xfId="0" applyNumberFormat="1" applyFont="1" applyFill="1" applyBorder="1" applyAlignment="1">
      <x:alignment wrapText="1"/>
    </x:xf>
    <x:xf numFmtId="0" fontId="10" fillId="5" borderId="7" xfId="0" applyNumberFormat="1" applyFont="1" applyFill="1" applyBorder="1" applyAlignment="1">
      <x:alignment wrapText="1"/>
    </x:xf>
    <x:xf numFmtId="0" fontId="10" fillId="5" borderId="3" xfId="0" applyNumberFormat="1" applyFont="1" applyFill="1" applyBorder="1" applyAlignment="1">
      <x:alignment wrapText="1"/>
    </x:xf>
    <x:xf numFmtId="0" fontId="10" fillId="5" borderId="1" xfId="0" applyNumberFormat="1" applyFont="1" applyFill="1" applyBorder="1" applyAlignment="1">
      <x:alignment wrapText="1"/>
    </x:xf>
    <x:xf numFmtId="0" fontId="10" fillId="5" borderId="9" xfId="0" applyNumberFormat="1" applyFont="1" applyFill="1" applyBorder="1" applyAlignment="1">
      <x:alignment horizontal="center" wrapText="1"/>
    </x:xf>
    <x:xf numFmtId="0" fontId="10" fillId="5" borderId="7" xfId="0" applyNumberFormat="1" applyFont="1" applyFill="1" applyBorder="1" applyAlignment="1">
      <x:alignment horizontal="center" wrapText="1"/>
    </x:xf>
    <x:xf numFmtId="0" fontId="10" fillId="5" borderId="3" xfId="0" applyNumberFormat="1" applyFont="1" applyFill="1" applyBorder="1" applyAlignment="1">
      <x:alignment horizontal="center" wrapText="1"/>
    </x:xf>
    <x:xf numFmtId="0" fontId="10" fillId="5" borderId="1" xfId="0" applyNumberFormat="1" applyFont="1" applyFill="1" applyBorder="1" applyAlignment="1">
      <x:alignment horizontal="center" wrapText="1"/>
    </x:xf>
    <x:xf numFmtId="0" fontId="10" fillId="5" borderId="9" xfId="0" applyNumberFormat="1" applyFont="1" applyFill="1" applyBorder="1" applyAlignment="1">
      <x:alignment horizontal="center" vertical="center" wrapText="1"/>
    </x:xf>
    <x:xf numFmtId="0" fontId="10" fillId="5" borderId="7" xfId="0" applyNumberFormat="1" applyFont="1" applyFill="1" applyBorder="1" applyAlignment="1">
      <x:alignment horizontal="center" vertical="center" wrapText="1"/>
    </x:xf>
    <x:xf numFmtId="0" fontId="10" fillId="5" borderId="3" xfId="0" applyNumberFormat="1" applyFont="1" applyFill="1" applyBorder="1" applyAlignment="1">
      <x:alignment horizontal="center" vertical="center" wrapText="1"/>
    </x:xf>
    <x:xf numFmtId="0" fontId="10" fillId="5" borderId="1" xfId="0" applyNumberFormat="1" applyFont="1" applyFill="1" applyBorder="1" applyAlignment="1">
      <x:alignment horizontal="center" vertical="center" wrapText="1"/>
    </x:xf>
    <x:xf numFmtId="0" fontId="11" fillId="3" borderId="0" xfId="0" applyNumberFormat="1" applyFont="1" applyFill="1" applyBorder="1"/>
    <x:xf numFmtId="0" fontId="11" fillId="3" borderId="9" xfId="0" applyNumberFormat="1" applyFont="1" applyFill="1" applyBorder="1"/>
    <x:xf numFmtId="0" fontId="11" fillId="3" borderId="13" xfId="0" applyNumberFormat="1" applyFont="1" applyFill="1" applyBorder="1"/>
    <x:xf numFmtId="0" fontId="11" fillId="3" borderId="7" xfId="0" applyNumberFormat="1" applyFont="1" applyFill="1" applyBorder="1"/>
    <x:xf numFmtId="0" fontId="11" fillId="3" borderId="14" xfId="0" applyNumberFormat="1" applyFont="1" applyFill="1" applyBorder="1"/>
    <x:xf numFmtId="0" fontId="11" fillId="3" borderId="15" xfId="0" applyNumberFormat="1" applyFont="1" applyFill="1" applyBorder="1"/>
    <x:xf numFmtId="0" fontId="11" fillId="3" borderId="3" xfId="0" applyNumberFormat="1" applyFont="1" applyFill="1" applyBorder="1"/>
    <x:xf numFmtId="0" fontId="11" fillId="3" borderId="16" xfId="0" applyNumberFormat="1" applyFont="1" applyFill="1" applyBorder="1"/>
    <x:xf numFmtId="0" fontId="11" fillId="3" borderId="1" xfId="0" applyNumberFormat="1" applyFont="1" applyFill="1" applyBorder="1"/>
    <x:xf numFmtId="0" fontId="11" fillId="3" borderId="9" xfId="0" applyNumberFormat="1" applyFont="1" applyFill="1" applyBorder="1" applyAlignment="1">
      <x:alignment wrapText="1"/>
    </x:xf>
    <x:xf numFmtId="0" fontId="11" fillId="3" borderId="13" xfId="0" applyNumberFormat="1" applyFont="1" applyFill="1" applyBorder="1" applyAlignment="1">
      <x:alignment wrapText="1"/>
    </x:xf>
    <x:xf numFmtId="0" fontId="11" fillId="3" borderId="7" xfId="0" applyNumberFormat="1" applyFont="1" applyFill="1" applyBorder="1" applyAlignment="1">
      <x:alignment wrapText="1"/>
    </x:xf>
    <x:xf numFmtId="0" fontId="11" fillId="3" borderId="14" xfId="0" applyNumberFormat="1" applyFont="1" applyFill="1" applyBorder="1" applyAlignment="1">
      <x:alignment wrapText="1"/>
    </x:xf>
    <x:xf numFmtId="0" fontId="11" fillId="3" borderId="0" xfId="0" applyNumberFormat="1" applyFont="1" applyFill="1" applyBorder="1" applyAlignment="1">
      <x:alignment wrapText="1"/>
    </x:xf>
    <x:xf numFmtId="0" fontId="11" fillId="3" borderId="15" xfId="0" applyNumberFormat="1" applyFont="1" applyFill="1" applyBorder="1" applyAlignment="1">
      <x:alignment wrapText="1"/>
    </x:xf>
    <x:xf numFmtId="0" fontId="11" fillId="3" borderId="3" xfId="0" applyNumberFormat="1" applyFont="1" applyFill="1" applyBorder="1" applyAlignment="1">
      <x:alignment wrapText="1"/>
    </x:xf>
    <x:xf numFmtId="0" fontId="11" fillId="3" borderId="16" xfId="0" applyNumberFormat="1" applyFont="1" applyFill="1" applyBorder="1" applyAlignment="1">
      <x:alignment wrapText="1"/>
    </x:xf>
    <x:xf numFmtId="0" fontId="11" fillId="3" borderId="1" xfId="0" applyNumberFormat="1" applyFont="1" applyFill="1" applyBorder="1" applyAlignment="1">
      <x:alignment wrapText="1"/>
    </x:xf>
    <x:xf numFmtId="0" fontId="11" fillId="3" borderId="9" xfId="0" applyNumberFormat="1" applyFont="1" applyFill="1" applyBorder="1" applyAlignment="1">
      <x:alignment vertical="center" wrapText="1"/>
    </x:xf>
    <x:xf numFmtId="0" fontId="11" fillId="3" borderId="13" xfId="0" applyNumberFormat="1" applyFont="1" applyFill="1" applyBorder="1" applyAlignment="1">
      <x:alignment vertical="center" wrapText="1"/>
    </x:xf>
    <x:xf numFmtId="0" fontId="11" fillId="3" borderId="7" xfId="0" applyNumberFormat="1" applyFont="1" applyFill="1" applyBorder="1" applyAlignment="1">
      <x:alignment vertical="center" wrapText="1"/>
    </x:xf>
    <x:xf numFmtId="0" fontId="11" fillId="3" borderId="14" xfId="0" applyNumberFormat="1" applyFont="1" applyFill="1" applyBorder="1" applyAlignment="1">
      <x:alignment vertical="center" wrapText="1"/>
    </x:xf>
    <x:xf numFmtId="0" fontId="11" fillId="3" borderId="0" xfId="0" applyNumberFormat="1" applyFont="1" applyFill="1" applyBorder="1" applyAlignment="1">
      <x:alignment vertical="center" wrapText="1"/>
    </x:xf>
    <x:xf numFmtId="0" fontId="11" fillId="3" borderId="15" xfId="0" applyNumberFormat="1" applyFont="1" applyFill="1" applyBorder="1" applyAlignment="1">
      <x:alignment vertical="center" wrapText="1"/>
    </x:xf>
    <x:xf numFmtId="0" fontId="11" fillId="3" borderId="3" xfId="0" applyNumberFormat="1" applyFont="1" applyFill="1" applyBorder="1" applyAlignment="1">
      <x:alignment vertical="center" wrapText="1"/>
    </x:xf>
    <x:xf numFmtId="0" fontId="11" fillId="3" borderId="16" xfId="0" applyNumberFormat="1" applyFont="1" applyFill="1" applyBorder="1" applyAlignment="1">
      <x:alignment vertical="center" wrapText="1"/>
    </x:xf>
    <x:xf numFmtId="0" fontId="11" fillId="3" borderId="1" xfId="0" applyNumberFormat="1" applyFont="1" applyFill="1" applyBorder="1" applyAlignment="1">
      <x:alignment vertical="center" wrapText="1"/>
    </x:xf>
    <x:xf numFmtId="202" fontId="0" fillId="0" borderId="0" xfId="0" applyNumberFormat="1" applyFont="1" applyFill="1" applyBorder="1"/>
    <x:xf numFmtId="0" fontId="12" fillId="0" borderId="0" xfId="0" applyNumberFormat="1" applyFont="1" applyFill="1" applyBorder="1"/>
    <x:xf numFmtId="202" fontId="12" fillId="0" borderId="0" xfId="0" applyNumberFormat="1" applyFont="1" applyFill="1" applyBorder="1"/>
    <x:xf numFmtId="0" fontId="12" fillId="3" borderId="0" xfId="0" applyNumberFormat="1" applyFont="1" applyFill="1" applyBorder="1"/>
    <x:xf numFmtId="0" fontId="12" fillId="3" borderId="0" xfId="0" applyNumberFormat="1" applyFont="1" applyFill="1" applyBorder="1" applyAlignment="1">
      <x:alignment wrapText="1"/>
    </x:xf>
    <x:xf numFmtId="0" fontId="12" fillId="0" borderId="0" xfId="0" applyNumberFormat="1" applyFont="1" applyFill="1" applyBorder="1" applyAlignment="1">
      <x:alignment wrapText="1"/>
    </x:xf>
    <x:xf numFmtId="0" fontId="0" fillId="3" borderId="0" xfId="0" applyNumberFormat="1" applyFont="1" applyFill="1" applyBorder="1" applyAlignment="1">
      <x:alignment wrapText="1"/>
    </x:xf>
    <x:xf numFmtId="0" fontId="0" fillId="9" borderId="0" xfId="0" applyNumberFormat="1" applyFont="1" applyFill="1" applyBorder="1"/>
    <x:xf numFmtId="0" fontId="0" fillId="9" borderId="0" xfId="0" applyNumberFormat="1" applyFont="1" applyFill="1" applyBorder="1" applyAlignment="1">
      <x:alignment wrapText="1"/>
    </x:xf>
    <x:xf numFmtId="0" fontId="0" fillId="10" borderId="0" xfId="0" applyNumberFormat="1" applyFont="1" applyFill="1" applyBorder="1"/>
    <x:xf numFmtId="0" fontId="1" fillId="10" borderId="0" xfId="0" applyNumberFormat="1" applyFont="1" applyFill="1" applyBorder="1"/>
    <x:xf numFmtId="0" fontId="1" fillId="10" borderId="0" xfId="0" applyNumberFormat="1" applyFont="1" applyFill="1" applyBorder="1" applyAlignment="1">
      <x:alignment vertical="center"/>
    </x:xf>
    <x:xf numFmtId="0" fontId="0" fillId="11" borderId="0" xfId="0" applyNumberFormat="1" applyFont="1" applyFill="1" applyBorder="1"/>
    <x:xf numFmtId="0" fontId="2" fillId="11" borderId="0" xfId="0" applyNumberFormat="1" applyFont="1" applyFill="1" applyBorder="1"/>
    <x:xf numFmtId="0" fontId="2" fillId="11" borderId="0" xfId="0" applyNumberFormat="1" applyFont="1" applyFill="1" applyBorder="1" applyAlignment="1">
      <x:alignment vertical="center"/>
    </x:xf>
    <x:xf numFmtId="0" fontId="0" fillId="12" borderId="0" xfId="0" applyNumberFormat="1" applyFont="1" applyFill="1" applyBorder="1"/>
    <x:xf numFmtId="0" fontId="6" fillId="12" borderId="0" xfId="0" applyNumberFormat="1" applyFont="1" applyFill="1" applyBorder="1"/>
    <x:xf numFmtId="0" fontId="6" fillId="12" borderId="10" xfId="0" applyNumberFormat="1" applyFont="1" applyFill="1" applyBorder="1"/>
    <x:xf numFmtId="0" fontId="6" fillId="12" borderId="11" xfId="0" applyNumberFormat="1" applyFont="1" applyFill="1" applyBorder="1"/>
    <x:xf numFmtId="0" fontId="6" fillId="12" borderId="12" xfId="0" applyNumberFormat="1" applyFont="1" applyFill="1" applyBorder="1"/>
    <x:xf numFmtId="0" fontId="6" fillId="12" borderId="10" xfId="0" applyNumberFormat="1" applyFont="1" applyFill="1" applyBorder="1" applyAlignment="1">
      <x:alignment wrapText="1"/>
    </x:xf>
    <x:xf numFmtId="0" fontId="6" fillId="12" borderId="11" xfId="0" applyNumberFormat="1" applyFont="1" applyFill="1" applyBorder="1" applyAlignment="1">
      <x:alignment wrapText="1"/>
    </x:xf>
    <x:xf numFmtId="0" fontId="6" fillId="12" borderId="12" xfId="0" applyNumberFormat="1" applyFont="1" applyFill="1" applyBorder="1" applyAlignment="1">
      <x:alignment wrapText="1"/>
    </x:xf>
    <x:xf numFmtId="0" fontId="6" fillId="12" borderId="10" xfId="0" applyNumberFormat="1" applyFont="1" applyFill="1" applyBorder="1" applyAlignment="1">
      <x:alignment vertical="center" wrapText="1"/>
    </x:xf>
    <x:xf numFmtId="0" fontId="6" fillId="12" borderId="11" xfId="0" applyNumberFormat="1" applyFont="1" applyFill="1" applyBorder="1" applyAlignment="1">
      <x:alignment vertical="center" wrapText="1"/>
    </x:xf>
    <x:xf numFmtId="0" fontId="6" fillId="12" borderId="12" xfId="0" applyNumberFormat="1" applyFont="1" applyFill="1" applyBorder="1" applyAlignment="1">
      <x:alignment vertical="center" wrapText="1"/>
    </x:xf>
    <x:xf numFmtId="0" fontId="12" fillId="0" borderId="0" xfId="0" applyNumberFormat="1" applyFont="1" applyFill="1" applyBorder="1" applyAlignment="1">
      <x:alignment vertical="center"/>
    </x:xf>
    <x:xf numFmtId="0" fontId="12" fillId="0" borderId="0" xfId="0" applyNumberFormat="1" applyFont="1" applyFill="1" applyBorder="1" applyAlignment="1">
      <x:alignment vertical="center" wrapText="1"/>
    </x:xf>
    <x:xf numFmtId="0" fontId="12" fillId="11" borderId="0" xfId="0" applyNumberFormat="1" applyFont="1" applyFill="1" applyBorder="1" applyAlignment="1">
      <x:alignment vertical="center" wrapText="1"/>
    </x:xf>
    <x:xf numFmtId="0" fontId="12" fillId="13" borderId="0" xfId="0" applyNumberFormat="1" applyFont="1" applyFill="1" applyBorder="1" applyAlignment="1">
      <x:alignment vertical="center" wrapText="1"/>
    </x:xf>
  </x:cellXfs>
  <x:cellStyles count="1">
    <x:cellStyle name="Normal" xfId="0"/>
  </x:cellStyles>
  <x:dxfs count="14">
    <x:dxf>
      <x:font>
        <x:b/>
        <x:color rgb="FF276738"/>
      </x:font>
      <x:fill>
        <x:patternFill>
          <x:bgColor rgb="FFE8F3E8"/>
        </x:patternFill>
      </x:fill>
    </x:dxf>
    <x:dxf>
      <x:font>
        <x:b/>
        <x:color rgb="FF7A5412"/>
      </x:font>
      <x:fill>
        <x:patternFill>
          <x:bgColor rgb="FFFFF5DC"/>
        </x:patternFill>
      </x:fill>
    </x:dxf>
    <x:dxf>
      <x:font>
        <x:b/>
        <x:color rgb="FF9B2C2C"/>
      </x:font>
      <x:fill>
        <x:patternFill>
          <x:bgColor rgb="FFFCE8E6"/>
        </x:patternFill>
      </x:fill>
    </x:dxf>
    <x:dxf>
      <x:font>
        <x:b/>
        <x:color rgb="FF7A5412"/>
      </x:font>
      <x:fill>
        <x:patternFill>
          <x:bgColor rgb="FFFFF5DC"/>
        </x:patternFill>
      </x:fill>
    </x:dxf>
    <x:dxf>
      <x:font>
        <x:b/>
        <x:color rgb="FF276738"/>
      </x:font>
      <x:fill>
        <x:patternFill>
          <x:bgColor rgb="FFE8F3E8"/>
        </x:patternFill>
      </x:fill>
    </x:dxf>
    <x:dxf>
      <x:font>
        <x:b/>
        <x:color rgb="FF7A5412"/>
      </x:font>
      <x:fill>
        <x:patternFill>
          <x:bgColor rgb="FFFFF5DC"/>
        </x:patternFill>
      </x:fill>
    </x:dxf>
    <x:dxf>
      <x:font>
        <x:b/>
        <x:color rgb="FF9B2C2C"/>
      </x:font>
      <x:fill>
        <x:patternFill>
          <x:bgColor rgb="FFFCE8E6"/>
        </x:patternFill>
      </x:fill>
    </x:dxf>
    <x:dxf>
      <x:font>
        <x:b/>
        <x:color rgb="FF7A5412"/>
      </x:font>
      <x:fill>
        <x:patternFill>
          <x:bgColor rgb="FFFFF5DC"/>
        </x:patternFill>
      </x:fill>
    </x:dxf>
    <x:dxf>
      <x:font>
        <x:b/>
        <x:color rgb="FF276738"/>
      </x:font>
      <x:fill>
        <x:patternFill>
          <x:bgColor rgb="FFE8F3E8"/>
        </x:patternFill>
      </x:fill>
    </x:dxf>
    <x:dxf>
      <x:font>
        <x:b/>
        <x:color rgb="FF7A5412"/>
      </x:font>
      <x:fill>
        <x:patternFill>
          <x:bgColor rgb="FFFFF5DC"/>
        </x:patternFill>
      </x:fill>
    </x:dxf>
    <x:dxf>
      <x:font>
        <x:b/>
        <x:color rgb="FF276738"/>
      </x:font>
      <x:fill>
        <x:patternFill patternType="solid">
          <x:bgColor rgb="FFE8F3E8"/>
        </x:patternFill>
      </x:fill>
    </x:dxf>
    <x:dxf>
      <x:font>
        <x:b/>
        <x:color rgb="FF7A5412"/>
      </x:font>
      <x:fill>
        <x:patternFill patternType="solid">
          <x:bgColor rgb="FFFFF5DC"/>
        </x:patternFill>
      </x:fill>
    </x:dxf>
    <x:dxf>
      <x:font>
        <x:b/>
        <x:color rgb="FF9B2C2C"/>
      </x:font>
      <x:fill>
        <x:patternFill patternType="solid">
          <x:bgColor rgb="FFFCE8E6"/>
        </x:patternFill>
      </x:fill>
    </x:dxf>
    <x:dxf>
      <x:font>
        <x:b/>
        <x:color rgb="FF7A5412"/>
      </x:font>
      <x:fill>
        <x:patternFill patternType="solid">
          <x:bgColor rgb="FFFFF5DC"/>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949716f3110a4fd5" /><Relationship Type="http://schemas.openxmlformats.org/officeDocument/2006/relationships/theme" Target="/xl/theme/theme1.xml" Id="R433ef3baebb34f6c" /><Relationship Type="http://schemas.openxmlformats.org/officeDocument/2006/relationships/sharedStrings" Target="/xl/sharedStrings.xml" Id="R4a48691e3e5b4d04" /><Relationship Type="http://schemas.openxmlformats.org/officeDocument/2006/relationships/worksheet" Target="/xl/worksheets/sheet1.xml" Id="Rf5bc1a6bbb704463" /><Relationship Type="http://schemas.openxmlformats.org/officeDocument/2006/relationships/worksheet" Target="/xl/worksheets/sheet2.xml" Id="Ra73b0514d7aa4104" /><Relationship Type="http://schemas.openxmlformats.org/officeDocument/2006/relationships/worksheet" Target="/xl/worksheets/sheet3.xml" Id="Rb9ce9baa5bf54231" /><Relationship Type="http://schemas.openxmlformats.org/officeDocument/2006/relationships/worksheet" Target="/xl/worksheets/sheet4.xml" Id="Receeb582e4024c5d" /><Relationship Type="http://schemas.openxmlformats.org/officeDocument/2006/relationships/worksheet" Target="/xl/worksheets/sheet5.xml" Id="R0f2c7862dfd04cdf" /><Relationship Type="http://schemas.openxmlformats.org/officeDocument/2006/relationships/worksheet" Target="/xl/worksheets/sheet6.xml" Id="R09911e1146ba48b4" /></Relationships>
</file>

<file path=xl/tables/table1.xml><?xml version="1.0" encoding="utf-8"?>
<x:table xmlns:x="http://schemas.openxmlformats.org/spreadsheetml/2006/main" id="1" name="OxfordC1Table" displayName="OxfordC1Table" ref="A1:P1316" headerRowCount="1" totalsRowCount="0" totalsRowShown="0">
  <x:tableColumns count="16">
    <x:tableColumn id="1" name="ID"/>
    <x:tableColumn id="2" name="Headword"/>
    <x:tableColumn id="3" name="Part of Speech"/>
    <x:tableColumn id="4" name="Ukrainian Equivalent"/>
    <x:tableColumn id="5" name="AWL Overlap"/>
    <x:tableColumn id="6" name="AWL Sublist"/>
    <x:tableColumn id="7" name="IELTS Priority"/>
    <x:tableColumn id="8" name="Topic"/>
    <x:tableColumn id="9" name="Study Status"/>
    <x:tableColumn id="10" name="Confidence 0–5"/>
    <x:tableColumn id="11" name="Last Reviewed"/>
    <x:tableColumn id="12" name="Next Review"/>
    <x:tableColumn id="13" name="Own IELTS Example"/>
    <x:tableColumn id="14" name="Collocation / Note"/>
    <x:tableColumn id="15" name="Translation QA"/>
    <x:tableColumn id="16" name="Source URL"/>
  </x:tableColumns>
  <x:tableStyleInfo name="TableStyleMedium2" showFirstColumn="0" showLastColumn="0" showRowStripes="1" showColumnStripes="0"/>
</x:table>
</file>

<file path=xl/tables/table2.xml><?xml version="1.0" encoding="utf-8"?>
<x:table xmlns:x="http://schemas.openxmlformats.org/spreadsheetml/2006/main" id="2" name="AcademicWordListTable" displayName="AcademicWordListTable" ref="A1:O571" headerRowCount="1" totalsRowCount="0" totalsRowShown="0">
  <x:tableColumns count="15">
    <x:tableColumn id="1" name="ID"/>
    <x:tableColumn id="2" name="Headword / Family"/>
    <x:tableColumn id="3" name="Ukrainian Equivalent"/>
    <x:tableColumn id="4" name="AWL Sublist"/>
    <x:tableColumn id="5" name="Oxford C1 Overlap"/>
    <x:tableColumn id="6" name="IELTS Priority"/>
    <x:tableColumn id="7" name="Topic"/>
    <x:tableColumn id="8" name="Study Status"/>
    <x:tableColumn id="9" name="Confidence 0–5"/>
    <x:tableColumn id="10" name="Last Reviewed"/>
    <x:tableColumn id="11" name="Next Review"/>
    <x:tableColumn id="12" name="Own IELTS Example"/>
    <x:tableColumn id="13" name="Collocation / Word Family"/>
    <x:tableColumn id="14" name="Translation QA"/>
    <x:tableColumn id="15" name="Source URL"/>
  </x:tableColumns>
  <x:tableStyleInfo name="TableStyleMedium4" showFirstColumn="0" showLastColumn="0" showRowStripes="1" showColumnStripes="0"/>
</x:table>
</file>

<file path=xl/tables/table3.xml><?xml version="1.0" encoding="utf-8"?>
<x:table xmlns:x="http://schemas.openxmlformats.org/spreadsheetml/2006/main" id="3" name="Starter100Table" displayName="Starter100Table" ref="A4:J104" headerRowCount="1" totalsRowCount="0" totalsRowShown="0">
  <x:tableColumns count="10">
    <x:tableColumn id="1" name="Sequence"/>
    <x:tableColumn id="2" name="Source"/>
    <x:tableColumn id="3" name="Headword"/>
    <x:tableColumn id="4" name="Part of Speech"/>
    <x:tableColumn id="5" name="Ukrainian"/>
    <x:tableColumn id="6" name="Topic"/>
    <x:tableColumn id="7" name="Recall English"/>
    <x:tableColumn id="8" name="Natural Collocation"/>
    <x:tableColumn id="9" name="Original IELTS Sentence"/>
    <x:tableColumn id="10" name="Checked"/>
  </x:tableColumns>
  <x:tableStyleInfo name="TableStyleMedium2" showFirstColumn="0" showLastColumn="0" showRowStripes="1" showColumnStripes="0"/>
</x:table>
</file>

<file path=xl/tables/table4.xml><?xml version="1.0" encoding="utf-8"?>
<x:table xmlns:x="http://schemas.openxmlformats.org/spreadsheetml/2006/main" id="4" name="StreamlinedStudyBankTable" displayName="StreamlinedStudyBankTable" ref="A4:H1788" headerRowCount="1" totalsRowCount="0" totalsRowShown="0">
  <x:tableColumns count="8">
    <x:tableColumn id="1" name="English Word"/>
    <x:tableColumn id="2" name="Part of Speech"/>
    <x:tableColumn id="3" name="Ukrainian Equivalent"/>
    <x:tableColumn id="4" name="Definition in Ukrainian"/>
    <x:tableColumn id="5" name="Source"/>
    <x:tableColumn id="6" name="IELTS Priority"/>
    <x:tableColumn id="7" name="Study Status"/>
    <x:tableColumn id="8" name="Confidence 0–5"/>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3.xml.rels>&#65279;<?xml version="1.0" encoding="utf-8"?><Relationships xmlns="http://schemas.openxmlformats.org/package/2006/relationships"><Relationship Type="http://schemas.openxmlformats.org/officeDocument/2006/relationships/table" Target="/xl/tables/table1.xml" Id="Rad8ecebe3c744a39" /></Relationships>
</file>

<file path=xl/worksheets/_rels/sheet4.xml.rels>&#65279;<?xml version="1.0" encoding="utf-8"?><Relationships xmlns="http://schemas.openxmlformats.org/package/2006/relationships"><Relationship Type="http://schemas.openxmlformats.org/officeDocument/2006/relationships/table" Target="/xl/tables/table2.xml" Id="R082d10e3adf34e8a" /></Relationships>
</file>

<file path=xl/worksheets/_rels/sheet5.xml.rels>&#65279;<?xml version="1.0" encoding="utf-8"?><Relationships xmlns="http://schemas.openxmlformats.org/package/2006/relationships"><Relationship Type="http://schemas.openxmlformats.org/officeDocument/2006/relationships/table" Target="/xl/tables/table3.xml" Id="R6462dd20089e42ef" /></Relationships>
</file>

<file path=xl/worksheets/_rels/sheet6.xml.rels>&#65279;<?xml version="1.0" encoding="utf-8"?><Relationships xmlns="http://schemas.openxmlformats.org/package/2006/relationships"><Relationship Type="http://schemas.openxmlformats.org/officeDocument/2006/relationships/table" Target="/xl/tables/table4.xml" Id="Rabd7368cedbf4ad2" /></Relationships>
</file>

<file path=xl/worksheets/sheet1.xml><?xml version="1.0" encoding="utf-8"?>
<x:worksheet xmlns:x="http://schemas.openxmlformats.org/spreadsheetml/2006/main">
  <x:sheetViews>
    <x:sheetView showGridLines="0" workbookViewId="0"/>
  </x:sheetViews>
  <x:sheetFormatPr defaultRowHeight="15"/>
  <x:cols>
    <x:col min="1" max="1" width="7" hidden="0" customWidth="1"/>
    <x:col min="2" max="2" width="24" hidden="0" customWidth="1"/>
    <x:col min="3" max="3" width="33" hidden="0" customWidth="1"/>
    <x:col min="4" max="4" width="3" hidden="0" customWidth="1"/>
    <x:col min="5" max="5" width="26" hidden="0" customWidth="1"/>
    <x:col min="6" max="6" width="40" hidden="0" customWidth="1"/>
    <x:col min="7" max="7" width="3" hidden="0" customWidth="1"/>
    <x:col min="8" max="8" width="3" hidden="0" customWidth="1"/>
  </x:cols>
  <x:sheetData>
    <x:row r="1" ht="34" customHeight="1">
      <x:c r="A1" s="3" t="str">
        <x:v>IELTS Academic C1 Ukrainian Vocabulary Bank</x:v>
      </x:c>
      <x:c r="B1" s="3" t="str">
        <x:v>IELTS Academic C1 Ukrainian Vocabulary Bank</x:v>
      </x:c>
      <x:c r="C1" s="3" t="str">
        <x:v>IELTS Academic C1 Ukrainian Vocabulary Bank</x:v>
      </x:c>
      <x:c r="D1" s="3" t="str">
        <x:v>IELTS Academic C1 Ukrainian Vocabulary Bank</x:v>
      </x:c>
      <x:c r="E1" s="3" t="str">
        <x:v>IELTS Academic C1 Ukrainian Vocabulary Bank</x:v>
      </x:c>
      <x:c r="F1" s="3" t="str">
        <x:v>IELTS Academic C1 Ukrainian Vocabulary Bank</x:v>
      </x:c>
      <x:c r="G1" s="3" t="str">
        <x:v>IELTS Academic C1 Ukrainian Vocabulary Bank</x:v>
      </x:c>
      <x:c r="H1" s="3" t="str">
        <x:v>IELTS Academic C1 Ukrainian Vocabulary Bank</x:v>
      </x:c>
    </x:row>
    <x:row r="2" ht="28" customHeight="1">
      <x:c r="A2" s="6" t="str">
        <x:v>Band 7.0–7.5 target • British English • Ukrainian learner edition</x:v>
      </x:c>
      <x:c r="B2" s="6" t="str">
        <x:v>Band 7.0–7.5 target • British English • Ukrainian learner edition</x:v>
      </x:c>
      <x:c r="C2" s="6" t="str">
        <x:v>Band 7.0–7.5 target • British English • Ukrainian learner edition</x:v>
      </x:c>
      <x:c r="D2" s="6" t="str">
        <x:v>Band 7.0–7.5 target • British English • Ukrainian learner edition</x:v>
      </x:c>
      <x:c r="E2" s="6" t="str">
        <x:v>Band 7.0–7.5 target • British English • Ukrainian learner edition</x:v>
      </x:c>
      <x:c r="F2" s="6" t="str">
        <x:v>Band 7.0–7.5 target • British English • Ukrainian learner edition</x:v>
      </x:c>
      <x:c r="G2" s="6" t="str">
        <x:v>Band 7.0–7.5 target • British English • Ukrainian learner edition</x:v>
      </x:c>
      <x:c r="H2" s="6" t="str">
        <x:v>Band 7.0–7.5 target • British English • Ukrainian learner edition</x:v>
      </x:c>
    </x:row>
    <x:row r="4">
      <x:c r="A4" s="8" t="str">
        <x:v>How to use this workbook</x:v>
      </x:c>
      <x:c r="B4" s="8"/>
      <x:c r="C4" s="8"/>
      <x:c r="D4" s="8"/>
      <x:c r="E4" s="8"/>
      <x:c r="F4" s="8"/>
      <x:c r="G4" s="8"/>
      <x:c r="H4" s="8"/>
    </x:row>
    <x:row r="5">
      <x:c r="A5" s="15" t="str">
        <x:v>1</x:v>
      </x:c>
      <x:c r="B5" s="16" t="str">
        <x:v>Start with Study Bank</x:v>
      </x:c>
      <x:c r="C5" s="17" t="str">
        <x:v>Filter IELTS Priority to High; learn the Ukrainian definition before testing English recall.</x:v>
      </x:c>
      <x:c r="D5" s="17"/>
      <x:c r="E5" s="17"/>
      <x:c r="F5" s="17"/>
      <x:c r="G5" s="17"/>
      <x:c r="H5" s="18"/>
    </x:row>
    <x:row r="6">
      <x:c r="A6" s="19" t="str">
        <x:v>2</x:v>
      </x:c>
      <x:c r="B6" s="20" t="str">
        <x:v>Record real use</x:v>
      </x:c>
      <x:c r="C6" s="21" t="str">
        <x:v>Add one collocation and one original IELTS sentence before marking a word mastered.</x:v>
      </x:c>
      <x:c r="D6" s="21"/>
      <x:c r="E6" s="21"/>
      <x:c r="F6" s="21"/>
      <x:c r="G6" s="21"/>
      <x:c r="H6" s="22"/>
    </x:row>
    <x:row r="7">
      <x:c r="A7" s="19" t="str">
        <x:v>3</x:v>
      </x:c>
      <x:c r="B7" s="20" t="str">
        <x:v>Track review dates</x:v>
      </x:c>
      <x:c r="C7" s="21" t="str">
        <x:v>Enter Last Reviewed and Confidence; Next Review is calculated automatically.</x:v>
      </x:c>
      <x:c r="D7" s="21"/>
      <x:c r="E7" s="21"/>
      <x:c r="F7" s="21"/>
      <x:c r="G7" s="21"/>
      <x:c r="H7" s="22"/>
    </x:row>
    <x:row r="8">
      <x:c r="A8" s="19" t="str">
        <x:v>4</x:v>
      </x:c>
      <x:c r="B8" s="20" t="str">
        <x:v>Prioritize academic vocabulary</x:v>
      </x:c>
      <x:c r="C8" s="21" t="str">
        <x:v>AWL sublists 1–3 and rows marked High should receive the most active practice.</x:v>
      </x:c>
      <x:c r="D8" s="21"/>
      <x:c r="E8" s="21"/>
      <x:c r="F8" s="21"/>
      <x:c r="G8" s="21"/>
      <x:c r="H8" s="22"/>
    </x:row>
    <x:row r="9">
      <x:c r="A9" s="19" t="str">
        <x:v>5</x:v>
      </x:c>
      <x:c r="B9" s="20" t="str">
        <x:v>Use concise definitions</x:v>
      </x:c>
      <x:c r="C9" s="21" t="str">
        <x:v>Definitions explain the relevant meaning in Ukrainian; detailed source tabs remain available for reference.</x:v>
      </x:c>
      <x:c r="D9" s="21"/>
      <x:c r="E9" s="21"/>
      <x:c r="F9" s="21"/>
      <x:c r="G9" s="21"/>
      <x:c r="H9" s="22"/>
    </x:row>
    <x:row r="10">
      <x:c r="A10" s="23" t="str">
        <x:v>6</x:v>
      </x:c>
      <x:c r="B10" s="24" t="str">
        <x:v>Avoid rare-word stuffing</x:v>
      </x:c>
      <x:c r="C10" s="25" t="str">
        <x:v>IELTS rewards precise, appropriate vocabulary, paraphrasing, and natural collocation—not unnecessary complexity.</x:v>
      </x:c>
      <x:c r="D10" s="25"/>
      <x:c r="E10" s="25"/>
      <x:c r="F10" s="25"/>
      <x:c r="G10" s="25"/>
      <x:c r="H10" s="26"/>
    </x:row>
    <x:row r="12">
      <x:c r="A12" s="8" t="str">
        <x:v>Twenty-week vocabulary sequence</x:v>
      </x:c>
      <x:c r="B12" s="8"/>
      <x:c r="C12" s="8"/>
      <x:c r="D12" s="8"/>
      <x:c r="E12" s="8"/>
      <x:c r="F12" s="8"/>
      <x:c r="G12" s="8"/>
      <x:c r="H12" s="8"/>
    </x:row>
    <x:row r="13" ht="32" customHeight="1">
      <x:c r="A13" s="35" t="str">
        <x:v>Weeks</x:v>
      </x:c>
      <x:c r="B13" s="36" t="str">
        <x:v>Primary focus</x:v>
      </x:c>
      <x:c r="C13" s="37" t="str">
        <x:v>Expected evidence</x:v>
      </x:c>
      <x:c r="E13" s="50" t="str">
        <x:v>Authoritative sources</x:v>
      </x:c>
      <x:c r="F13" s="50"/>
      <x:c r="G13" s="50"/>
      <x:c r="H13" s="50"/>
    </x:row>
    <x:row r="14" ht="38" customHeight="1">
      <x:c r="A14" s="47" t="str">
        <x:v>1–3</x:v>
      </x:c>
      <x:c r="B14" s="17" t="str">
        <x:v>AWL sublists 1–3</x:v>
      </x:c>
      <x:c r="C14" s="18" t="str">
        <x:v>Recognize all; actively use 15–20 items each week</x:v>
      </x:c>
      <x:c r="E14" s="47" t="str">
        <x:v>Oxford 5000 by CEFR level</x:v>
      </x:c>
      <x:c r="F14" s="17" t="str">
        <x:v>https://www.oxfordlearnersdictionaries.com/external/pdf/wordlists/oxford-3000-5000/The_Oxford_5000_by_CEFR_level.pdf</x:v>
      </x:c>
      <x:c r="G14" s="17"/>
      <x:c r="H14" s="18"/>
    </x:row>
    <x:row r="15" ht="38" customHeight="1">
      <x:c r="A15" s="48" t="str">
        <x:v>4–6</x:v>
      </x:c>
      <x:c r="B15" s="21" t="str">
        <x:v>AWL sublists 4–6</x:v>
      </x:c>
      <x:c r="C15" s="22" t="str">
        <x:v>Use vocabulary in Task 2 paragraphs and Speaking Part 3</x:v>
      </x:c>
      <x:c r="E15" s="48" t="str">
        <x:v>Academic Word List</x:v>
      </x:c>
      <x:c r="F15" s="21" t="str">
        <x:v>https://www.wgtn.ac.nz/lals/resources/academicwordlist</x:v>
      </x:c>
      <x:c r="G15" s="21"/>
      <x:c r="H15" s="22"/>
    </x:row>
    <x:row r="16" ht="38" customHeight="1">
      <x:c r="A16" s="48" t="str">
        <x:v>7–10</x:v>
      </x:c>
      <x:c r="B16" s="21" t="str">
        <x:v>AWL sublists 7–10</x:v>
      </x:c>
      <x:c r="C16" s="22" t="str">
        <x:v>Consolidate word families and paraphrases</x:v>
      </x:c>
      <x:c r="E16" s="48" t="str">
        <x:v>IELTS–CEFR comparison</x:v>
      </x:c>
      <x:c r="F16" s="21" t="str">
        <x:v>https://ielts.org/news-and-insights/everything-you-need-to-know-about-ielts-and-the-cefr</x:v>
      </x:c>
      <x:c r="G16" s="21"/>
      <x:c r="H16" s="22"/>
    </x:row>
    <x:row r="17" ht="38" customHeight="1">
      <x:c r="A17" s="48" t="str">
        <x:v>11–14</x:v>
      </x:c>
      <x:c r="B17" s="21" t="str">
        <x:v>Oxford C1 — High priority</x:v>
      </x:c>
      <x:c r="C17" s="22" t="str">
        <x:v>Use topic vocabulary accurately across common IELTS themes</x:v>
      </x:c>
      <x:c r="E17" s="48" t="str">
        <x:v>IELTS Speaking criteria</x:v>
      </x:c>
      <x:c r="F17" s="21" t="str">
        <x:v>https://ielts.org/cdn/ielts-guides/ielts-speaking-band-descriptors.pdf</x:v>
      </x:c>
      <x:c r="G17" s="21"/>
      <x:c r="H17" s="22"/>
    </x:row>
    <x:row r="18" ht="38" customHeight="1">
      <x:c r="A18" s="48" t="str">
        <x:v>15–18</x:v>
      </x:c>
      <x:c r="B18" s="21" t="str">
        <x:v>Oxford C1 — error-driven selection</x:v>
      </x:c>
      <x:c r="C18" s="22" t="str">
        <x:v>Study words encountered in mocks, reading, and correction logs</x:v>
      </x:c>
      <x:c r="E18" s="49" t="str">
        <x:v>IELTS Writing criteria</x:v>
      </x:c>
      <x:c r="F18" s="25" t="str">
        <x:v>https://ielts.org/cdn/Guides/ielts-writing-band-descriptors.pdf</x:v>
      </x:c>
      <x:c r="G18" s="25"/>
      <x:c r="H18" s="26"/>
    </x:row>
    <x:row r="19">
      <x:c r="A19" s="48" t="str">
        <x:v>19</x:v>
      </x:c>
      <x:c r="B19" s="21" t="str">
        <x:v>Collocations and paraphrasing</x:v>
      </x:c>
      <x:c r="C19" s="22" t="str">
        <x:v>Replace memorized phrases with natural, flexible expression</x:v>
      </x:c>
    </x:row>
    <x:row r="20">
      <x:c r="A20" s="49" t="str">
        <x:v>20</x:v>
      </x:c>
      <x:c r="B20" s="25" t="str">
        <x:v>Review only</x:v>
      </x:c>
      <x:c r="C20" s="26" t="str">
        <x:v>Complete timed use and retire unstable vocabulary</x:v>
      </x:c>
    </x:row>
  </x:sheetData>
  <x:mergeCells>
    <x:mergeCell ref="A1:H1"/>
    <x:mergeCell ref="A2:H2"/>
    <x:mergeCell ref="A4:H4"/>
    <x:mergeCell ref="A12:H12"/>
    <x:mergeCell ref="E13:H13"/>
    <x:mergeCell ref="F14:H14"/>
    <x:mergeCell ref="F15:H15"/>
    <x:mergeCell ref="F16:H16"/>
    <x:mergeCell ref="F17:H17"/>
    <x:mergeCell ref="F18:H1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4"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14" hidden="0" customWidth="1"/>
  </x:cols>
  <x:sheetData>
    <x:row r="1" ht="34" customHeight="1">
      <x:c r="A1" s="3" t="str">
        <x:v>Progress Dashboard</x:v>
      </x:c>
      <x:c r="B1" s="3" t="str">
        <x:v>Progress Dashboard</x:v>
      </x:c>
      <x:c r="C1" s="3" t="str">
        <x:v>Progress Dashboard</x:v>
      </x:c>
      <x:c r="D1" s="3" t="str">
        <x:v>Progress Dashboard</x:v>
      </x:c>
      <x:c r="E1" s="3" t="str">
        <x:v>Progress Dashboard</x:v>
      </x:c>
      <x:c r="F1" s="3" t="str">
        <x:v>Progress Dashboard</x:v>
      </x:c>
      <x:c r="G1" s="3" t="str">
        <x:v>Progress Dashboard</x:v>
      </x:c>
      <x:c r="H1" s="3" t="str">
        <x:v>Progress Dashboard</x:v>
      </x:c>
    </x:row>
    <x:row r="2" ht="28" customHeight="1">
      <x:c r="A2" s="6" t="str">
        <x:v>All metrics update from the two vocabulary-bank sheets</x:v>
      </x:c>
      <x:c r="B2" s="6" t="str">
        <x:v>All metrics update from the two vocabulary-bank sheets</x:v>
      </x:c>
      <x:c r="C2" s="6" t="str">
        <x:v>All metrics update from the two vocabulary-bank sheets</x:v>
      </x:c>
      <x:c r="D2" s="6" t="str">
        <x:v>All metrics update from the two vocabulary-bank sheets</x:v>
      </x:c>
      <x:c r="E2" s="6" t="str">
        <x:v>All metrics update from the two vocabulary-bank sheets</x:v>
      </x:c>
      <x:c r="F2" s="6" t="str">
        <x:v>All metrics update from the two vocabulary-bank sheets</x:v>
      </x:c>
      <x:c r="G2" s="6" t="str">
        <x:v>All metrics update from the two vocabulary-bank sheets</x:v>
      </x:c>
      <x:c r="H2" s="6" t="str">
        <x:v>All metrics update from the two vocabulary-bank sheets</x:v>
      </x:c>
    </x:row>
    <x:row r="4">
      <x:c r="A4" s="51" t="str">
        <x:v>Oxford C1 entries</x:v>
      </x:c>
      <x:c r="B4" s="51"/>
      <x:c r="C4" s="51" t="str">
        <x:v>Academic Word List</x:v>
      </x:c>
      <x:c r="D4" s="51"/>
      <x:c r="E4" s="51" t="str">
        <x:v>Streamlined unique words</x:v>
      </x:c>
      <x:c r="F4" s="51"/>
      <x:c r="G4" s="51" t="str">
        <x:v>C1–AWL overlaps</x:v>
      </x:c>
      <x:c r="H4" s="51"/>
    </x:row>
    <x:row r="5">
      <x:c r="A5" s="61" t="n">
        <x:f>COUNTA('Oxford C1 Bank'!$B$2:$B$1316)</x:f>
        <x:v>1315</x:v>
      </x:c>
      <x:c r="B5" s="62"/>
      <x:c r="C5" s="61" t="n">
        <x:f>COUNTA('Academic Word List'!$B$2:$B$571)</x:f>
        <x:v>570</x:v>
      </x:c>
      <x:c r="D5" s="62"/>
      <x:c r="E5" s="61" t="n">
        <x:f>COUNTA('Study Bank'!$A$5:$A$1788)</x:f>
        <x:v>1784</x:v>
      </x:c>
      <x:c r="F5" s="62"/>
      <x:c r="G5" s="61" t="n">
        <x:f>COUNTIF('Oxford C1 Bank'!$E$2:$E$1316,"Yes")</x:f>
        <x:v>100</x:v>
      </x:c>
      <x:c r="H5" s="62"/>
    </x:row>
    <x:row r="6">
      <x:c r="A6" s="63"/>
      <x:c r="B6" s="64"/>
      <x:c r="C6" s="63"/>
      <x:c r="D6" s="64"/>
      <x:c r="E6" s="63"/>
      <x:c r="F6" s="64"/>
      <x:c r="G6" s="63"/>
      <x:c r="H6" s="64"/>
    </x:row>
    <x:row r="8">
      <x:c r="A8" s="66" t="str">
        <x:v>Not started</x:v>
      </x:c>
      <x:c r="B8" s="66"/>
      <x:c r="C8" s="66" t="str">
        <x:v>In progress</x:v>
      </x:c>
      <x:c r="D8" s="66"/>
      <x:c r="E8" s="66" t="str">
        <x:v>Needs review</x:v>
      </x:c>
      <x:c r="F8" s="66"/>
      <x:c r="G8" s="66" t="str">
        <x:v>Mastered</x:v>
      </x:c>
      <x:c r="H8" s="66"/>
    </x:row>
    <x:row r="9">
      <x:c r="A9" s="77" t="n">
        <x:f>COUNTIF('Study Bank'!$G$5:$G$1788,"Not Started")</x:f>
        <x:v>1784</x:v>
      </x:c>
      <x:c r="B9" s="78"/>
      <x:c r="C9" s="77" t="n">
        <x:f>COUNTIF('Study Bank'!$G$5:$G$1788,"In Progress")</x:f>
        <x:v>0</x:v>
      </x:c>
      <x:c r="D9" s="78"/>
      <x:c r="E9" s="77" t="n">
        <x:f>COUNTIF('Study Bank'!$G$5:$G$1788,"Needs Review")</x:f>
        <x:v>0</x:v>
      </x:c>
      <x:c r="F9" s="78"/>
      <x:c r="G9" s="77" t="n">
        <x:f>COUNTIF('Study Bank'!$G$5:$G$1788,"Mastered")</x:f>
        <x:v>0</x:v>
      </x:c>
      <x:c r="H9" s="78"/>
    </x:row>
    <x:row r="10">
      <x:c r="A10" s="79"/>
      <x:c r="B10" s="80"/>
      <x:c r="C10" s="79"/>
      <x:c r="D10" s="80"/>
      <x:c r="E10" s="79"/>
      <x:c r="F10" s="80"/>
      <x:c r="G10" s="79"/>
      <x:c r="H10" s="80"/>
    </x:row>
    <x:row r="12">
      <x:c r="A12" s="83" t="str">
        <x:v>Completion</x:v>
      </x:c>
      <x:c r="B12" s="83"/>
      <x:c r="C12" s="83" t="str">
        <x:v>Definitions added</x:v>
      </x:c>
      <x:c r="D12" s="83"/>
      <x:c r="E12" s="83" t="str">
        <x:v>High-priority rows left</x:v>
      </x:c>
      <x:c r="F12" s="83"/>
      <x:c r="G12" s="83" t="str">
        <x:v>Current focus</x:v>
      </x:c>
      <x:c r="H12" s="83"/>
    </x:row>
    <x:row r="13">
      <x:c r="A13" s="100" t="n">
        <x:f>IF(E5=0,0,G9/E5)</x:f>
        <x:v>0</x:v>
      </x:c>
      <x:c r="B13" s="101"/>
      <x:c r="C13" s="118" t="n">
        <x:f>COUNTA('Study Bank'!$D$5:$D$1788)</x:f>
        <x:v>1784</x:v>
      </x:c>
      <x:c r="D13" s="119"/>
      <x:c r="E13" s="118" t="n">
        <x:f>COUNTIFS('Study Bank'!$F$5:$F$1788,"High",'Study Bank'!$G$5:$G$1788,"&lt;&gt;Mastered")</x:f>
        <x:v>319</x:v>
      </x:c>
      <x:c r="F13" s="119"/>
      <x:c r="G13" s="135" t="str">
        <x:v>Study Bank → High priority</x:v>
      </x:c>
      <x:c r="H13" s="136"/>
    </x:row>
    <x:row r="14">
      <x:c r="A14" s="102"/>
      <x:c r="B14" s="103"/>
      <x:c r="C14" s="120"/>
      <x:c r="D14" s="121"/>
      <x:c r="E14" s="120"/>
      <x:c r="F14" s="121"/>
      <x:c r="G14" s="137"/>
      <x:c r="H14" s="138"/>
    </x:row>
    <x:row r="17">
      <x:c r="A17" s="157" t="str">
        <x:v>Mastery rule: recognize the meaning, recall the English word from Ukrainian, select a natural collocation, and use it correctly in two separate IELTS-style responses. The workbook is a reference bank; the learner does not need to force every C1 entry into active vocabulary.</x:v>
      </x:c>
      <x:c r="B17" s="158"/>
      <x:c r="C17" s="158"/>
      <x:c r="D17" s="158"/>
      <x:c r="E17" s="158"/>
      <x:c r="F17" s="158"/>
      <x:c r="G17" s="158"/>
      <x:c r="H17" s="159"/>
    </x:row>
    <x:row r="18">
      <x:c r="A18" s="160"/>
      <x:c r="B18" s="161"/>
      <x:c r="C18" s="161"/>
      <x:c r="D18" s="161"/>
      <x:c r="E18" s="161"/>
      <x:c r="F18" s="161"/>
      <x:c r="G18" s="161"/>
      <x:c r="H18" s="162"/>
    </x:row>
    <x:row r="19">
      <x:c r="A19" s="163"/>
      <x:c r="B19" s="164"/>
      <x:c r="C19" s="164"/>
      <x:c r="D19" s="164"/>
      <x:c r="E19" s="164"/>
      <x:c r="F19" s="164"/>
      <x:c r="G19" s="164"/>
      <x:c r="H19" s="165"/>
    </x:row>
  </x:sheetData>
  <x:mergeCells>
    <x:mergeCell ref="A1:H1"/>
    <x:mergeCell ref="A2:H2"/>
    <x:mergeCell ref="A4:B4"/>
    <x:mergeCell ref="C4:D4"/>
    <x:mergeCell ref="E4:F4"/>
    <x:mergeCell ref="G4:H4"/>
    <x:mergeCell ref="A5:B6"/>
    <x:mergeCell ref="C5:D6"/>
    <x:mergeCell ref="E5:F6"/>
    <x:mergeCell ref="G5:H6"/>
    <x:mergeCell ref="A8:B8"/>
    <x:mergeCell ref="C8:D8"/>
    <x:mergeCell ref="E8:F8"/>
    <x:mergeCell ref="G8:H8"/>
    <x:mergeCell ref="A9:B10"/>
    <x:mergeCell ref="C9:D10"/>
    <x:mergeCell ref="E9:F10"/>
    <x:mergeCell ref="G9:H10"/>
    <x:mergeCell ref="A12:B12"/>
    <x:mergeCell ref="C12:D12"/>
    <x:mergeCell ref="E12:F12"/>
    <x:mergeCell ref="G12:H12"/>
    <x:mergeCell ref="A13:B14"/>
    <x:mergeCell ref="C13:D14"/>
    <x:mergeCell ref="E13:F14"/>
    <x:mergeCell ref="G13:H14"/>
    <x:mergeCell ref="A17:H19"/>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7" hidden="0" customWidth="1"/>
    <x:col min="2" max="2" width="19" hidden="0" customWidth="1"/>
    <x:col min="3" max="3" width="14" hidden="0" customWidth="1"/>
    <x:col min="4" max="4" width="34" hidden="0" customWidth="1"/>
    <x:col min="5" max="5" width="13" hidden="0" customWidth="1"/>
    <x:col min="6" max="6" width="11" hidden="0" customWidth="1"/>
    <x:col min="7" max="7" width="13" hidden="0" customWidth="1"/>
    <x:col min="8" max="8" width="19" hidden="0" customWidth="1"/>
    <x:col min="9" max="9" width="15" hidden="0" customWidth="1"/>
    <x:col min="10" max="10" width="13" hidden="0" customWidth="1"/>
    <x:col min="11" max="11" width="14" hidden="0" customWidth="1"/>
    <x:col min="12" max="12" width="14" hidden="0" customWidth="1"/>
    <x:col min="13" max="13" width="36" hidden="0" customWidth="1"/>
    <x:col min="14" max="14" width="30" hidden="0" customWidth="1"/>
    <x:col min="15" max="15" width="23" hidden="0" customWidth="1"/>
    <x:col min="16" max="16" width="40" hidden="0" customWidth="1"/>
  </x:cols>
  <x:sheetData>
    <x:row r="1" ht="32" customHeight="1">
      <x:c r="A1" s="35" t="str">
        <x:v>ID</x:v>
      </x:c>
      <x:c r="B1" s="36" t="str">
        <x:v>Headword</x:v>
      </x:c>
      <x:c r="C1" s="36" t="str">
        <x:v>Part of Speech</x:v>
      </x:c>
      <x:c r="D1" s="36" t="str">
        <x:v>Ukrainian Equivalent</x:v>
      </x:c>
      <x:c r="E1" s="36" t="str">
        <x:v>AWL Overlap</x:v>
      </x:c>
      <x:c r="F1" s="36" t="str">
        <x:v>AWL Sublist</x:v>
      </x:c>
      <x:c r="G1" s="36" t="str">
        <x:v>IELTS Priority</x:v>
      </x:c>
      <x:c r="H1" s="36" t="str">
        <x:v>Topic</x:v>
      </x:c>
      <x:c r="I1" s="36" t="str">
        <x:v>Study Status</x:v>
      </x:c>
      <x:c r="J1" s="36" t="str">
        <x:v>Confidence 0–5</x:v>
      </x:c>
      <x:c r="K1" s="36" t="str">
        <x:v>Last Reviewed</x:v>
      </x:c>
      <x:c r="L1" s="36" t="str">
        <x:v>Next Review</x:v>
      </x:c>
      <x:c r="M1" s="36" t="str">
        <x:v>Own IELTS Example</x:v>
      </x:c>
      <x:c r="N1" s="36" t="str">
        <x:v>Collocation / Note</x:v>
      </x:c>
      <x:c r="O1" s="36" t="str">
        <x:v>Translation QA</x:v>
      </x:c>
      <x:c r="P1" s="37" t="str">
        <x:v>Source URL</x:v>
      </x:c>
    </x:row>
    <x:row r="2" ht="26" customHeight="1">
      <x:c r="A2" s="167" t="n">
        <x:v>1</x:v>
      </x:c>
      <x:c r="B2" s="167" t="str">
        <x:v>abolish</x:v>
      </x:c>
      <x:c r="C2" s="167" t="str">
        <x:v>v.</x:v>
      </x:c>
      <x:c r="D2" s="170" t="str">
        <x:v>скасувати</x:v>
      </x:c>
      <x:c r="E2" s="167" t="str">
        <x:v>No</x:v>
      </x:c>
      <x:c r="F2" s="167"/>
      <x:c r="G2" s="167" t="str">
        <x:v>Core</x:v>
      </x:c>
      <x:c r="H2" s="167" t="str">
        <x:v>General</x:v>
      </x:c>
      <x:c r="I2" s="167" t="str">
        <x:v>Not Started</x:v>
      </x:c>
      <x:c r="J2" s="167" t="n">
        <x:v>0</x:v>
      </x:c>
      <x:c r="K2" s="168"/>
      <x:c r="L2" s="168" t="str">
        <x:f>IF(OR(I2="Mastered",K2=""),"",K2+IF(J2&gt;=5,30,IF(J2=4,14,IF(J2=3,7,IF(J2=2,3,1)))))</x:f>
      </x:c>
      <x:c r="M2" s="171" t="str"/>
      <x:c r="N2" s="171" t="str"/>
      <x:c r="O2" s="171" t="str">
        <x:v>Draft — verify in context</x:v>
      </x:c>
      <x:c r="P2" s="167" t="str">
        <x:v>https://www.oxfordlearnersdictionaries.com/wordlists/oxford3000-5000</x:v>
      </x:c>
    </x:row>
    <x:row r="3" ht="26" customHeight="1">
      <x:c r="A3" s="167" t="n">
        <x:v>2</x:v>
      </x:c>
      <x:c r="B3" s="167" t="str">
        <x:v>abortion</x:v>
      </x:c>
      <x:c r="C3" s="167" t="str">
        <x:v>n.</x:v>
      </x:c>
      <x:c r="D3" s="170" t="str">
        <x:v>аборт</x:v>
      </x:c>
      <x:c r="E3" s="167" t="str">
        <x:v>No</x:v>
      </x:c>
      <x:c r="F3" s="167"/>
      <x:c r="G3" s="167" t="str">
        <x:v>Core</x:v>
      </x:c>
      <x:c r="H3" s="167" t="str">
        <x:v>General</x:v>
      </x:c>
      <x:c r="I3" s="167" t="str">
        <x:v>Not Started</x:v>
      </x:c>
      <x:c r="J3" s="167" t="n">
        <x:v>0</x:v>
      </x:c>
      <x:c r="K3" s="168"/>
      <x:c r="L3" s="168" t="str">
        <x:f>IF(OR(I3="Mastered",K3=""),"",K3+IF(J3&gt;=5,30,IF(J3=4,14,IF(J3=3,7,IF(J3=2,3,1)))))</x:f>
      </x:c>
      <x:c r="M3" s="171" t="str"/>
      <x:c r="N3" s="171" t="str"/>
      <x:c r="O3" s="171" t="str">
        <x:v>Draft — verify in context</x:v>
      </x:c>
      <x:c r="P3" s="167" t="str">
        <x:v>https://www.oxfordlearnersdictionaries.com/wordlists/oxford3000-5000</x:v>
      </x:c>
    </x:row>
    <x:row r="4" ht="26" customHeight="1">
      <x:c r="A4" s="167" t="n">
        <x:v>3</x:v>
      </x:c>
      <x:c r="B4" s="167" t="str">
        <x:v>absence</x:v>
      </x:c>
      <x:c r="C4" s="167" t="str">
        <x:v>n.</x:v>
      </x:c>
      <x:c r="D4" s="170" t="str">
        <x:v>відсутність</x:v>
      </x:c>
      <x:c r="E4" s="167" t="str">
        <x:v>No</x:v>
      </x:c>
      <x:c r="F4" s="167"/>
      <x:c r="G4" s="167" t="str">
        <x:v>Core</x:v>
      </x:c>
      <x:c r="H4" s="167" t="str">
        <x:v>General</x:v>
      </x:c>
      <x:c r="I4" s="167" t="str">
        <x:v>Not Started</x:v>
      </x:c>
      <x:c r="J4" s="167" t="n">
        <x:v>0</x:v>
      </x:c>
      <x:c r="K4" s="168"/>
      <x:c r="L4" s="168" t="str">
        <x:f>IF(OR(I4="Mastered",K4=""),"",K4+IF(J4&gt;=5,30,IF(J4=4,14,IF(J4=3,7,IF(J4=2,3,1)))))</x:f>
      </x:c>
      <x:c r="M4" s="171" t="str"/>
      <x:c r="N4" s="171" t="str"/>
      <x:c r="O4" s="171" t="str">
        <x:v>Draft — verify in context</x:v>
      </x:c>
      <x:c r="P4" s="167" t="str">
        <x:v>https://www.oxfordlearnersdictionaries.com/wordlists/oxford3000-5000</x:v>
      </x:c>
    </x:row>
    <x:row r="5" ht="26" customHeight="1">
      <x:c r="A5" s="167" t="n">
        <x:v>4</x:v>
      </x:c>
      <x:c r="B5" s="167" t="str">
        <x:v>absent</x:v>
      </x:c>
      <x:c r="C5" s="167" t="str">
        <x:v>adj.</x:v>
      </x:c>
      <x:c r="D5" s="170" t="str">
        <x:v>відсутній</x:v>
      </x:c>
      <x:c r="E5" s="167" t="str">
        <x:v>No</x:v>
      </x:c>
      <x:c r="F5" s="167"/>
      <x:c r="G5" s="167" t="str">
        <x:v>Core</x:v>
      </x:c>
      <x:c r="H5" s="167" t="str">
        <x:v>General</x:v>
      </x:c>
      <x:c r="I5" s="167" t="str">
        <x:v>Not Started</x:v>
      </x:c>
      <x:c r="J5" s="167" t="n">
        <x:v>0</x:v>
      </x:c>
      <x:c r="K5" s="168"/>
      <x:c r="L5" s="168" t="str">
        <x:f>IF(OR(I5="Mastered",K5=""),"",K5+IF(J5&gt;=5,30,IF(J5=4,14,IF(J5=3,7,IF(J5=2,3,1)))))</x:f>
      </x:c>
      <x:c r="M5" s="171" t="str"/>
      <x:c r="N5" s="171" t="str"/>
      <x:c r="O5" s="171" t="str">
        <x:v>Draft — verify in context</x:v>
      </x:c>
      <x:c r="P5" s="167" t="str">
        <x:v>https://www.oxfordlearnersdictionaries.com/wordlists/oxford3000-5000</x:v>
      </x:c>
    </x:row>
    <x:row r="6" ht="26" customHeight="1">
      <x:c r="A6" s="167" t="n">
        <x:v>5</x:v>
      </x:c>
      <x:c r="B6" s="167" t="str">
        <x:v>absurd</x:v>
      </x:c>
      <x:c r="C6" s="167" t="str">
        <x:v>adj.</x:v>
      </x:c>
      <x:c r="D6" s="170" t="str">
        <x:v>абсурдний</x:v>
      </x:c>
      <x:c r="E6" s="167" t="str">
        <x:v>No</x:v>
      </x:c>
      <x:c r="F6" s="167"/>
      <x:c r="G6" s="167" t="str">
        <x:v>Core</x:v>
      </x:c>
      <x:c r="H6" s="167" t="str">
        <x:v>General</x:v>
      </x:c>
      <x:c r="I6" s="167" t="str">
        <x:v>Not Started</x:v>
      </x:c>
      <x:c r="J6" s="167" t="n">
        <x:v>0</x:v>
      </x:c>
      <x:c r="K6" s="168"/>
      <x:c r="L6" s="168" t="str">
        <x:f>IF(OR(I6="Mastered",K6=""),"",K6+IF(J6&gt;=5,30,IF(J6=4,14,IF(J6=3,7,IF(J6=2,3,1)))))</x:f>
      </x:c>
      <x:c r="M6" s="171" t="str"/>
      <x:c r="N6" s="171" t="str"/>
      <x:c r="O6" s="171" t="str">
        <x:v>Draft — verify in context</x:v>
      </x:c>
      <x:c r="P6" s="167" t="str">
        <x:v>https://www.oxfordlearnersdictionaries.com/wordlists/oxford3000-5000</x:v>
      </x:c>
    </x:row>
    <x:row r="7" ht="26" customHeight="1">
      <x:c r="A7" s="167" t="n">
        <x:v>6</x:v>
      </x:c>
      <x:c r="B7" s="167" t="str">
        <x:v>abundance</x:v>
      </x:c>
      <x:c r="C7" s="167" t="str">
        <x:v>n.</x:v>
      </x:c>
      <x:c r="D7" s="170" t="str">
        <x:v>достаток</x:v>
      </x:c>
      <x:c r="E7" s="167" t="str">
        <x:v>No</x:v>
      </x:c>
      <x:c r="F7" s="167"/>
      <x:c r="G7" s="167" t="str">
        <x:v>Core</x:v>
      </x:c>
      <x:c r="H7" s="167" t="str">
        <x:v>General</x:v>
      </x:c>
      <x:c r="I7" s="167" t="str">
        <x:v>Not Started</x:v>
      </x:c>
      <x:c r="J7" s="167" t="n">
        <x:v>0</x:v>
      </x:c>
      <x:c r="K7" s="168"/>
      <x:c r="L7" s="168" t="str">
        <x:f>IF(OR(I7="Mastered",K7=""),"",K7+IF(J7&gt;=5,30,IF(J7=4,14,IF(J7=3,7,IF(J7=2,3,1)))))</x:f>
      </x:c>
      <x:c r="M7" s="171" t="str"/>
      <x:c r="N7" s="171" t="str"/>
      <x:c r="O7" s="171" t="str">
        <x:v>Draft — verify in context</x:v>
      </x:c>
      <x:c r="P7" s="167" t="str">
        <x:v>https://www.oxfordlearnersdictionaries.com/wordlists/oxford3000-5000</x:v>
      </x:c>
    </x:row>
    <x:row r="8" ht="26" customHeight="1">
      <x:c r="A8" s="167" t="n">
        <x:v>7</x:v>
      </x:c>
      <x:c r="B8" s="167" t="str">
        <x:v>abuse</x:v>
      </x:c>
      <x:c r="C8" s="167" t="str">
        <x:v>n., v.</x:v>
      </x:c>
      <x:c r="D8" s="170" t="str">
        <x:v>зловживання</x:v>
      </x:c>
      <x:c r="E8" s="167" t="str">
        <x:v>No</x:v>
      </x:c>
      <x:c r="F8" s="167"/>
      <x:c r="G8" s="167" t="str">
        <x:v>Core</x:v>
      </x:c>
      <x:c r="H8" s="167" t="str">
        <x:v>General</x:v>
      </x:c>
      <x:c r="I8" s="167" t="str">
        <x:v>Not Started</x:v>
      </x:c>
      <x:c r="J8" s="167" t="n">
        <x:v>0</x:v>
      </x:c>
      <x:c r="K8" s="168"/>
      <x:c r="L8" s="168" t="str">
        <x:f>IF(OR(I8="Mastered",K8=""),"",K8+IF(J8&gt;=5,30,IF(J8=4,14,IF(J8=3,7,IF(J8=2,3,1)))))</x:f>
      </x:c>
      <x:c r="M8" s="171" t="str"/>
      <x:c r="N8" s="171" t="str"/>
      <x:c r="O8" s="171" t="str">
        <x:v>Draft — verify in context</x:v>
      </x:c>
      <x:c r="P8" s="167" t="str">
        <x:v>https://www.oxfordlearnersdictionaries.com/wordlists/oxford3000-5000</x:v>
      </x:c>
    </x:row>
    <x:row r="9" ht="26" customHeight="1">
      <x:c r="A9" s="167" t="n">
        <x:v>8</x:v>
      </x:c>
      <x:c r="B9" s="167" t="str">
        <x:v>academy</x:v>
      </x:c>
      <x:c r="C9" s="167" t="str">
        <x:v>n.</x:v>
      </x:c>
      <x:c r="D9" s="170" t="str">
        <x:v>академія</x:v>
      </x:c>
      <x:c r="E9" s="167" t="str">
        <x:v>No</x:v>
      </x:c>
      <x:c r="F9" s="167"/>
      <x:c r="G9" s="167" t="str">
        <x:v>High</x:v>
      </x:c>
      <x:c r="H9" s="167" t="str">
        <x:v>Education</x:v>
      </x:c>
      <x:c r="I9" s="167" t="str">
        <x:v>Not Started</x:v>
      </x:c>
      <x:c r="J9" s="167" t="n">
        <x:v>0</x:v>
      </x:c>
      <x:c r="K9" s="168"/>
      <x:c r="L9" s="168" t="str">
        <x:f>IF(OR(I9="Mastered",K9=""),"",K9+IF(J9&gt;=5,30,IF(J9=4,14,IF(J9=3,7,IF(J9=2,3,1)))))</x:f>
      </x:c>
      <x:c r="M9" s="171" t="str"/>
      <x:c r="N9" s="171" t="str"/>
      <x:c r="O9" s="171" t="str">
        <x:v>Draft — verify in context</x:v>
      </x:c>
      <x:c r="P9" s="167" t="str">
        <x:v>https://www.oxfordlearnersdictionaries.com/wordlists/oxford3000-5000</x:v>
      </x:c>
    </x:row>
    <x:row r="10" ht="26" customHeight="1">
      <x:c r="A10" s="167" t="n">
        <x:v>9</x:v>
      </x:c>
      <x:c r="B10" s="167" t="str">
        <x:v>accelerate</x:v>
      </x:c>
      <x:c r="C10" s="167" t="str">
        <x:v>v.</x:v>
      </x:c>
      <x:c r="D10" s="170" t="str">
        <x:v>прискорити</x:v>
      </x:c>
      <x:c r="E10" s="167" t="str">
        <x:v>No</x:v>
      </x:c>
      <x:c r="F10" s="167"/>
      <x:c r="G10" s="167" t="str">
        <x:v>Core</x:v>
      </x:c>
      <x:c r="H10" s="167" t="str">
        <x:v>General</x:v>
      </x:c>
      <x:c r="I10" s="167" t="str">
        <x:v>Not Started</x:v>
      </x:c>
      <x:c r="J10" s="167" t="n">
        <x:v>0</x:v>
      </x:c>
      <x:c r="K10" s="168"/>
      <x:c r="L10" s="168" t="str">
        <x:f>IF(OR(I10="Mastered",K10=""),"",K10+IF(J10&gt;=5,30,IF(J10=4,14,IF(J10=3,7,IF(J10=2,3,1)))))</x:f>
      </x:c>
      <x:c r="M10" s="171" t="str"/>
      <x:c r="N10" s="171" t="str"/>
      <x:c r="O10" s="171" t="str">
        <x:v>Draft — verify in context</x:v>
      </x:c>
      <x:c r="P10" s="167" t="str">
        <x:v>https://www.oxfordlearnersdictionaries.com/wordlists/oxford3000-5000</x:v>
      </x:c>
    </x:row>
    <x:row r="11" ht="26" customHeight="1">
      <x:c r="A11" s="167" t="n">
        <x:v>10</x:v>
      </x:c>
      <x:c r="B11" s="167" t="str">
        <x:v>acceptance</x:v>
      </x:c>
      <x:c r="C11" s="167" t="str">
        <x:v>n.</x:v>
      </x:c>
      <x:c r="D11" s="170" t="str">
        <x:v>прийняття</x:v>
      </x:c>
      <x:c r="E11" s="167" t="str">
        <x:v>No</x:v>
      </x:c>
      <x:c r="F11" s="167"/>
      <x:c r="G11" s="167" t="str">
        <x:v>Core</x:v>
      </x:c>
      <x:c r="H11" s="167" t="str">
        <x:v>General</x:v>
      </x:c>
      <x:c r="I11" s="167" t="str">
        <x:v>Not Started</x:v>
      </x:c>
      <x:c r="J11" s="167" t="n">
        <x:v>0</x:v>
      </x:c>
      <x:c r="K11" s="168"/>
      <x:c r="L11" s="168" t="str">
        <x:f>IF(OR(I11="Mastered",K11=""),"",K11+IF(J11&gt;=5,30,IF(J11=4,14,IF(J11=3,7,IF(J11=2,3,1)))))</x:f>
      </x:c>
      <x:c r="M11" s="171" t="str"/>
      <x:c r="N11" s="171" t="str"/>
      <x:c r="O11" s="171" t="str">
        <x:v>Draft — verify in context</x:v>
      </x:c>
      <x:c r="P11" s="167" t="str">
        <x:v>https://www.oxfordlearnersdictionaries.com/wordlists/oxford3000-5000</x:v>
      </x:c>
    </x:row>
    <x:row r="12" ht="26" customHeight="1">
      <x:c r="A12" s="167" t="n">
        <x:v>11</x:v>
      </x:c>
      <x:c r="B12" s="167" t="str">
        <x:v>accessible</x:v>
      </x:c>
      <x:c r="C12" s="167" t="str">
        <x:v>adj.</x:v>
      </x:c>
      <x:c r="D12" s="170" t="str">
        <x:v>доступний</x:v>
      </x:c>
      <x:c r="E12" s="167" t="str">
        <x:v>No</x:v>
      </x:c>
      <x:c r="F12" s="167"/>
      <x:c r="G12" s="167" t="str">
        <x:v>Core</x:v>
      </x:c>
      <x:c r="H12" s="167" t="str">
        <x:v>General</x:v>
      </x:c>
      <x:c r="I12" s="167" t="str">
        <x:v>Not Started</x:v>
      </x:c>
      <x:c r="J12" s="167" t="n">
        <x:v>0</x:v>
      </x:c>
      <x:c r="K12" s="168"/>
      <x:c r="L12" s="168" t="str">
        <x:f>IF(OR(I12="Mastered",K12=""),"",K12+IF(J12&gt;=5,30,IF(J12=4,14,IF(J12=3,7,IF(J12=2,3,1)))))</x:f>
      </x:c>
      <x:c r="M12" s="171" t="str"/>
      <x:c r="N12" s="171" t="str"/>
      <x:c r="O12" s="171" t="str">
        <x:v>Draft — verify in context</x:v>
      </x:c>
      <x:c r="P12" s="167" t="str">
        <x:v>https://www.oxfordlearnersdictionaries.com/wordlists/oxford3000-5000</x:v>
      </x:c>
    </x:row>
    <x:row r="13" ht="26" customHeight="1">
      <x:c r="A13" s="167" t="n">
        <x:v>12</x:v>
      </x:c>
      <x:c r="B13" s="167" t="str">
        <x:v>accomplishment</x:v>
      </x:c>
      <x:c r="C13" s="167" t="str">
        <x:v>n.</x:v>
      </x:c>
      <x:c r="D13" s="170" t="str">
        <x:v>досягнення</x:v>
      </x:c>
      <x:c r="E13" s="167" t="str">
        <x:v>No</x:v>
      </x:c>
      <x:c r="F13" s="167"/>
      <x:c r="G13" s="167" t="str">
        <x:v>Core</x:v>
      </x:c>
      <x:c r="H13" s="167" t="str">
        <x:v>General</x:v>
      </x:c>
      <x:c r="I13" s="167" t="str">
        <x:v>Not Started</x:v>
      </x:c>
      <x:c r="J13" s="167" t="n">
        <x:v>0</x:v>
      </x:c>
      <x:c r="K13" s="168"/>
      <x:c r="L13" s="168" t="str">
        <x:f>IF(OR(I13="Mastered",K13=""),"",K13+IF(J13&gt;=5,30,IF(J13=4,14,IF(J13=3,7,IF(J13=2,3,1)))))</x:f>
      </x:c>
      <x:c r="M13" s="171" t="str"/>
      <x:c r="N13" s="171" t="str"/>
      <x:c r="O13" s="171" t="str">
        <x:v>Draft — verify in context</x:v>
      </x:c>
      <x:c r="P13" s="167" t="str">
        <x:v>https://www.oxfordlearnersdictionaries.com/wordlists/oxford3000-5000</x:v>
      </x:c>
    </x:row>
    <x:row r="14" ht="26" customHeight="1">
      <x:c r="A14" s="167" t="n">
        <x:v>13</x:v>
      </x:c>
      <x:c r="B14" s="167" t="str">
        <x:v>accordance</x:v>
      </x:c>
      <x:c r="C14" s="167" t="str">
        <x:v>n.</x:v>
      </x:c>
      <x:c r="D14" s="170" t="str">
        <x:v>відповідність</x:v>
      </x:c>
      <x:c r="E14" s="167" t="str">
        <x:v>No</x:v>
      </x:c>
      <x:c r="F14" s="167"/>
      <x:c r="G14" s="167" t="str">
        <x:v>Core</x:v>
      </x:c>
      <x:c r="H14" s="167" t="str">
        <x:v>General</x:v>
      </x:c>
      <x:c r="I14" s="167" t="str">
        <x:v>Not Started</x:v>
      </x:c>
      <x:c r="J14" s="167" t="n">
        <x:v>0</x:v>
      </x:c>
      <x:c r="K14" s="168"/>
      <x:c r="L14" s="168" t="str">
        <x:f>IF(OR(I14="Mastered",K14=""),"",K14+IF(J14&gt;=5,30,IF(J14=4,14,IF(J14=3,7,IF(J14=2,3,1)))))</x:f>
      </x:c>
      <x:c r="M14" s="171" t="str"/>
      <x:c r="N14" s="171" t="str"/>
      <x:c r="O14" s="171" t="str">
        <x:v>Draft — verify in context</x:v>
      </x:c>
      <x:c r="P14" s="167" t="str">
        <x:v>https://www.oxfordlearnersdictionaries.com/wordlists/oxford3000-5000</x:v>
      </x:c>
    </x:row>
    <x:row r="15" ht="26" customHeight="1">
      <x:c r="A15" s="167" t="n">
        <x:v>14</x:v>
      </x:c>
      <x:c r="B15" s="167" t="str">
        <x:v>accordingly</x:v>
      </x:c>
      <x:c r="C15" s="167" t="str">
        <x:v>adv.</x:v>
      </x:c>
      <x:c r="D15" s="170" t="str">
        <x:v>відповідно</x:v>
      </x:c>
      <x:c r="E15" s="167" t="str">
        <x:v>No</x:v>
      </x:c>
      <x:c r="F15" s="167"/>
      <x:c r="G15" s="167" t="str">
        <x:v>Core</x:v>
      </x:c>
      <x:c r="H15" s="167" t="str">
        <x:v>General</x:v>
      </x:c>
      <x:c r="I15" s="167" t="str">
        <x:v>Not Started</x:v>
      </x:c>
      <x:c r="J15" s="167" t="n">
        <x:v>0</x:v>
      </x:c>
      <x:c r="K15" s="168"/>
      <x:c r="L15" s="168" t="str">
        <x:f>IF(OR(I15="Mastered",K15=""),"",K15+IF(J15&gt;=5,30,IF(J15=4,14,IF(J15=3,7,IF(J15=2,3,1)))))</x:f>
      </x:c>
      <x:c r="M15" s="171" t="str"/>
      <x:c r="N15" s="171" t="str"/>
      <x:c r="O15" s="171" t="str">
        <x:v>Draft — verify in context</x:v>
      </x:c>
      <x:c r="P15" s="167" t="str">
        <x:v>https://www.oxfordlearnersdictionaries.com/wordlists/oxford3000-5000</x:v>
      </x:c>
    </x:row>
    <x:row r="16" ht="26" customHeight="1">
      <x:c r="A16" s="167" t="n">
        <x:v>15</x:v>
      </x:c>
      <x:c r="B16" s="167" t="str">
        <x:v>accountability</x:v>
      </x:c>
      <x:c r="C16" s="167" t="str">
        <x:v>n.</x:v>
      </x:c>
      <x:c r="D16" s="170" t="str">
        <x:v>підзвітність</x:v>
      </x:c>
      <x:c r="E16" s="167" t="str">
        <x:v>No</x:v>
      </x:c>
      <x:c r="F16" s="167"/>
      <x:c r="G16" s="167" t="str">
        <x:v>Core</x:v>
      </x:c>
      <x:c r="H16" s="167" t="str">
        <x:v>General</x:v>
      </x:c>
      <x:c r="I16" s="167" t="str">
        <x:v>Not Started</x:v>
      </x:c>
      <x:c r="J16" s="167" t="n">
        <x:v>0</x:v>
      </x:c>
      <x:c r="K16" s="168"/>
      <x:c r="L16" s="168" t="str">
        <x:f>IF(OR(I16="Mastered",K16=""),"",K16+IF(J16&gt;=5,30,IF(J16=4,14,IF(J16=3,7,IF(J16=2,3,1)))))</x:f>
      </x:c>
      <x:c r="M16" s="171" t="str"/>
      <x:c r="N16" s="171" t="str"/>
      <x:c r="O16" s="171" t="str">
        <x:v>Draft — verify in context</x:v>
      </x:c>
      <x:c r="P16" s="167" t="str">
        <x:v>https://www.oxfordlearnersdictionaries.com/wordlists/oxford3000-5000</x:v>
      </x:c>
    </x:row>
    <x:row r="17" ht="26" customHeight="1">
      <x:c r="A17" s="167" t="n">
        <x:v>16</x:v>
      </x:c>
      <x:c r="B17" s="167" t="str">
        <x:v>accountable</x:v>
      </x:c>
      <x:c r="C17" s="167" t="str">
        <x:v>adj.</x:v>
      </x:c>
      <x:c r="D17" s="170" t="str">
        <x:v>підзвітний</x:v>
      </x:c>
      <x:c r="E17" s="167" t="str">
        <x:v>No</x:v>
      </x:c>
      <x:c r="F17" s="167"/>
      <x:c r="G17" s="167" t="str">
        <x:v>Core</x:v>
      </x:c>
      <x:c r="H17" s="167" t="str">
        <x:v>General</x:v>
      </x:c>
      <x:c r="I17" s="167" t="str">
        <x:v>Not Started</x:v>
      </x:c>
      <x:c r="J17" s="167" t="n">
        <x:v>0</x:v>
      </x:c>
      <x:c r="K17" s="168"/>
      <x:c r="L17" s="168" t="str">
        <x:f>IF(OR(I17="Mastered",K17=""),"",K17+IF(J17&gt;=5,30,IF(J17=4,14,IF(J17=3,7,IF(J17=2,3,1)))))</x:f>
      </x:c>
      <x:c r="M17" s="171" t="str"/>
      <x:c r="N17" s="171" t="str"/>
      <x:c r="O17" s="171" t="str">
        <x:v>Draft — verify in context</x:v>
      </x:c>
      <x:c r="P17" s="167" t="str">
        <x:v>https://www.oxfordlearnersdictionaries.com/wordlists/oxford3000-5000</x:v>
      </x:c>
    </x:row>
    <x:row r="18" ht="26" customHeight="1">
      <x:c r="A18" s="167" t="n">
        <x:v>17</x:v>
      </x:c>
      <x:c r="B18" s="167" t="str">
        <x:v>accumulate</x:v>
      </x:c>
      <x:c r="C18" s="167" t="str">
        <x:v>v.</x:v>
      </x:c>
      <x:c r="D18" s="170" t="str">
        <x:v>накопичувати</x:v>
      </x:c>
      <x:c r="E18" s="167" t="str">
        <x:v>No</x:v>
      </x:c>
      <x:c r="F18" s="167"/>
      <x:c r="G18" s="167" t="str">
        <x:v>Core</x:v>
      </x:c>
      <x:c r="H18" s="167" t="str">
        <x:v>General</x:v>
      </x:c>
      <x:c r="I18" s="167" t="str">
        <x:v>Not Started</x:v>
      </x:c>
      <x:c r="J18" s="167" t="n">
        <x:v>0</x:v>
      </x:c>
      <x:c r="K18" s="168"/>
      <x:c r="L18" s="168" t="str">
        <x:f>IF(OR(I18="Mastered",K18=""),"",K18+IF(J18&gt;=5,30,IF(J18=4,14,IF(J18=3,7,IF(J18=2,3,1)))))</x:f>
      </x:c>
      <x:c r="M18" s="171" t="str"/>
      <x:c r="N18" s="171" t="str"/>
      <x:c r="O18" s="171" t="str">
        <x:v>Draft — verify in context</x:v>
      </x:c>
      <x:c r="P18" s="167" t="str">
        <x:v>https://www.oxfordlearnersdictionaries.com/wordlists/oxford3000-5000</x:v>
      </x:c>
    </x:row>
    <x:row r="19" ht="26" customHeight="1">
      <x:c r="A19" s="167" t="n">
        <x:v>18</x:v>
      </x:c>
      <x:c r="B19" s="167" t="str">
        <x:v>accumulation</x:v>
      </x:c>
      <x:c r="C19" s="167" t="str">
        <x:v>n.</x:v>
      </x:c>
      <x:c r="D19" s="170" t="str">
        <x:v>накопичення</x:v>
      </x:c>
      <x:c r="E19" s="167" t="str">
        <x:v>Yes</x:v>
      </x:c>
      <x:c r="F19" s="167" t="n">
        <x:v>8</x:v>
      </x:c>
      <x:c r="G19" s="167" t="str">
        <x:v>High</x:v>
      </x:c>
      <x:c r="H19" s="167" t="str">
        <x:v>General</x:v>
      </x:c>
      <x:c r="I19" s="167" t="str">
        <x:v>Not Started</x:v>
      </x:c>
      <x:c r="J19" s="167" t="n">
        <x:v>0</x:v>
      </x:c>
      <x:c r="K19" s="168"/>
      <x:c r="L19" s="168" t="str">
        <x:f>IF(OR(I19="Mastered",K19=""),"",K19+IF(J19&gt;=5,30,IF(J19=4,14,IF(J19=3,7,IF(J19=2,3,1)))))</x:f>
      </x:c>
      <x:c r="M19" s="171" t="str"/>
      <x:c r="N19" s="171" t="str"/>
      <x:c r="O19" s="171" t="str">
        <x:v>Draft — verify in context</x:v>
      </x:c>
      <x:c r="P19" s="167" t="str">
        <x:v>https://www.oxfordlearnersdictionaries.com/wordlists/oxford3000-5000</x:v>
      </x:c>
    </x:row>
    <x:row r="20" ht="26" customHeight="1">
      <x:c r="A20" s="167" t="n">
        <x:v>19</x:v>
      </x:c>
      <x:c r="B20" s="167" t="str">
        <x:v>accusation</x:v>
      </x:c>
      <x:c r="C20" s="167" t="str">
        <x:v>n.</x:v>
      </x:c>
      <x:c r="D20" s="170" t="str">
        <x:v>звинувачення</x:v>
      </x:c>
      <x:c r="E20" s="167" t="str">
        <x:v>No</x:v>
      </x:c>
      <x:c r="F20" s="167"/>
      <x:c r="G20" s="167" t="str">
        <x:v>Core</x:v>
      </x:c>
      <x:c r="H20" s="167" t="str">
        <x:v>General</x:v>
      </x:c>
      <x:c r="I20" s="167" t="str">
        <x:v>Not Started</x:v>
      </x:c>
      <x:c r="J20" s="167" t="n">
        <x:v>0</x:v>
      </x:c>
      <x:c r="K20" s="168"/>
      <x:c r="L20" s="168" t="str">
        <x:f>IF(OR(I20="Mastered",K20=""),"",K20+IF(J20&gt;=5,30,IF(J20=4,14,IF(J20=3,7,IF(J20=2,3,1)))))</x:f>
      </x:c>
      <x:c r="M20" s="171" t="str"/>
      <x:c r="N20" s="171" t="str"/>
      <x:c r="O20" s="171" t="str">
        <x:v>Draft — verify in context</x:v>
      </x:c>
      <x:c r="P20" s="167" t="str">
        <x:v>https://www.oxfordlearnersdictionaries.com/wordlists/oxford3000-5000</x:v>
      </x:c>
    </x:row>
    <x:row r="21" ht="26" customHeight="1">
      <x:c r="A21" s="167" t="n">
        <x:v>20</x:v>
      </x:c>
      <x:c r="B21" s="167" t="str">
        <x:v>accused</x:v>
      </x:c>
      <x:c r="C21" s="167" t="str">
        <x:v>n.</x:v>
      </x:c>
      <x:c r="D21" s="170" t="str">
        <x:v>обвинувачений</x:v>
      </x:c>
      <x:c r="E21" s="167" t="str">
        <x:v>No</x:v>
      </x:c>
      <x:c r="F21" s="167"/>
      <x:c r="G21" s="167" t="str">
        <x:v>Core</x:v>
      </x:c>
      <x:c r="H21" s="167" t="str">
        <x:v>General</x:v>
      </x:c>
      <x:c r="I21" s="167" t="str">
        <x:v>Not Started</x:v>
      </x:c>
      <x:c r="J21" s="167" t="n">
        <x:v>0</x:v>
      </x:c>
      <x:c r="K21" s="168"/>
      <x:c r="L21" s="168" t="str">
        <x:f>IF(OR(I21="Mastered",K21=""),"",K21+IF(J21&gt;=5,30,IF(J21=4,14,IF(J21=3,7,IF(J21=2,3,1)))))</x:f>
      </x:c>
      <x:c r="M21" s="171" t="str"/>
      <x:c r="N21" s="171" t="str"/>
      <x:c r="O21" s="171" t="str">
        <x:v>Draft — verify in context</x:v>
      </x:c>
      <x:c r="P21" s="167" t="str">
        <x:v>https://www.oxfordlearnersdictionaries.com/wordlists/oxford3000-5000</x:v>
      </x:c>
    </x:row>
    <x:row r="22" ht="26" customHeight="1">
      <x:c r="A22" s="167" t="n">
        <x:v>21</x:v>
      </x:c>
      <x:c r="B22" s="167" t="str">
        <x:v>acid</x:v>
      </x:c>
      <x:c r="C22" s="167" t="str">
        <x:v>adj.</x:v>
      </x:c>
      <x:c r="D22" s="170" t="str">
        <x:v>кислота</x:v>
      </x:c>
      <x:c r="E22" s="167" t="str">
        <x:v>No</x:v>
      </x:c>
      <x:c r="F22" s="167"/>
      <x:c r="G22" s="167" t="str">
        <x:v>Core</x:v>
      </x:c>
      <x:c r="H22" s="167" t="str">
        <x:v>General</x:v>
      </x:c>
      <x:c r="I22" s="167" t="str">
        <x:v>Not Started</x:v>
      </x:c>
      <x:c r="J22" s="167" t="n">
        <x:v>0</x:v>
      </x:c>
      <x:c r="K22" s="168"/>
      <x:c r="L22" s="168" t="str">
        <x:f>IF(OR(I22="Mastered",K22=""),"",K22+IF(J22&gt;=5,30,IF(J22=4,14,IF(J22=3,7,IF(J22=2,3,1)))))</x:f>
      </x:c>
      <x:c r="M22" s="171" t="str"/>
      <x:c r="N22" s="171" t="str"/>
      <x:c r="O22" s="171" t="str">
        <x:v>Draft — verify in context</x:v>
      </x:c>
      <x:c r="P22" s="167" t="str">
        <x:v>https://www.oxfordlearnersdictionaries.com/wordlists/oxford3000-5000</x:v>
      </x:c>
    </x:row>
    <x:row r="23" ht="26" customHeight="1">
      <x:c r="A23" s="167" t="n">
        <x:v>22</x:v>
      </x:c>
      <x:c r="B23" s="167" t="str">
        <x:v>acquisition</x:v>
      </x:c>
      <x:c r="C23" s="167" t="str">
        <x:v>n.</x:v>
      </x:c>
      <x:c r="D23" s="170" t="str">
        <x:v>придбання</x:v>
      </x:c>
      <x:c r="E23" s="167" t="str">
        <x:v>Yes</x:v>
      </x:c>
      <x:c r="F23" s="167" t="n">
        <x:v>2</x:v>
      </x:c>
      <x:c r="G23" s="167" t="str">
        <x:v>High</x:v>
      </x:c>
      <x:c r="H23" s="167" t="str">
        <x:v>General</x:v>
      </x:c>
      <x:c r="I23" s="167" t="str">
        <x:v>Not Started</x:v>
      </x:c>
      <x:c r="J23" s="167" t="n">
        <x:v>0</x:v>
      </x:c>
      <x:c r="K23" s="168"/>
      <x:c r="L23" s="168" t="str">
        <x:f>IF(OR(I23="Mastered",K23=""),"",K23+IF(J23&gt;=5,30,IF(J23=4,14,IF(J23=3,7,IF(J23=2,3,1)))))</x:f>
      </x:c>
      <x:c r="M23" s="171" t="str"/>
      <x:c r="N23" s="171" t="str"/>
      <x:c r="O23" s="171" t="str">
        <x:v>Draft — verify in context</x:v>
      </x:c>
      <x:c r="P23" s="167" t="str">
        <x:v>https://www.oxfordlearnersdictionaries.com/wordlists/oxford3000-5000</x:v>
      </x:c>
    </x:row>
    <x:row r="24" ht="26" customHeight="1">
      <x:c r="A24" s="167" t="n">
        <x:v>23</x:v>
      </x:c>
      <x:c r="B24" s="167" t="str">
        <x:v>acre</x:v>
      </x:c>
      <x:c r="C24" s="167" t="str">
        <x:v>n.</x:v>
      </x:c>
      <x:c r="D24" s="170" t="str">
        <x:v>акр</x:v>
      </x:c>
      <x:c r="E24" s="167" t="str">
        <x:v>No</x:v>
      </x:c>
      <x:c r="F24" s="167"/>
      <x:c r="G24" s="167" t="str">
        <x:v>Core</x:v>
      </x:c>
      <x:c r="H24" s="167" t="str">
        <x:v>General</x:v>
      </x:c>
      <x:c r="I24" s="167" t="str">
        <x:v>Not Started</x:v>
      </x:c>
      <x:c r="J24" s="167" t="n">
        <x:v>0</x:v>
      </x:c>
      <x:c r="K24" s="168"/>
      <x:c r="L24" s="168" t="str">
        <x:f>IF(OR(I24="Mastered",K24=""),"",K24+IF(J24&gt;=5,30,IF(J24=4,14,IF(J24=3,7,IF(J24=2,3,1)))))</x:f>
      </x:c>
      <x:c r="M24" s="171" t="str"/>
      <x:c r="N24" s="171" t="str"/>
      <x:c r="O24" s="171" t="str">
        <x:v>Draft — verify in context</x:v>
      </x:c>
      <x:c r="P24" s="167" t="str">
        <x:v>https://www.oxfordlearnersdictionaries.com/wordlists/oxford3000-5000</x:v>
      </x:c>
    </x:row>
    <x:row r="25" ht="26" customHeight="1">
      <x:c r="A25" s="167" t="n">
        <x:v>24</x:v>
      </x:c>
      <x:c r="B25" s="167" t="str">
        <x:v>activation</x:v>
      </x:c>
      <x:c r="C25" s="167" t="str">
        <x:v>n.</x:v>
      </x:c>
      <x:c r="D25" s="170" t="str">
        <x:v>активація</x:v>
      </x:c>
      <x:c r="E25" s="167" t="str">
        <x:v>No</x:v>
      </x:c>
      <x:c r="F25" s="167"/>
      <x:c r="G25" s="167" t="str">
        <x:v>Core</x:v>
      </x:c>
      <x:c r="H25" s="167" t="str">
        <x:v>General</x:v>
      </x:c>
      <x:c r="I25" s="167" t="str">
        <x:v>Not Started</x:v>
      </x:c>
      <x:c r="J25" s="167" t="n">
        <x:v>0</x:v>
      </x:c>
      <x:c r="K25" s="168"/>
      <x:c r="L25" s="168" t="str">
        <x:f>IF(OR(I25="Mastered",K25=""),"",K25+IF(J25&gt;=5,30,IF(J25=4,14,IF(J25=3,7,IF(J25=2,3,1)))))</x:f>
      </x:c>
      <x:c r="M25" s="171" t="str"/>
      <x:c r="N25" s="171" t="str"/>
      <x:c r="O25" s="171" t="str">
        <x:v>Draft — verify in context</x:v>
      </x:c>
      <x:c r="P25" s="167" t="str">
        <x:v>https://www.oxfordlearnersdictionaries.com/wordlists/oxford3000-5000</x:v>
      </x:c>
    </x:row>
    <x:row r="26" ht="26" customHeight="1">
      <x:c r="A26" s="167" t="n">
        <x:v>25</x:v>
      </x:c>
      <x:c r="B26" s="167" t="str">
        <x:v>activist</x:v>
      </x:c>
      <x:c r="C26" s="167" t="str">
        <x:v>n.</x:v>
      </x:c>
      <x:c r="D26" s="170" t="str">
        <x:v>активіст</x:v>
      </x:c>
      <x:c r="E26" s="167" t="str">
        <x:v>No</x:v>
      </x:c>
      <x:c r="F26" s="167"/>
      <x:c r="G26" s="167" t="str">
        <x:v>Core</x:v>
      </x:c>
      <x:c r="H26" s="167" t="str">
        <x:v>General</x:v>
      </x:c>
      <x:c r="I26" s="167" t="str">
        <x:v>Not Started</x:v>
      </x:c>
      <x:c r="J26" s="167" t="n">
        <x:v>0</x:v>
      </x:c>
      <x:c r="K26" s="168"/>
      <x:c r="L26" s="168" t="str">
        <x:f>IF(OR(I26="Mastered",K26=""),"",K26+IF(J26&gt;=5,30,IF(J26=4,14,IF(J26=3,7,IF(J26=2,3,1)))))</x:f>
      </x:c>
      <x:c r="M26" s="171" t="str"/>
      <x:c r="N26" s="171" t="str"/>
      <x:c r="O26" s="171" t="str">
        <x:v>Draft — verify in context</x:v>
      </x:c>
      <x:c r="P26" s="167" t="str">
        <x:v>https://www.oxfordlearnersdictionaries.com/wordlists/oxford3000-5000</x:v>
      </x:c>
    </x:row>
    <x:row r="27" ht="26" customHeight="1">
      <x:c r="A27" s="167" t="n">
        <x:v>26</x:v>
      </x:c>
      <x:c r="B27" s="167" t="str">
        <x:v>acute</x:v>
      </x:c>
      <x:c r="C27" s="167" t="str">
        <x:v>adj.</x:v>
      </x:c>
      <x:c r="D27" s="170" t="str">
        <x:v>гострий</x:v>
      </x:c>
      <x:c r="E27" s="167" t="str">
        <x:v>No</x:v>
      </x:c>
      <x:c r="F27" s="167"/>
      <x:c r="G27" s="167" t="str">
        <x:v>Core</x:v>
      </x:c>
      <x:c r="H27" s="167" t="str">
        <x:v>General</x:v>
      </x:c>
      <x:c r="I27" s="167" t="str">
        <x:v>Not Started</x:v>
      </x:c>
      <x:c r="J27" s="167" t="n">
        <x:v>0</x:v>
      </x:c>
      <x:c r="K27" s="168"/>
      <x:c r="L27" s="168" t="str">
        <x:f>IF(OR(I27="Mastered",K27=""),"",K27+IF(J27&gt;=5,30,IF(J27=4,14,IF(J27=3,7,IF(J27=2,3,1)))))</x:f>
      </x:c>
      <x:c r="M27" s="171" t="str"/>
      <x:c r="N27" s="171" t="str"/>
      <x:c r="O27" s="171" t="str">
        <x:v>Draft — verify in context</x:v>
      </x:c>
      <x:c r="P27" s="167" t="str">
        <x:v>https://www.oxfordlearnersdictionaries.com/wordlists/oxford3000-5000</x:v>
      </x:c>
    </x:row>
    <x:row r="28" ht="26" customHeight="1">
      <x:c r="A28" s="167" t="n">
        <x:v>27</x:v>
      </x:c>
      <x:c r="B28" s="167" t="str">
        <x:v>adaptation</x:v>
      </x:c>
      <x:c r="C28" s="167" t="str">
        <x:v>n.</x:v>
      </x:c>
      <x:c r="D28" s="170" t="str">
        <x:v>адаптація</x:v>
      </x:c>
      <x:c r="E28" s="167" t="str">
        <x:v>Yes</x:v>
      </x:c>
      <x:c r="F28" s="167" t="n">
        <x:v>7</x:v>
      </x:c>
      <x:c r="G28" s="167" t="str">
        <x:v>High</x:v>
      </x:c>
      <x:c r="H28" s="167" t="str">
        <x:v>General</x:v>
      </x:c>
      <x:c r="I28" s="167" t="str">
        <x:v>Not Started</x:v>
      </x:c>
      <x:c r="J28" s="167" t="n">
        <x:v>0</x:v>
      </x:c>
      <x:c r="K28" s="168"/>
      <x:c r="L28" s="168" t="str">
        <x:f>IF(OR(I28="Mastered",K28=""),"",K28+IF(J28&gt;=5,30,IF(J28=4,14,IF(J28=3,7,IF(J28=2,3,1)))))</x:f>
      </x:c>
      <x:c r="M28" s="171" t="str"/>
      <x:c r="N28" s="171" t="str"/>
      <x:c r="O28" s="171" t="str">
        <x:v>Draft — verify in context</x:v>
      </x:c>
      <x:c r="P28" s="167" t="str">
        <x:v>https://www.oxfordlearnersdictionaries.com/wordlists/oxford3000-5000</x:v>
      </x:c>
    </x:row>
    <x:row r="29" ht="26" customHeight="1">
      <x:c r="A29" s="167" t="n">
        <x:v>28</x:v>
      </x:c>
      <x:c r="B29" s="167" t="str">
        <x:v>adhere</x:v>
      </x:c>
      <x:c r="C29" s="167" t="str">
        <x:v>v.</x:v>
      </x:c>
      <x:c r="D29" s="170" t="str">
        <x:v>дотримуватися</x:v>
      </x:c>
      <x:c r="E29" s="167" t="str">
        <x:v>No</x:v>
      </x:c>
      <x:c r="F29" s="167"/>
      <x:c r="G29" s="167" t="str">
        <x:v>Core</x:v>
      </x:c>
      <x:c r="H29" s="167" t="str">
        <x:v>General</x:v>
      </x:c>
      <x:c r="I29" s="167" t="str">
        <x:v>Not Started</x:v>
      </x:c>
      <x:c r="J29" s="167" t="n">
        <x:v>0</x:v>
      </x:c>
      <x:c r="K29" s="168"/>
      <x:c r="L29" s="168" t="str">
        <x:f>IF(OR(I29="Mastered",K29=""),"",K29+IF(J29&gt;=5,30,IF(J29=4,14,IF(J29=3,7,IF(J29=2,3,1)))))</x:f>
      </x:c>
      <x:c r="M29" s="171" t="str"/>
      <x:c r="N29" s="171" t="str"/>
      <x:c r="O29" s="171" t="str">
        <x:v>Draft — verify in context</x:v>
      </x:c>
      <x:c r="P29" s="167" t="str">
        <x:v>https://www.oxfordlearnersdictionaries.com/wordlists/oxford3000-5000</x:v>
      </x:c>
    </x:row>
    <x:row r="30" ht="26" customHeight="1">
      <x:c r="A30" s="167" t="n">
        <x:v>29</x:v>
      </x:c>
      <x:c r="B30" s="167" t="str">
        <x:v>adjacent</x:v>
      </x:c>
      <x:c r="C30" s="167" t="str">
        <x:v>adj.</x:v>
      </x:c>
      <x:c r="D30" s="170" t="str">
        <x:v>прилеглий</x:v>
      </x:c>
      <x:c r="E30" s="167" t="str">
        <x:v>Yes</x:v>
      </x:c>
      <x:c r="F30" s="167" t="n">
        <x:v>10</x:v>
      </x:c>
      <x:c r="G30" s="167" t="str">
        <x:v>High</x:v>
      </x:c>
      <x:c r="H30" s="167" t="str">
        <x:v>General</x:v>
      </x:c>
      <x:c r="I30" s="167" t="str">
        <x:v>Not Started</x:v>
      </x:c>
      <x:c r="J30" s="167" t="n">
        <x:v>0</x:v>
      </x:c>
      <x:c r="K30" s="168"/>
      <x:c r="L30" s="168" t="str">
        <x:f>IF(OR(I30="Mastered",K30=""),"",K30+IF(J30&gt;=5,30,IF(J30=4,14,IF(J30=3,7,IF(J30=2,3,1)))))</x:f>
      </x:c>
      <x:c r="M30" s="171" t="str"/>
      <x:c r="N30" s="171" t="str"/>
      <x:c r="O30" s="171" t="str">
        <x:v>Draft — verify in context</x:v>
      </x:c>
      <x:c r="P30" s="167" t="str">
        <x:v>https://www.oxfordlearnersdictionaries.com/wordlists/oxford3000-5000</x:v>
      </x:c>
    </x:row>
    <x:row r="31" ht="26" customHeight="1">
      <x:c r="A31" s="167" t="n">
        <x:v>30</x:v>
      </x:c>
      <x:c r="B31" s="167" t="str">
        <x:v>adjustment</x:v>
      </x:c>
      <x:c r="C31" s="167" t="str">
        <x:v>n.</x:v>
      </x:c>
      <x:c r="D31" s="170" t="str">
        <x:v>коригування</x:v>
      </x:c>
      <x:c r="E31" s="167" t="str">
        <x:v>Yes</x:v>
      </x:c>
      <x:c r="F31" s="167" t="n">
        <x:v>5</x:v>
      </x:c>
      <x:c r="G31" s="167" t="str">
        <x:v>High</x:v>
      </x:c>
      <x:c r="H31" s="167" t="str">
        <x:v>General</x:v>
      </x:c>
      <x:c r="I31" s="167" t="str">
        <x:v>Not Started</x:v>
      </x:c>
      <x:c r="J31" s="167" t="n">
        <x:v>0</x:v>
      </x:c>
      <x:c r="K31" s="168"/>
      <x:c r="L31" s="168" t="str">
        <x:f>IF(OR(I31="Mastered",K31=""),"",K31+IF(J31&gt;=5,30,IF(J31=4,14,IF(J31=3,7,IF(J31=2,3,1)))))</x:f>
      </x:c>
      <x:c r="M31" s="171" t="str"/>
      <x:c r="N31" s="171" t="str"/>
      <x:c r="O31" s="171" t="str">
        <x:v>Draft — verify in context</x:v>
      </x:c>
      <x:c r="P31" s="167" t="str">
        <x:v>https://www.oxfordlearnersdictionaries.com/wordlists/oxford3000-5000</x:v>
      </x:c>
    </x:row>
    <x:row r="32" ht="26" customHeight="1">
      <x:c r="A32" s="167" t="n">
        <x:v>31</x:v>
      </x:c>
      <x:c r="B32" s="167" t="str">
        <x:v>administer</x:v>
      </x:c>
      <x:c r="C32" s="167" t="str">
        <x:v>v.</x:v>
      </x:c>
      <x:c r="D32" s="170" t="str">
        <x:v>адмініструвати</x:v>
      </x:c>
      <x:c r="E32" s="167" t="str">
        <x:v>No</x:v>
      </x:c>
      <x:c r="F32" s="167"/>
      <x:c r="G32" s="167" t="str">
        <x:v>Core</x:v>
      </x:c>
      <x:c r="H32" s="167" t="str">
        <x:v>General</x:v>
      </x:c>
      <x:c r="I32" s="167" t="str">
        <x:v>Not Started</x:v>
      </x:c>
      <x:c r="J32" s="167" t="n">
        <x:v>0</x:v>
      </x:c>
      <x:c r="K32" s="168"/>
      <x:c r="L32" s="168" t="str">
        <x:f>IF(OR(I32="Mastered",K32=""),"",K32+IF(J32&gt;=5,30,IF(J32=4,14,IF(J32=3,7,IF(J32=2,3,1)))))</x:f>
      </x:c>
      <x:c r="M32" s="171" t="str"/>
      <x:c r="N32" s="171" t="str"/>
      <x:c r="O32" s="171" t="str">
        <x:v>Draft — verify in context</x:v>
      </x:c>
      <x:c r="P32" s="167" t="str">
        <x:v>https://www.oxfordlearnersdictionaries.com/wordlists/oxford3000-5000</x:v>
      </x:c>
    </x:row>
    <x:row r="33" ht="26" customHeight="1">
      <x:c r="A33" s="167" t="n">
        <x:v>32</x:v>
      </x:c>
      <x:c r="B33" s="167" t="str">
        <x:v>administrative</x:v>
      </x:c>
      <x:c r="C33" s="167" t="str">
        <x:v>adj.</x:v>
      </x:c>
      <x:c r="D33" s="170" t="str">
        <x:v>адміністративний</x:v>
      </x:c>
      <x:c r="E33" s="167" t="str">
        <x:v>No</x:v>
      </x:c>
      <x:c r="F33" s="167"/>
      <x:c r="G33" s="167" t="str">
        <x:v>Core</x:v>
      </x:c>
      <x:c r="H33" s="167" t="str">
        <x:v>General</x:v>
      </x:c>
      <x:c r="I33" s="167" t="str">
        <x:v>Not Started</x:v>
      </x:c>
      <x:c r="J33" s="167" t="n">
        <x:v>0</x:v>
      </x:c>
      <x:c r="K33" s="168"/>
      <x:c r="L33" s="168" t="str">
        <x:f>IF(OR(I33="Mastered",K33=""),"",K33+IF(J33&gt;=5,30,IF(J33=4,14,IF(J33=3,7,IF(J33=2,3,1)))))</x:f>
      </x:c>
      <x:c r="M33" s="171" t="str"/>
      <x:c r="N33" s="171" t="str"/>
      <x:c r="O33" s="171" t="str">
        <x:v>Draft — verify in context</x:v>
      </x:c>
      <x:c r="P33" s="167" t="str">
        <x:v>https://www.oxfordlearnersdictionaries.com/wordlists/oxford3000-5000</x:v>
      </x:c>
    </x:row>
    <x:row r="34" ht="26" customHeight="1">
      <x:c r="A34" s="167" t="n">
        <x:v>33</x:v>
      </x:c>
      <x:c r="B34" s="167" t="str">
        <x:v>administrator</x:v>
      </x:c>
      <x:c r="C34" s="167" t="str">
        <x:v>n.</x:v>
      </x:c>
      <x:c r="D34" s="170" t="str">
        <x:v>адміністратор</x:v>
      </x:c>
      <x:c r="E34" s="167" t="str">
        <x:v>No</x:v>
      </x:c>
      <x:c r="F34" s="167"/>
      <x:c r="G34" s="167" t="str">
        <x:v>Core</x:v>
      </x:c>
      <x:c r="H34" s="167" t="str">
        <x:v>General</x:v>
      </x:c>
      <x:c r="I34" s="167" t="str">
        <x:v>Not Started</x:v>
      </x:c>
      <x:c r="J34" s="167" t="n">
        <x:v>0</x:v>
      </x:c>
      <x:c r="K34" s="168"/>
      <x:c r="L34" s="168" t="str">
        <x:f>IF(OR(I34="Mastered",K34=""),"",K34+IF(J34&gt;=5,30,IF(J34=4,14,IF(J34=3,7,IF(J34=2,3,1)))))</x:f>
      </x:c>
      <x:c r="M34" s="171" t="str"/>
      <x:c r="N34" s="171" t="str"/>
      <x:c r="O34" s="171" t="str">
        <x:v>Draft — verify in context</x:v>
      </x:c>
      <x:c r="P34" s="167" t="str">
        <x:v>https://www.oxfordlearnersdictionaries.com/wordlists/oxford3000-5000</x:v>
      </x:c>
    </x:row>
    <x:row r="35" ht="26" customHeight="1">
      <x:c r="A35" s="167" t="n">
        <x:v>34</x:v>
      </x:c>
      <x:c r="B35" s="167" t="str">
        <x:v>admission</x:v>
      </x:c>
      <x:c r="C35" s="167" t="str">
        <x:v>n.</x:v>
      </x:c>
      <x:c r="D35" s="170" t="str">
        <x:v>прийом</x:v>
      </x:c>
      <x:c r="E35" s="167" t="str">
        <x:v>No</x:v>
      </x:c>
      <x:c r="F35" s="167"/>
      <x:c r="G35" s="167" t="str">
        <x:v>High</x:v>
      </x:c>
      <x:c r="H35" s="167" t="str">
        <x:v>Education</x:v>
      </x:c>
      <x:c r="I35" s="167" t="str">
        <x:v>Not Started</x:v>
      </x:c>
      <x:c r="J35" s="167" t="n">
        <x:v>0</x:v>
      </x:c>
      <x:c r="K35" s="168"/>
      <x:c r="L35" s="168" t="str">
        <x:f>IF(OR(I35="Mastered",K35=""),"",K35+IF(J35&gt;=5,30,IF(J35=4,14,IF(J35=3,7,IF(J35=2,3,1)))))</x:f>
      </x:c>
      <x:c r="M35" s="171" t="str"/>
      <x:c r="N35" s="171" t="str"/>
      <x:c r="O35" s="171" t="str">
        <x:v>Draft — verify in context</x:v>
      </x:c>
      <x:c r="P35" s="167" t="str">
        <x:v>https://www.oxfordlearnersdictionaries.com/wordlists/oxford3000-5000</x:v>
      </x:c>
    </x:row>
    <x:row r="36" ht="26" customHeight="1">
      <x:c r="A36" s="167" t="n">
        <x:v>35</x:v>
      </x:c>
      <x:c r="B36" s="167" t="str">
        <x:v>adolescent</x:v>
      </x:c>
      <x:c r="C36" s="167" t="str">
        <x:v>n.</x:v>
      </x:c>
      <x:c r="D36" s="170" t="str">
        <x:v>підліток</x:v>
      </x:c>
      <x:c r="E36" s="167" t="str">
        <x:v>No</x:v>
      </x:c>
      <x:c r="F36" s="167"/>
      <x:c r="G36" s="167" t="str">
        <x:v>Core</x:v>
      </x:c>
      <x:c r="H36" s="167" t="str">
        <x:v>General</x:v>
      </x:c>
      <x:c r="I36" s="167" t="str">
        <x:v>Not Started</x:v>
      </x:c>
      <x:c r="J36" s="167" t="n">
        <x:v>0</x:v>
      </x:c>
      <x:c r="K36" s="168"/>
      <x:c r="L36" s="168" t="str">
        <x:f>IF(OR(I36="Mastered",K36=""),"",K36+IF(J36&gt;=5,30,IF(J36=4,14,IF(J36=3,7,IF(J36=2,3,1)))))</x:f>
      </x:c>
      <x:c r="M36" s="171" t="str"/>
      <x:c r="N36" s="171" t="str"/>
      <x:c r="O36" s="171" t="str">
        <x:v>Draft — verify in context</x:v>
      </x:c>
      <x:c r="P36" s="167" t="str">
        <x:v>https://www.oxfordlearnersdictionaries.com/wordlists/oxford3000-5000</x:v>
      </x:c>
    </x:row>
    <x:row r="37" ht="26" customHeight="1">
      <x:c r="A37" s="167" t="n">
        <x:v>36</x:v>
      </x:c>
      <x:c r="B37" s="167" t="str">
        <x:v>adoption</x:v>
      </x:c>
      <x:c r="C37" s="167" t="str">
        <x:v>n.</x:v>
      </x:c>
      <x:c r="D37" s="170" t="str">
        <x:v>усиновлення</x:v>
      </x:c>
      <x:c r="E37" s="167" t="str">
        <x:v>No</x:v>
      </x:c>
      <x:c r="F37" s="167"/>
      <x:c r="G37" s="167" t="str">
        <x:v>Core</x:v>
      </x:c>
      <x:c r="H37" s="167" t="str">
        <x:v>General</x:v>
      </x:c>
      <x:c r="I37" s="167" t="str">
        <x:v>Not Started</x:v>
      </x:c>
      <x:c r="J37" s="167" t="n">
        <x:v>0</x:v>
      </x:c>
      <x:c r="K37" s="168"/>
      <x:c r="L37" s="168" t="str">
        <x:f>IF(OR(I37="Mastered",K37=""),"",K37+IF(J37&gt;=5,30,IF(J37=4,14,IF(J37=3,7,IF(J37=2,3,1)))))</x:f>
      </x:c>
      <x:c r="M37" s="171" t="str"/>
      <x:c r="N37" s="171" t="str"/>
      <x:c r="O37" s="171" t="str">
        <x:v>Draft — verify in context</x:v>
      </x:c>
      <x:c r="P37" s="167" t="str">
        <x:v>https://www.oxfordlearnersdictionaries.com/wordlists/oxford3000-5000</x:v>
      </x:c>
    </x:row>
    <x:row r="38" ht="26" customHeight="1">
      <x:c r="A38" s="167" t="n">
        <x:v>37</x:v>
      </x:c>
      <x:c r="B38" s="167" t="str">
        <x:v>adverse</x:v>
      </x:c>
      <x:c r="C38" s="167" t="str">
        <x:v>adj.</x:v>
      </x:c>
      <x:c r="D38" s="170" t="str">
        <x:v>несприятливий</x:v>
      </x:c>
      <x:c r="E38" s="167" t="str">
        <x:v>No</x:v>
      </x:c>
      <x:c r="F38" s="167"/>
      <x:c r="G38" s="167" t="str">
        <x:v>Core</x:v>
      </x:c>
      <x:c r="H38" s="167" t="str">
        <x:v>General</x:v>
      </x:c>
      <x:c r="I38" s="167" t="str">
        <x:v>Not Started</x:v>
      </x:c>
      <x:c r="J38" s="167" t="n">
        <x:v>0</x:v>
      </x:c>
      <x:c r="K38" s="168"/>
      <x:c r="L38" s="168" t="str">
        <x:f>IF(OR(I38="Mastered",K38=""),"",K38+IF(J38&gt;=5,30,IF(J38=4,14,IF(J38=3,7,IF(J38=2,3,1)))))</x:f>
      </x:c>
      <x:c r="M38" s="171" t="str"/>
      <x:c r="N38" s="171" t="str"/>
      <x:c r="O38" s="171" t="str">
        <x:v>Draft — verify in context</x:v>
      </x:c>
      <x:c r="P38" s="167" t="str">
        <x:v>https://www.oxfordlearnersdictionaries.com/wordlists/oxford3000-5000</x:v>
      </x:c>
    </x:row>
    <x:row r="39" ht="26" customHeight="1">
      <x:c r="A39" s="167" t="n">
        <x:v>38</x:v>
      </x:c>
      <x:c r="B39" s="167" t="str">
        <x:v>advocate</x:v>
      </x:c>
      <x:c r="C39" s="167" t="str">
        <x:v>n., v.</x:v>
      </x:c>
      <x:c r="D39" s="170" t="str">
        <x:v>адвокат</x:v>
      </x:c>
      <x:c r="E39" s="167" t="str">
        <x:v>Yes</x:v>
      </x:c>
      <x:c r="F39" s="167" t="n">
        <x:v>7</x:v>
      </x:c>
      <x:c r="G39" s="167" t="str">
        <x:v>High</x:v>
      </x:c>
      <x:c r="H39" s="167" t="str">
        <x:v>General</x:v>
      </x:c>
      <x:c r="I39" s="167" t="str">
        <x:v>Not Started</x:v>
      </x:c>
      <x:c r="J39" s="167" t="n">
        <x:v>0</x:v>
      </x:c>
      <x:c r="K39" s="168"/>
      <x:c r="L39" s="168" t="str">
        <x:f>IF(OR(I39="Mastered",K39=""),"",K39+IF(J39&gt;=5,30,IF(J39=4,14,IF(J39=3,7,IF(J39=2,3,1)))))</x:f>
      </x:c>
      <x:c r="M39" s="171" t="str"/>
      <x:c r="N39" s="171" t="str"/>
      <x:c r="O39" s="171" t="str">
        <x:v>Draft — verify in context</x:v>
      </x:c>
      <x:c r="P39" s="167" t="str">
        <x:v>https://www.oxfordlearnersdictionaries.com/wordlists/oxford3000-5000</x:v>
      </x:c>
    </x:row>
    <x:row r="40" ht="26" customHeight="1">
      <x:c r="A40" s="167" t="n">
        <x:v>39</x:v>
      </x:c>
      <x:c r="B40" s="167" t="str">
        <x:v>aesthetic</x:v>
      </x:c>
      <x:c r="C40" s="167" t="str">
        <x:v>adj.</x:v>
      </x:c>
      <x:c r="D40" s="170" t="str">
        <x:v>естетичний</x:v>
      </x:c>
      <x:c r="E40" s="167" t="str">
        <x:v>No</x:v>
      </x:c>
      <x:c r="F40" s="167"/>
      <x:c r="G40" s="167" t="str">
        <x:v>Core</x:v>
      </x:c>
      <x:c r="H40" s="167" t="str">
        <x:v>General</x:v>
      </x:c>
      <x:c r="I40" s="167" t="str">
        <x:v>Not Started</x:v>
      </x:c>
      <x:c r="J40" s="167" t="n">
        <x:v>0</x:v>
      </x:c>
      <x:c r="K40" s="168"/>
      <x:c r="L40" s="168" t="str">
        <x:f>IF(OR(I40="Mastered",K40=""),"",K40+IF(J40&gt;=5,30,IF(J40=4,14,IF(J40=3,7,IF(J40=2,3,1)))))</x:f>
      </x:c>
      <x:c r="M40" s="171" t="str"/>
      <x:c r="N40" s="171" t="str"/>
      <x:c r="O40" s="171" t="str">
        <x:v>Draft — verify in context</x:v>
      </x:c>
      <x:c r="P40" s="167" t="str">
        <x:v>https://www.oxfordlearnersdictionaries.com/wordlists/oxford3000-5000</x:v>
      </x:c>
    </x:row>
    <x:row r="41" ht="26" customHeight="1">
      <x:c r="A41" s="167" t="n">
        <x:v>40</x:v>
      </x:c>
      <x:c r="B41" s="167" t="str">
        <x:v>affection</x:v>
      </x:c>
      <x:c r="C41" s="167" t="str">
        <x:v>n.</x:v>
      </x:c>
      <x:c r="D41" s="170" t="str">
        <x:v>прихильність</x:v>
      </x:c>
      <x:c r="E41" s="167" t="str">
        <x:v>No</x:v>
      </x:c>
      <x:c r="F41" s="167"/>
      <x:c r="G41" s="167" t="str">
        <x:v>Core</x:v>
      </x:c>
      <x:c r="H41" s="167" t="str">
        <x:v>General</x:v>
      </x:c>
      <x:c r="I41" s="167" t="str">
        <x:v>Not Started</x:v>
      </x:c>
      <x:c r="J41" s="167" t="n">
        <x:v>0</x:v>
      </x:c>
      <x:c r="K41" s="168"/>
      <x:c r="L41" s="168" t="str">
        <x:f>IF(OR(I41="Mastered",K41=""),"",K41+IF(J41&gt;=5,30,IF(J41=4,14,IF(J41=3,7,IF(J41=2,3,1)))))</x:f>
      </x:c>
      <x:c r="M41" s="171" t="str"/>
      <x:c r="N41" s="171" t="str"/>
      <x:c r="O41" s="171" t="str">
        <x:v>Draft — verify in context</x:v>
      </x:c>
      <x:c r="P41" s="167" t="str">
        <x:v>https://www.oxfordlearnersdictionaries.com/wordlists/oxford3000-5000</x:v>
      </x:c>
    </x:row>
    <x:row r="42" ht="26" customHeight="1">
      <x:c r="A42" s="167" t="n">
        <x:v>41</x:v>
      </x:c>
      <x:c r="B42" s="167" t="str">
        <x:v>aftermath</x:v>
      </x:c>
      <x:c r="C42" s="167" t="str">
        <x:v>n.</x:v>
      </x:c>
      <x:c r="D42" s="170" t="str">
        <x:v>наслідки (переважно негативні)</x:v>
      </x:c>
      <x:c r="E42" s="167" t="str">
        <x:v>No</x:v>
      </x:c>
      <x:c r="F42" s="167"/>
      <x:c r="G42" s="167" t="str">
        <x:v>Core</x:v>
      </x:c>
      <x:c r="H42" s="167" t="str">
        <x:v>General</x:v>
      </x:c>
      <x:c r="I42" s="167" t="str">
        <x:v>Not Started</x:v>
      </x:c>
      <x:c r="J42" s="167" t="n">
        <x:v>0</x:v>
      </x:c>
      <x:c r="K42" s="168"/>
      <x:c r="L42" s="168" t="str">
        <x:f>IF(OR(I42="Mastered",K42=""),"",K42+IF(J42&gt;=5,30,IF(J42=4,14,IF(J42=3,7,IF(J42=2,3,1)))))</x:f>
      </x:c>
      <x:c r="M42" s="171" t="str"/>
      <x:c r="N42" s="171" t="str"/>
      <x:c r="O42" s="171" t="str">
        <x:v>Draft — verify in context</x:v>
      </x:c>
      <x:c r="P42" s="167" t="str">
        <x:v>https://www.oxfordlearnersdictionaries.com/wordlists/oxford3000-5000</x:v>
      </x:c>
    </x:row>
    <x:row r="43" ht="26" customHeight="1">
      <x:c r="A43" s="167" t="n">
        <x:v>42</x:v>
      </x:c>
      <x:c r="B43" s="167" t="str">
        <x:v>aggression</x:v>
      </x:c>
      <x:c r="C43" s="167" t="str">
        <x:v>n.</x:v>
      </x:c>
      <x:c r="D43" s="170" t="str">
        <x:v>агресія</x:v>
      </x:c>
      <x:c r="E43" s="167" t="str">
        <x:v>No</x:v>
      </x:c>
      <x:c r="F43" s="167"/>
      <x:c r="G43" s="167" t="str">
        <x:v>Core</x:v>
      </x:c>
      <x:c r="H43" s="167" t="str">
        <x:v>General</x:v>
      </x:c>
      <x:c r="I43" s="167" t="str">
        <x:v>Not Started</x:v>
      </x:c>
      <x:c r="J43" s="167" t="n">
        <x:v>0</x:v>
      </x:c>
      <x:c r="K43" s="168"/>
      <x:c r="L43" s="168" t="str">
        <x:f>IF(OR(I43="Mastered",K43=""),"",K43+IF(J43&gt;=5,30,IF(J43=4,14,IF(J43=3,7,IF(J43=2,3,1)))))</x:f>
      </x:c>
      <x:c r="M43" s="171" t="str"/>
      <x:c r="N43" s="171" t="str"/>
      <x:c r="O43" s="171" t="str">
        <x:v>Draft — verify in context</x:v>
      </x:c>
      <x:c r="P43" s="167" t="str">
        <x:v>https://www.oxfordlearnersdictionaries.com/wordlists/oxford3000-5000</x:v>
      </x:c>
    </x:row>
    <x:row r="44" ht="26" customHeight="1">
      <x:c r="A44" s="167" t="n">
        <x:v>43</x:v>
      </x:c>
      <x:c r="B44" s="167" t="str">
        <x:v>agricultural</x:v>
      </x:c>
      <x:c r="C44" s="167" t="str">
        <x:v>adj.</x:v>
      </x:c>
      <x:c r="D44" s="170" t="str">
        <x:v>сільськогосподарський</x:v>
      </x:c>
      <x:c r="E44" s="167" t="str">
        <x:v>No</x:v>
      </x:c>
      <x:c r="F44" s="167"/>
      <x:c r="G44" s="167" t="str">
        <x:v>High</x:v>
      </x:c>
      <x:c r="H44" s="167" t="str">
        <x:v>Environment</x:v>
      </x:c>
      <x:c r="I44" s="167" t="str">
        <x:v>Not Started</x:v>
      </x:c>
      <x:c r="J44" s="167" t="n">
        <x:v>0</x:v>
      </x:c>
      <x:c r="K44" s="168"/>
      <x:c r="L44" s="168" t="str">
        <x:f>IF(OR(I44="Mastered",K44=""),"",K44+IF(J44&gt;=5,30,IF(J44=4,14,IF(J44=3,7,IF(J44=2,3,1)))))</x:f>
      </x:c>
      <x:c r="M44" s="171" t="str"/>
      <x:c r="N44" s="171" t="str"/>
      <x:c r="O44" s="171" t="str">
        <x:v>Draft — verify in context</x:v>
      </x:c>
      <x:c r="P44" s="167" t="str">
        <x:v>https://www.oxfordlearnersdictionaries.com/wordlists/oxford3000-5000</x:v>
      </x:c>
    </x:row>
    <x:row r="45" ht="26" customHeight="1">
      <x:c r="A45" s="167" t="n">
        <x:v>44</x:v>
      </x:c>
      <x:c r="B45" s="167" t="str">
        <x:v>aide</x:v>
      </x:c>
      <x:c r="C45" s="167" t="str">
        <x:v>n.</x:v>
      </x:c>
      <x:c r="D45" s="170" t="str">
        <x:v>помічник</x:v>
      </x:c>
      <x:c r="E45" s="167" t="str">
        <x:v>No</x:v>
      </x:c>
      <x:c r="F45" s="167"/>
      <x:c r="G45" s="167" t="str">
        <x:v>Core</x:v>
      </x:c>
      <x:c r="H45" s="167" t="str">
        <x:v>General</x:v>
      </x:c>
      <x:c r="I45" s="167" t="str">
        <x:v>Not Started</x:v>
      </x:c>
      <x:c r="J45" s="167" t="n">
        <x:v>0</x:v>
      </x:c>
      <x:c r="K45" s="168"/>
      <x:c r="L45" s="168" t="str">
        <x:f>IF(OR(I45="Mastered",K45=""),"",K45+IF(J45&gt;=5,30,IF(J45=4,14,IF(J45=3,7,IF(J45=2,3,1)))))</x:f>
      </x:c>
      <x:c r="M45" s="171" t="str"/>
      <x:c r="N45" s="171" t="str"/>
      <x:c r="O45" s="171" t="str">
        <x:v>Draft — verify in context</x:v>
      </x:c>
      <x:c r="P45" s="167" t="str">
        <x:v>https://www.oxfordlearnersdictionaries.com/wordlists/oxford3000-5000</x:v>
      </x:c>
    </x:row>
    <x:row r="46" ht="26" customHeight="1">
      <x:c r="A46" s="167" t="n">
        <x:v>45</x:v>
      </x:c>
      <x:c r="B46" s="167" t="str">
        <x:v>albeit</x:v>
      </x:c>
      <x:c r="C46" s="167" t="str">
        <x:v>conj.</x:v>
      </x:c>
      <x:c r="D46" s="170" t="str">
        <x:v>хоча</x:v>
      </x:c>
      <x:c r="E46" s="167" t="str">
        <x:v>Yes</x:v>
      </x:c>
      <x:c r="F46" s="167" t="n">
        <x:v>10</x:v>
      </x:c>
      <x:c r="G46" s="167" t="str">
        <x:v>High</x:v>
      </x:c>
      <x:c r="H46" s="167" t="str">
        <x:v>General</x:v>
      </x:c>
      <x:c r="I46" s="167" t="str">
        <x:v>Not Started</x:v>
      </x:c>
      <x:c r="J46" s="167" t="n">
        <x:v>0</x:v>
      </x:c>
      <x:c r="K46" s="168"/>
      <x:c r="L46" s="168" t="str">
        <x:f>IF(OR(I46="Mastered",K46=""),"",K46+IF(J46&gt;=5,30,IF(J46=4,14,IF(J46=3,7,IF(J46=2,3,1)))))</x:f>
      </x:c>
      <x:c r="M46" s="171" t="str"/>
      <x:c r="N46" s="171" t="str"/>
      <x:c r="O46" s="171" t="str">
        <x:v>Draft — verify in context</x:v>
      </x:c>
      <x:c r="P46" s="167" t="str">
        <x:v>https://www.oxfordlearnersdictionaries.com/wordlists/oxford3000-5000</x:v>
      </x:c>
    </x:row>
    <x:row r="47" ht="26" customHeight="1">
      <x:c r="A47" s="167" t="n">
        <x:v>46</x:v>
      </x:c>
      <x:c r="B47" s="167" t="str">
        <x:v>alert</x:v>
      </x:c>
      <x:c r="C47" s="167" t="str">
        <x:v>v., n., adj.</x:v>
      </x:c>
      <x:c r="D47" s="170" t="str">
        <x:v>сповіщення</x:v>
      </x:c>
      <x:c r="E47" s="167" t="str">
        <x:v>No</x:v>
      </x:c>
      <x:c r="F47" s="167"/>
      <x:c r="G47" s="167" t="str">
        <x:v>Core</x:v>
      </x:c>
      <x:c r="H47" s="167" t="str">
        <x:v>General</x:v>
      </x:c>
      <x:c r="I47" s="167" t="str">
        <x:v>Not Started</x:v>
      </x:c>
      <x:c r="J47" s="167" t="n">
        <x:v>0</x:v>
      </x:c>
      <x:c r="K47" s="168"/>
      <x:c r="L47" s="168" t="str">
        <x:f>IF(OR(I47="Mastered",K47=""),"",K47+IF(J47&gt;=5,30,IF(J47=4,14,IF(J47=3,7,IF(J47=2,3,1)))))</x:f>
      </x:c>
      <x:c r="M47" s="171" t="str"/>
      <x:c r="N47" s="171" t="str"/>
      <x:c r="O47" s="171" t="str">
        <x:v>Draft — verify in context</x:v>
      </x:c>
      <x:c r="P47" s="167" t="str">
        <x:v>https://www.oxfordlearnersdictionaries.com/wordlists/oxford3000-5000</x:v>
      </x:c>
    </x:row>
    <x:row r="48" ht="26" customHeight="1">
      <x:c r="A48" s="167" t="n">
        <x:v>47</x:v>
      </x:c>
      <x:c r="B48" s="167" t="str">
        <x:v>alien</x:v>
      </x:c>
      <x:c r="C48" s="167" t="str">
        <x:v>adj.</x:v>
      </x:c>
      <x:c r="D48" s="170" t="str">
        <x:v>чужий</x:v>
      </x:c>
      <x:c r="E48" s="167" t="str">
        <x:v>No</x:v>
      </x:c>
      <x:c r="F48" s="167"/>
      <x:c r="G48" s="167" t="str">
        <x:v>Core</x:v>
      </x:c>
      <x:c r="H48" s="167" t="str">
        <x:v>General</x:v>
      </x:c>
      <x:c r="I48" s="167" t="str">
        <x:v>Not Started</x:v>
      </x:c>
      <x:c r="J48" s="167" t="n">
        <x:v>0</x:v>
      </x:c>
      <x:c r="K48" s="168"/>
      <x:c r="L48" s="168" t="str">
        <x:f>IF(OR(I48="Mastered",K48=""),"",K48+IF(J48&gt;=5,30,IF(J48=4,14,IF(J48=3,7,IF(J48=2,3,1)))))</x:f>
      </x:c>
      <x:c r="M48" s="171" t="str"/>
      <x:c r="N48" s="171" t="str"/>
      <x:c r="O48" s="171" t="str">
        <x:v>Draft — verify in context</x:v>
      </x:c>
      <x:c r="P48" s="167" t="str">
        <x:v>https://www.oxfordlearnersdictionaries.com/wordlists/oxford3000-5000</x:v>
      </x:c>
    </x:row>
    <x:row r="49" ht="26" customHeight="1">
      <x:c r="A49" s="167" t="n">
        <x:v>48</x:v>
      </x:c>
      <x:c r="B49" s="167" t="str">
        <x:v>align</x:v>
      </x:c>
      <x:c r="C49" s="167" t="str">
        <x:v>v.</x:v>
      </x:c>
      <x:c r="D49" s="170" t="str">
        <x:v>вирівняти</x:v>
      </x:c>
      <x:c r="E49" s="167" t="str">
        <x:v>No</x:v>
      </x:c>
      <x:c r="F49" s="167"/>
      <x:c r="G49" s="167" t="str">
        <x:v>Core</x:v>
      </x:c>
      <x:c r="H49" s="167" t="str">
        <x:v>General</x:v>
      </x:c>
      <x:c r="I49" s="167" t="str">
        <x:v>Not Started</x:v>
      </x:c>
      <x:c r="J49" s="167" t="n">
        <x:v>0</x:v>
      </x:c>
      <x:c r="K49" s="168"/>
      <x:c r="L49" s="168" t="str">
        <x:f>IF(OR(I49="Mastered",K49=""),"",K49+IF(J49&gt;=5,30,IF(J49=4,14,IF(J49=3,7,IF(J49=2,3,1)))))</x:f>
      </x:c>
      <x:c r="M49" s="171" t="str"/>
      <x:c r="N49" s="171" t="str"/>
      <x:c r="O49" s="171" t="str">
        <x:v>Draft — verify in context</x:v>
      </x:c>
      <x:c r="P49" s="167" t="str">
        <x:v>https://www.oxfordlearnersdictionaries.com/wordlists/oxford3000-5000</x:v>
      </x:c>
    </x:row>
    <x:row r="50" ht="26" customHeight="1">
      <x:c r="A50" s="167" t="n">
        <x:v>49</x:v>
      </x:c>
      <x:c r="B50" s="167" t="str">
        <x:v>alignment</x:v>
      </x:c>
      <x:c r="C50" s="167" t="str">
        <x:v>n.</x:v>
      </x:c>
      <x:c r="D50" s="170" t="str">
        <x:v>вирівнювання</x:v>
      </x:c>
      <x:c r="E50" s="167" t="str">
        <x:v>No</x:v>
      </x:c>
      <x:c r="F50" s="167"/>
      <x:c r="G50" s="167" t="str">
        <x:v>Core</x:v>
      </x:c>
      <x:c r="H50" s="167" t="str">
        <x:v>General</x:v>
      </x:c>
      <x:c r="I50" s="167" t="str">
        <x:v>Not Started</x:v>
      </x:c>
      <x:c r="J50" s="167" t="n">
        <x:v>0</x:v>
      </x:c>
      <x:c r="K50" s="168"/>
      <x:c r="L50" s="168" t="str">
        <x:f>IF(OR(I50="Mastered",K50=""),"",K50+IF(J50&gt;=5,30,IF(J50=4,14,IF(J50=3,7,IF(J50=2,3,1)))))</x:f>
      </x:c>
      <x:c r="M50" s="171" t="str"/>
      <x:c r="N50" s="171" t="str"/>
      <x:c r="O50" s="171" t="str">
        <x:v>Draft — verify in context</x:v>
      </x:c>
      <x:c r="P50" s="167" t="str">
        <x:v>https://www.oxfordlearnersdictionaries.com/wordlists/oxford3000-5000</x:v>
      </x:c>
    </x:row>
    <x:row r="51" ht="26" customHeight="1">
      <x:c r="A51" s="167" t="n">
        <x:v>50</x:v>
      </x:c>
      <x:c r="B51" s="167" t="str">
        <x:v>alike</x:v>
      </x:c>
      <x:c r="C51" s="167" t="str">
        <x:v>adv., adj.</x:v>
      </x:c>
      <x:c r="D51" s="170" t="str">
        <x:v>однаково</x:v>
      </x:c>
      <x:c r="E51" s="167" t="str">
        <x:v>No</x:v>
      </x:c>
      <x:c r="F51" s="167"/>
      <x:c r="G51" s="167" t="str">
        <x:v>Core</x:v>
      </x:c>
      <x:c r="H51" s="167" t="str">
        <x:v>General</x:v>
      </x:c>
      <x:c r="I51" s="167" t="str">
        <x:v>Not Started</x:v>
      </x:c>
      <x:c r="J51" s="167" t="n">
        <x:v>0</x:v>
      </x:c>
      <x:c r="K51" s="168"/>
      <x:c r="L51" s="168" t="str">
        <x:f>IF(OR(I51="Mastered",K51=""),"",K51+IF(J51&gt;=5,30,IF(J51=4,14,IF(J51=3,7,IF(J51=2,3,1)))))</x:f>
      </x:c>
      <x:c r="M51" s="171" t="str"/>
      <x:c r="N51" s="171" t="str"/>
      <x:c r="O51" s="171" t="str">
        <x:v>Draft — verify in context</x:v>
      </x:c>
      <x:c r="P51" s="167" t="str">
        <x:v>https://www.oxfordlearnersdictionaries.com/wordlists/oxford3000-5000</x:v>
      </x:c>
    </x:row>
    <x:row r="52" ht="26" customHeight="1">
      <x:c r="A52" s="167" t="n">
        <x:v>51</x:v>
      </x:c>
      <x:c r="B52" s="167" t="str">
        <x:v>allegation</x:v>
      </x:c>
      <x:c r="C52" s="167" t="str">
        <x:v>n.</x:v>
      </x:c>
      <x:c r="D52" s="170" t="str">
        <x:v>твердження</x:v>
      </x:c>
      <x:c r="E52" s="167" t="str">
        <x:v>No</x:v>
      </x:c>
      <x:c r="F52" s="167"/>
      <x:c r="G52" s="167" t="str">
        <x:v>Core</x:v>
      </x:c>
      <x:c r="H52" s="167" t="str">
        <x:v>General</x:v>
      </x:c>
      <x:c r="I52" s="167" t="str">
        <x:v>Not Started</x:v>
      </x:c>
      <x:c r="J52" s="167" t="n">
        <x:v>0</x:v>
      </x:c>
      <x:c r="K52" s="168"/>
      <x:c r="L52" s="168" t="str">
        <x:f>IF(OR(I52="Mastered",K52=""),"",K52+IF(J52&gt;=5,30,IF(J52=4,14,IF(J52=3,7,IF(J52=2,3,1)))))</x:f>
      </x:c>
      <x:c r="M52" s="171" t="str"/>
      <x:c r="N52" s="171" t="str"/>
      <x:c r="O52" s="171" t="str">
        <x:v>Draft — verify in context</x:v>
      </x:c>
      <x:c r="P52" s="167" t="str">
        <x:v>https://www.oxfordlearnersdictionaries.com/wordlists/oxford3000-5000</x:v>
      </x:c>
    </x:row>
    <x:row r="53" ht="26" customHeight="1">
      <x:c r="A53" s="167" t="n">
        <x:v>52</x:v>
      </x:c>
      <x:c r="B53" s="167" t="str">
        <x:v>allege</x:v>
      </x:c>
      <x:c r="C53" s="167" t="str">
        <x:v>v.</x:v>
      </x:c>
      <x:c r="D53" s="170" t="str">
        <x:v>стверджувати</x:v>
      </x:c>
      <x:c r="E53" s="167" t="str">
        <x:v>No</x:v>
      </x:c>
      <x:c r="F53" s="167"/>
      <x:c r="G53" s="167" t="str">
        <x:v>Core</x:v>
      </x:c>
      <x:c r="H53" s="167" t="str">
        <x:v>General</x:v>
      </x:c>
      <x:c r="I53" s="167" t="str">
        <x:v>Not Started</x:v>
      </x:c>
      <x:c r="J53" s="167" t="n">
        <x:v>0</x:v>
      </x:c>
      <x:c r="K53" s="168"/>
      <x:c r="L53" s="168" t="str">
        <x:f>IF(OR(I53="Mastered",K53=""),"",K53+IF(J53&gt;=5,30,IF(J53=4,14,IF(J53=3,7,IF(J53=2,3,1)))))</x:f>
      </x:c>
      <x:c r="M53" s="171" t="str"/>
      <x:c r="N53" s="171" t="str"/>
      <x:c r="O53" s="171" t="str">
        <x:v>Draft — verify in context</x:v>
      </x:c>
      <x:c r="P53" s="167" t="str">
        <x:v>https://www.oxfordlearnersdictionaries.com/wordlists/oxford3000-5000</x:v>
      </x:c>
    </x:row>
    <x:row r="54" ht="26" customHeight="1">
      <x:c r="A54" s="167" t="n">
        <x:v>53</x:v>
      </x:c>
      <x:c r="B54" s="167" t="str">
        <x:v>allegedly</x:v>
      </x:c>
      <x:c r="C54" s="167" t="str">
        <x:v>adv.</x:v>
      </x:c>
      <x:c r="D54" s="170" t="str">
        <x:v>нібито</x:v>
      </x:c>
      <x:c r="E54" s="167" t="str">
        <x:v>No</x:v>
      </x:c>
      <x:c r="F54" s="167"/>
      <x:c r="G54" s="167" t="str">
        <x:v>Core</x:v>
      </x:c>
      <x:c r="H54" s="167" t="str">
        <x:v>General</x:v>
      </x:c>
      <x:c r="I54" s="167" t="str">
        <x:v>Not Started</x:v>
      </x:c>
      <x:c r="J54" s="167" t="n">
        <x:v>0</x:v>
      </x:c>
      <x:c r="K54" s="168"/>
      <x:c r="L54" s="168" t="str">
        <x:f>IF(OR(I54="Mastered",K54=""),"",K54+IF(J54&gt;=5,30,IF(J54=4,14,IF(J54=3,7,IF(J54=2,3,1)))))</x:f>
      </x:c>
      <x:c r="M54" s="171" t="str"/>
      <x:c r="N54" s="171" t="str"/>
      <x:c r="O54" s="171" t="str">
        <x:v>Draft — verify in context</x:v>
      </x:c>
      <x:c r="P54" s="167" t="str">
        <x:v>https://www.oxfordlearnersdictionaries.com/wordlists/oxford3000-5000</x:v>
      </x:c>
    </x:row>
    <x:row r="55" ht="26" customHeight="1">
      <x:c r="A55" s="167" t="n">
        <x:v>54</x:v>
      </x:c>
      <x:c r="B55" s="167" t="str">
        <x:v>alliance</x:v>
      </x:c>
      <x:c r="C55" s="167" t="str">
        <x:v>n.</x:v>
      </x:c>
      <x:c r="D55" s="170" t="str">
        <x:v>альянс</x:v>
      </x:c>
      <x:c r="E55" s="167" t="str">
        <x:v>No</x:v>
      </x:c>
      <x:c r="F55" s="167"/>
      <x:c r="G55" s="167" t="str">
        <x:v>Core</x:v>
      </x:c>
      <x:c r="H55" s="167" t="str">
        <x:v>General</x:v>
      </x:c>
      <x:c r="I55" s="167" t="str">
        <x:v>Not Started</x:v>
      </x:c>
      <x:c r="J55" s="167" t="n">
        <x:v>0</x:v>
      </x:c>
      <x:c r="K55" s="168"/>
      <x:c r="L55" s="168" t="str">
        <x:f>IF(OR(I55="Mastered",K55=""),"",K55+IF(J55&gt;=5,30,IF(J55=4,14,IF(J55=3,7,IF(J55=2,3,1)))))</x:f>
      </x:c>
      <x:c r="M55" s="171" t="str"/>
      <x:c r="N55" s="171" t="str"/>
      <x:c r="O55" s="171" t="str">
        <x:v>Draft — verify in context</x:v>
      </x:c>
      <x:c r="P55" s="167" t="str">
        <x:v>https://www.oxfordlearnersdictionaries.com/wordlists/oxford3000-5000</x:v>
      </x:c>
    </x:row>
    <x:row r="56" ht="26" customHeight="1">
      <x:c r="A56" s="167" t="n">
        <x:v>55</x:v>
      </x:c>
      <x:c r="B56" s="167" t="str">
        <x:v>allocate</x:v>
      </x:c>
      <x:c r="C56" s="167" t="str">
        <x:v>v.</x:v>
      </x:c>
      <x:c r="D56" s="170" t="str">
        <x:v>виділити</x:v>
      </x:c>
      <x:c r="E56" s="167" t="str">
        <x:v>No</x:v>
      </x:c>
      <x:c r="F56" s="167"/>
      <x:c r="G56" s="167" t="str">
        <x:v>Core</x:v>
      </x:c>
      <x:c r="H56" s="167" t="str">
        <x:v>General</x:v>
      </x:c>
      <x:c r="I56" s="167" t="str">
        <x:v>Not Started</x:v>
      </x:c>
      <x:c r="J56" s="167" t="n">
        <x:v>0</x:v>
      </x:c>
      <x:c r="K56" s="168"/>
      <x:c r="L56" s="168" t="str">
        <x:f>IF(OR(I56="Mastered",K56=""),"",K56+IF(J56&gt;=5,30,IF(J56=4,14,IF(J56=3,7,IF(J56=2,3,1)))))</x:f>
      </x:c>
      <x:c r="M56" s="171" t="str"/>
      <x:c r="N56" s="171" t="str"/>
      <x:c r="O56" s="171" t="str">
        <x:v>Draft — verify in context</x:v>
      </x:c>
      <x:c r="P56" s="167" t="str">
        <x:v>https://www.oxfordlearnersdictionaries.com/wordlists/oxford3000-5000</x:v>
      </x:c>
    </x:row>
    <x:row r="57" ht="26" customHeight="1">
      <x:c r="A57" s="167" t="n">
        <x:v>56</x:v>
      </x:c>
      <x:c r="B57" s="167" t="str">
        <x:v>allocation</x:v>
      </x:c>
      <x:c r="C57" s="167" t="str">
        <x:v>n.</x:v>
      </x:c>
      <x:c r="D57" s="170" t="str">
        <x:v>виділення</x:v>
      </x:c>
      <x:c r="E57" s="167" t="str">
        <x:v>Yes</x:v>
      </x:c>
      <x:c r="F57" s="167" t="n">
        <x:v>6</x:v>
      </x:c>
      <x:c r="G57" s="167" t="str">
        <x:v>High</x:v>
      </x:c>
      <x:c r="H57" s="167" t="str">
        <x:v>General</x:v>
      </x:c>
      <x:c r="I57" s="167" t="str">
        <x:v>Not Started</x:v>
      </x:c>
      <x:c r="J57" s="167" t="n">
        <x:v>0</x:v>
      </x:c>
      <x:c r="K57" s="168"/>
      <x:c r="L57" s="168" t="str">
        <x:f>IF(OR(I57="Mastered",K57=""),"",K57+IF(J57&gt;=5,30,IF(J57=4,14,IF(J57=3,7,IF(J57=2,3,1)))))</x:f>
      </x:c>
      <x:c r="M57" s="171" t="str"/>
      <x:c r="N57" s="171" t="str"/>
      <x:c r="O57" s="171" t="str">
        <x:v>Draft — verify in context</x:v>
      </x:c>
      <x:c r="P57" s="167" t="str">
        <x:v>https://www.oxfordlearnersdictionaries.com/wordlists/oxford3000-5000</x:v>
      </x:c>
    </x:row>
    <x:row r="58" ht="26" customHeight="1">
      <x:c r="A58" s="167" t="n">
        <x:v>57</x:v>
      </x:c>
      <x:c r="B58" s="167" t="str">
        <x:v>allowance</x:v>
      </x:c>
      <x:c r="C58" s="167" t="str">
        <x:v>n.</x:v>
      </x:c>
      <x:c r="D58" s="170" t="str">
        <x:v>допомога</x:v>
      </x:c>
      <x:c r="E58" s="167" t="str">
        <x:v>No</x:v>
      </x:c>
      <x:c r="F58" s="167"/>
      <x:c r="G58" s="167" t="str">
        <x:v>Core</x:v>
      </x:c>
      <x:c r="H58" s="167" t="str">
        <x:v>General</x:v>
      </x:c>
      <x:c r="I58" s="167" t="str">
        <x:v>Not Started</x:v>
      </x:c>
      <x:c r="J58" s="167" t="n">
        <x:v>0</x:v>
      </x:c>
      <x:c r="K58" s="168"/>
      <x:c r="L58" s="168" t="str">
        <x:f>IF(OR(I58="Mastered",K58=""),"",K58+IF(J58&gt;=5,30,IF(J58=4,14,IF(J58=3,7,IF(J58=2,3,1)))))</x:f>
      </x:c>
      <x:c r="M58" s="171" t="str"/>
      <x:c r="N58" s="171" t="str"/>
      <x:c r="O58" s="171" t="str">
        <x:v>Draft — verify in context</x:v>
      </x:c>
      <x:c r="P58" s="167" t="str">
        <x:v>https://www.oxfordlearnersdictionaries.com/wordlists/oxford3000-5000</x:v>
      </x:c>
    </x:row>
    <x:row r="59" ht="26" customHeight="1">
      <x:c r="A59" s="167" t="n">
        <x:v>58</x:v>
      </x:c>
      <x:c r="B59" s="167" t="str">
        <x:v>ally</x:v>
      </x:c>
      <x:c r="C59" s="167" t="str">
        <x:v>n.</x:v>
      </x:c>
      <x:c r="D59" s="170" t="str">
        <x:v>союзник</x:v>
      </x:c>
      <x:c r="E59" s="167" t="str">
        <x:v>No</x:v>
      </x:c>
      <x:c r="F59" s="167"/>
      <x:c r="G59" s="167" t="str">
        <x:v>Core</x:v>
      </x:c>
      <x:c r="H59" s="167" t="str">
        <x:v>General</x:v>
      </x:c>
      <x:c r="I59" s="167" t="str">
        <x:v>Not Started</x:v>
      </x:c>
      <x:c r="J59" s="167" t="n">
        <x:v>0</x:v>
      </x:c>
      <x:c r="K59" s="168"/>
      <x:c r="L59" s="168" t="str">
        <x:f>IF(OR(I59="Mastered",K59=""),"",K59+IF(J59&gt;=5,30,IF(J59=4,14,IF(J59=3,7,IF(J59=2,3,1)))))</x:f>
      </x:c>
      <x:c r="M59" s="171" t="str"/>
      <x:c r="N59" s="171" t="str"/>
      <x:c r="O59" s="171" t="str">
        <x:v>Draft — verify in context</x:v>
      </x:c>
      <x:c r="P59" s="167" t="str">
        <x:v>https://www.oxfordlearnersdictionaries.com/wordlists/oxford3000-5000</x:v>
      </x:c>
    </x:row>
    <x:row r="60" ht="26" customHeight="1">
      <x:c r="A60" s="167" t="n">
        <x:v>59</x:v>
      </x:c>
      <x:c r="B60" s="167" t="str">
        <x:v>aluminium</x:v>
      </x:c>
      <x:c r="C60" s="167" t="str">
        <x:v>n.</x:v>
      </x:c>
      <x:c r="D60" s="170" t="str">
        <x:v>алюміній</x:v>
      </x:c>
      <x:c r="E60" s="167" t="str">
        <x:v>No</x:v>
      </x:c>
      <x:c r="F60" s="167"/>
      <x:c r="G60" s="167" t="str">
        <x:v>Core</x:v>
      </x:c>
      <x:c r="H60" s="167" t="str">
        <x:v>General</x:v>
      </x:c>
      <x:c r="I60" s="167" t="str">
        <x:v>Not Started</x:v>
      </x:c>
      <x:c r="J60" s="167" t="n">
        <x:v>0</x:v>
      </x:c>
      <x:c r="K60" s="168"/>
      <x:c r="L60" s="168" t="str">
        <x:f>IF(OR(I60="Mastered",K60=""),"",K60+IF(J60&gt;=5,30,IF(J60=4,14,IF(J60=3,7,IF(J60=2,3,1)))))</x:f>
      </x:c>
      <x:c r="M60" s="171" t="str"/>
      <x:c r="N60" s="171" t="str"/>
      <x:c r="O60" s="171" t="str">
        <x:v>Draft — verify in context</x:v>
      </x:c>
      <x:c r="P60" s="167" t="str">
        <x:v>https://www.oxfordlearnersdictionaries.com/wordlists/oxford3000-5000</x:v>
      </x:c>
    </x:row>
    <x:row r="61" ht="26" customHeight="1">
      <x:c r="A61" s="167" t="n">
        <x:v>60</x:v>
      </x:c>
      <x:c r="B61" s="167" t="str">
        <x:v>amateur</x:v>
      </x:c>
      <x:c r="C61" s="167" t="str">
        <x:v>adj., n.</x:v>
      </x:c>
      <x:c r="D61" s="170" t="str">
        <x:v>любитель</x:v>
      </x:c>
      <x:c r="E61" s="167" t="str">
        <x:v>No</x:v>
      </x:c>
      <x:c r="F61" s="167"/>
      <x:c r="G61" s="167" t="str">
        <x:v>Core</x:v>
      </x:c>
      <x:c r="H61" s="167" t="str">
        <x:v>General</x:v>
      </x:c>
      <x:c r="I61" s="167" t="str">
        <x:v>Not Started</x:v>
      </x:c>
      <x:c r="J61" s="167" t="n">
        <x:v>0</x:v>
      </x:c>
      <x:c r="K61" s="168"/>
      <x:c r="L61" s="168" t="str">
        <x:f>IF(OR(I61="Mastered",K61=""),"",K61+IF(J61&gt;=5,30,IF(J61=4,14,IF(J61=3,7,IF(J61=2,3,1)))))</x:f>
      </x:c>
      <x:c r="M61" s="171" t="str"/>
      <x:c r="N61" s="171" t="str"/>
      <x:c r="O61" s="171" t="str">
        <x:v>Draft — verify in context</x:v>
      </x:c>
      <x:c r="P61" s="167" t="str">
        <x:v>https://www.oxfordlearnersdictionaries.com/wordlists/oxford3000-5000</x:v>
      </x:c>
    </x:row>
    <x:row r="62" ht="26" customHeight="1">
      <x:c r="A62" s="167" t="n">
        <x:v>61</x:v>
      </x:c>
      <x:c r="B62" s="167" t="str">
        <x:v>ambassador</x:v>
      </x:c>
      <x:c r="C62" s="167" t="str">
        <x:v>n.</x:v>
      </x:c>
      <x:c r="D62" s="170" t="str">
        <x:v>посол</x:v>
      </x:c>
      <x:c r="E62" s="167" t="str">
        <x:v>No</x:v>
      </x:c>
      <x:c r="F62" s="167"/>
      <x:c r="G62" s="167" t="str">
        <x:v>Core</x:v>
      </x:c>
      <x:c r="H62" s="167" t="str">
        <x:v>General</x:v>
      </x:c>
      <x:c r="I62" s="167" t="str">
        <x:v>Not Started</x:v>
      </x:c>
      <x:c r="J62" s="167" t="n">
        <x:v>0</x:v>
      </x:c>
      <x:c r="K62" s="168"/>
      <x:c r="L62" s="168" t="str">
        <x:f>IF(OR(I62="Mastered",K62=""),"",K62+IF(J62&gt;=5,30,IF(J62=4,14,IF(J62=3,7,IF(J62=2,3,1)))))</x:f>
      </x:c>
      <x:c r="M62" s="171" t="str"/>
      <x:c r="N62" s="171" t="str"/>
      <x:c r="O62" s="171" t="str">
        <x:v>Draft — verify in context</x:v>
      </x:c>
      <x:c r="P62" s="167" t="str">
        <x:v>https://www.oxfordlearnersdictionaries.com/wordlists/oxford3000-5000</x:v>
      </x:c>
    </x:row>
    <x:row r="63" ht="26" customHeight="1">
      <x:c r="A63" s="167" t="n">
        <x:v>62</x:v>
      </x:c>
      <x:c r="B63" s="167" t="str">
        <x:v>amend</x:v>
      </x:c>
      <x:c r="C63" s="167" t="str">
        <x:v>v.</x:v>
      </x:c>
      <x:c r="D63" s="170" t="str">
        <x:v>змінити</x:v>
      </x:c>
      <x:c r="E63" s="167" t="str">
        <x:v>No</x:v>
      </x:c>
      <x:c r="F63" s="167"/>
      <x:c r="G63" s="167" t="str">
        <x:v>Core</x:v>
      </x:c>
      <x:c r="H63" s="167" t="str">
        <x:v>General</x:v>
      </x:c>
      <x:c r="I63" s="167" t="str">
        <x:v>Not Started</x:v>
      </x:c>
      <x:c r="J63" s="167" t="n">
        <x:v>0</x:v>
      </x:c>
      <x:c r="K63" s="168"/>
      <x:c r="L63" s="168" t="str">
        <x:f>IF(OR(I63="Mastered",K63=""),"",K63+IF(J63&gt;=5,30,IF(J63=4,14,IF(J63=3,7,IF(J63=2,3,1)))))</x:f>
      </x:c>
      <x:c r="M63" s="171" t="str"/>
      <x:c r="N63" s="171" t="str"/>
      <x:c r="O63" s="171" t="str">
        <x:v>Draft — verify in context</x:v>
      </x:c>
      <x:c r="P63" s="167" t="str">
        <x:v>https://www.oxfordlearnersdictionaries.com/wordlists/oxford3000-5000</x:v>
      </x:c>
    </x:row>
    <x:row r="64" ht="26" customHeight="1">
      <x:c r="A64" s="167" t="n">
        <x:v>63</x:v>
      </x:c>
      <x:c r="B64" s="167" t="str">
        <x:v>amendment</x:v>
      </x:c>
      <x:c r="C64" s="167" t="str">
        <x:v>n.</x:v>
      </x:c>
      <x:c r="D64" s="170" t="str">
        <x:v>поправка</x:v>
      </x:c>
      <x:c r="E64" s="167" t="str">
        <x:v>Yes</x:v>
      </x:c>
      <x:c r="F64" s="167" t="n">
        <x:v>5</x:v>
      </x:c>
      <x:c r="G64" s="167" t="str">
        <x:v>High</x:v>
      </x:c>
      <x:c r="H64" s="167" t="str">
        <x:v>General</x:v>
      </x:c>
      <x:c r="I64" s="167" t="str">
        <x:v>Not Started</x:v>
      </x:c>
      <x:c r="J64" s="167" t="n">
        <x:v>0</x:v>
      </x:c>
      <x:c r="K64" s="168"/>
      <x:c r="L64" s="168" t="str">
        <x:f>IF(OR(I64="Mastered",K64=""),"",K64+IF(J64&gt;=5,30,IF(J64=4,14,IF(J64=3,7,IF(J64=2,3,1)))))</x:f>
      </x:c>
      <x:c r="M64" s="171" t="str"/>
      <x:c r="N64" s="171" t="str"/>
      <x:c r="O64" s="171" t="str">
        <x:v>Draft — verify in context</x:v>
      </x:c>
      <x:c r="P64" s="167" t="str">
        <x:v>https://www.oxfordlearnersdictionaries.com/wordlists/oxford3000-5000</x:v>
      </x:c>
    </x:row>
    <x:row r="65" ht="26" customHeight="1">
      <x:c r="A65" s="167" t="n">
        <x:v>64</x:v>
      </x:c>
      <x:c r="B65" s="167" t="str">
        <x:v>amid</x:v>
      </x:c>
      <x:c r="C65" s="167" t="str">
        <x:v>prep.</x:v>
      </x:c>
      <x:c r="D65" s="170" t="str">
        <x:v>посеред</x:v>
      </x:c>
      <x:c r="E65" s="167" t="str">
        <x:v>No</x:v>
      </x:c>
      <x:c r="F65" s="167"/>
      <x:c r="G65" s="167" t="str">
        <x:v>Core</x:v>
      </x:c>
      <x:c r="H65" s="167" t="str">
        <x:v>General</x:v>
      </x:c>
      <x:c r="I65" s="167" t="str">
        <x:v>Not Started</x:v>
      </x:c>
      <x:c r="J65" s="167" t="n">
        <x:v>0</x:v>
      </x:c>
      <x:c r="K65" s="168"/>
      <x:c r="L65" s="168" t="str">
        <x:f>IF(OR(I65="Mastered",K65=""),"",K65+IF(J65&gt;=5,30,IF(J65=4,14,IF(J65=3,7,IF(J65=2,3,1)))))</x:f>
      </x:c>
      <x:c r="M65" s="171" t="str"/>
      <x:c r="N65" s="171" t="str"/>
      <x:c r="O65" s="171" t="str">
        <x:v>Draft — verify in context</x:v>
      </x:c>
      <x:c r="P65" s="167" t="str">
        <x:v>https://www.oxfordlearnersdictionaries.com/wordlists/oxford3000-5000</x:v>
      </x:c>
    </x:row>
    <x:row r="66" ht="26" customHeight="1">
      <x:c r="A66" s="167" t="n">
        <x:v>65</x:v>
      </x:c>
      <x:c r="B66" s="167" t="str">
        <x:v>analogy</x:v>
      </x:c>
      <x:c r="C66" s="167" t="str">
        <x:v>n.</x:v>
      </x:c>
      <x:c r="D66" s="170" t="str">
        <x:v>аналогія</x:v>
      </x:c>
      <x:c r="E66" s="167" t="str">
        <x:v>No</x:v>
      </x:c>
      <x:c r="F66" s="167"/>
      <x:c r="G66" s="167" t="str">
        <x:v>Core</x:v>
      </x:c>
      <x:c r="H66" s="167" t="str">
        <x:v>General</x:v>
      </x:c>
      <x:c r="I66" s="167" t="str">
        <x:v>Not Started</x:v>
      </x:c>
      <x:c r="J66" s="167" t="n">
        <x:v>0</x:v>
      </x:c>
      <x:c r="K66" s="168"/>
      <x:c r="L66" s="168" t="str">
        <x:f>IF(OR(I66="Mastered",K66=""),"",K66+IF(J66&gt;=5,30,IF(J66=4,14,IF(J66=3,7,IF(J66=2,3,1)))))</x:f>
      </x:c>
      <x:c r="M66" s="171" t="str"/>
      <x:c r="N66" s="171" t="str"/>
      <x:c r="O66" s="171" t="str">
        <x:v>Draft — verify in context</x:v>
      </x:c>
      <x:c r="P66" s="167" t="str">
        <x:v>https://www.oxfordlearnersdictionaries.com/wordlists/oxford3000-5000</x:v>
      </x:c>
    </x:row>
    <x:row r="67" ht="26" customHeight="1">
      <x:c r="A67" s="167" t="n">
        <x:v>66</x:v>
      </x:c>
      <x:c r="B67" s="167" t="str">
        <x:v>anchor</x:v>
      </x:c>
      <x:c r="C67" s="167" t="str">
        <x:v>n.</x:v>
      </x:c>
      <x:c r="D67" s="170" t="str">
        <x:v>якір</x:v>
      </x:c>
      <x:c r="E67" s="167" t="str">
        <x:v>No</x:v>
      </x:c>
      <x:c r="F67" s="167"/>
      <x:c r="G67" s="167" t="str">
        <x:v>Core</x:v>
      </x:c>
      <x:c r="H67" s="167" t="str">
        <x:v>General</x:v>
      </x:c>
      <x:c r="I67" s="167" t="str">
        <x:v>Not Started</x:v>
      </x:c>
      <x:c r="J67" s="167" t="n">
        <x:v>0</x:v>
      </x:c>
      <x:c r="K67" s="168"/>
      <x:c r="L67" s="168" t="str">
        <x:f>IF(OR(I67="Mastered",K67=""),"",K67+IF(J67&gt;=5,30,IF(J67=4,14,IF(J67=3,7,IF(J67=2,3,1)))))</x:f>
      </x:c>
      <x:c r="M67" s="171" t="str"/>
      <x:c r="N67" s="171" t="str"/>
      <x:c r="O67" s="171" t="str">
        <x:v>Draft — verify in context</x:v>
      </x:c>
      <x:c r="P67" s="167" t="str">
        <x:v>https://www.oxfordlearnersdictionaries.com/wordlists/oxford3000-5000</x:v>
      </x:c>
    </x:row>
    <x:row r="68" ht="26" customHeight="1">
      <x:c r="A68" s="167" t="n">
        <x:v>67</x:v>
      </x:c>
      <x:c r="B68" s="167" t="str">
        <x:v>angel</x:v>
      </x:c>
      <x:c r="C68" s="167" t="str">
        <x:v>n.</x:v>
      </x:c>
      <x:c r="D68" s="170" t="str">
        <x:v>ангел</x:v>
      </x:c>
      <x:c r="E68" s="167" t="str">
        <x:v>No</x:v>
      </x:c>
      <x:c r="F68" s="167"/>
      <x:c r="G68" s="167" t="str">
        <x:v>Core</x:v>
      </x:c>
      <x:c r="H68" s="167" t="str">
        <x:v>General</x:v>
      </x:c>
      <x:c r="I68" s="167" t="str">
        <x:v>Not Started</x:v>
      </x:c>
      <x:c r="J68" s="167" t="n">
        <x:v>0</x:v>
      </x:c>
      <x:c r="K68" s="168"/>
      <x:c r="L68" s="168" t="str">
        <x:f>IF(OR(I68="Mastered",K68=""),"",K68+IF(J68&gt;=5,30,IF(J68=4,14,IF(J68=3,7,IF(J68=2,3,1)))))</x:f>
      </x:c>
      <x:c r="M68" s="171" t="str"/>
      <x:c r="N68" s="171" t="str"/>
      <x:c r="O68" s="171" t="str">
        <x:v>Draft — verify in context</x:v>
      </x:c>
      <x:c r="P68" s="167" t="str">
        <x:v>https://www.oxfordlearnersdictionaries.com/wordlists/oxford3000-5000</x:v>
      </x:c>
    </x:row>
    <x:row r="69" ht="26" customHeight="1">
      <x:c r="A69" s="167" t="n">
        <x:v>68</x:v>
      </x:c>
      <x:c r="B69" s="167" t="str">
        <x:v>anonymous</x:v>
      </x:c>
      <x:c r="C69" s="167" t="str">
        <x:v>adj.</x:v>
      </x:c>
      <x:c r="D69" s="170" t="str">
        <x:v>анонім</x:v>
      </x:c>
      <x:c r="E69" s="167" t="str">
        <x:v>No</x:v>
      </x:c>
      <x:c r="F69" s="167"/>
      <x:c r="G69" s="167" t="str">
        <x:v>Core</x:v>
      </x:c>
      <x:c r="H69" s="167" t="str">
        <x:v>General</x:v>
      </x:c>
      <x:c r="I69" s="167" t="str">
        <x:v>Not Started</x:v>
      </x:c>
      <x:c r="J69" s="167" t="n">
        <x:v>0</x:v>
      </x:c>
      <x:c r="K69" s="168"/>
      <x:c r="L69" s="168" t="str">
        <x:f>IF(OR(I69="Mastered",K69=""),"",K69+IF(J69&gt;=5,30,IF(J69=4,14,IF(J69=3,7,IF(J69=2,3,1)))))</x:f>
      </x:c>
      <x:c r="M69" s="171" t="str"/>
      <x:c r="N69" s="171" t="str"/>
      <x:c r="O69" s="171" t="str">
        <x:v>Draft — verify in context</x:v>
      </x:c>
      <x:c r="P69" s="167" t="str">
        <x:v>https://www.oxfordlearnersdictionaries.com/wordlists/oxford3000-5000</x:v>
      </x:c>
    </x:row>
    <x:row r="70" ht="26" customHeight="1">
      <x:c r="A70" s="167" t="n">
        <x:v>69</x:v>
      </x:c>
      <x:c r="B70" s="167" t="str">
        <x:v>apparatus</x:v>
      </x:c>
      <x:c r="C70" s="167" t="str">
        <x:v>n.</x:v>
      </x:c>
      <x:c r="D70" s="170" t="str">
        <x:v>апарат</x:v>
      </x:c>
      <x:c r="E70" s="167" t="str">
        <x:v>No</x:v>
      </x:c>
      <x:c r="F70" s="167"/>
      <x:c r="G70" s="167" t="str">
        <x:v>Core</x:v>
      </x:c>
      <x:c r="H70" s="167" t="str">
        <x:v>General</x:v>
      </x:c>
      <x:c r="I70" s="167" t="str">
        <x:v>Not Started</x:v>
      </x:c>
      <x:c r="J70" s="167" t="n">
        <x:v>0</x:v>
      </x:c>
      <x:c r="K70" s="168"/>
      <x:c r="L70" s="168" t="str">
        <x:f>IF(OR(I70="Mastered",K70=""),"",K70+IF(J70&gt;=5,30,IF(J70=4,14,IF(J70=3,7,IF(J70=2,3,1)))))</x:f>
      </x:c>
      <x:c r="M70" s="171" t="str"/>
      <x:c r="N70" s="171" t="str"/>
      <x:c r="O70" s="171" t="str">
        <x:v>Draft — verify in context</x:v>
      </x:c>
      <x:c r="P70" s="167" t="str">
        <x:v>https://www.oxfordlearnersdictionaries.com/wordlists/oxford3000-5000</x:v>
      </x:c>
    </x:row>
    <x:row r="71" ht="26" customHeight="1">
      <x:c r="A71" s="167" t="n">
        <x:v>70</x:v>
      </x:c>
      <x:c r="B71" s="167" t="str">
        <x:v>appealing</x:v>
      </x:c>
      <x:c r="C71" s="167" t="str">
        <x:v>adj.</x:v>
      </x:c>
      <x:c r="D71" s="170" t="str">
        <x:v>привабливий</x:v>
      </x:c>
      <x:c r="E71" s="167" t="str">
        <x:v>No</x:v>
      </x:c>
      <x:c r="F71" s="167"/>
      <x:c r="G71" s="167" t="str">
        <x:v>Core</x:v>
      </x:c>
      <x:c r="H71" s="167" t="str">
        <x:v>General</x:v>
      </x:c>
      <x:c r="I71" s="167" t="str">
        <x:v>Not Started</x:v>
      </x:c>
      <x:c r="J71" s="167" t="n">
        <x:v>0</x:v>
      </x:c>
      <x:c r="K71" s="168"/>
      <x:c r="L71" s="168" t="str">
        <x:f>IF(OR(I71="Mastered",K71=""),"",K71+IF(J71&gt;=5,30,IF(J71=4,14,IF(J71=3,7,IF(J71=2,3,1)))))</x:f>
      </x:c>
      <x:c r="M71" s="171" t="str"/>
      <x:c r="N71" s="171" t="str"/>
      <x:c r="O71" s="171" t="str">
        <x:v>Draft — verify in context</x:v>
      </x:c>
      <x:c r="P71" s="167" t="str">
        <x:v>https://www.oxfordlearnersdictionaries.com/wordlists/oxford3000-5000</x:v>
      </x:c>
    </x:row>
    <x:row r="72" ht="26" customHeight="1">
      <x:c r="A72" s="167" t="n">
        <x:v>71</x:v>
      </x:c>
      <x:c r="B72" s="167" t="str">
        <x:v>appetite</x:v>
      </x:c>
      <x:c r="C72" s="167" t="str">
        <x:v>n.</x:v>
      </x:c>
      <x:c r="D72" s="170" t="str">
        <x:v>апетит</x:v>
      </x:c>
      <x:c r="E72" s="167" t="str">
        <x:v>No</x:v>
      </x:c>
      <x:c r="F72" s="167"/>
      <x:c r="G72" s="167" t="str">
        <x:v>Core</x:v>
      </x:c>
      <x:c r="H72" s="167" t="str">
        <x:v>General</x:v>
      </x:c>
      <x:c r="I72" s="167" t="str">
        <x:v>Not Started</x:v>
      </x:c>
      <x:c r="J72" s="167" t="n">
        <x:v>0</x:v>
      </x:c>
      <x:c r="K72" s="168"/>
      <x:c r="L72" s="168" t="str">
        <x:f>IF(OR(I72="Mastered",K72=""),"",K72+IF(J72&gt;=5,30,IF(J72=4,14,IF(J72=3,7,IF(J72=2,3,1)))))</x:f>
      </x:c>
      <x:c r="M72" s="171" t="str"/>
      <x:c r="N72" s="171" t="str"/>
      <x:c r="O72" s="171" t="str">
        <x:v>Draft — verify in context</x:v>
      </x:c>
      <x:c r="P72" s="167" t="str">
        <x:v>https://www.oxfordlearnersdictionaries.com/wordlists/oxford3000-5000</x:v>
      </x:c>
    </x:row>
    <x:row r="73" ht="26" customHeight="1">
      <x:c r="A73" s="167" t="n">
        <x:v>72</x:v>
      </x:c>
      <x:c r="B73" s="167" t="str">
        <x:v>applaud</x:v>
      </x:c>
      <x:c r="C73" s="167" t="str">
        <x:v>v.</x:v>
      </x:c>
      <x:c r="D73" s="170" t="str">
        <x:v>аплодувати</x:v>
      </x:c>
      <x:c r="E73" s="167" t="str">
        <x:v>No</x:v>
      </x:c>
      <x:c r="F73" s="167"/>
      <x:c r="G73" s="167" t="str">
        <x:v>Core</x:v>
      </x:c>
      <x:c r="H73" s="167" t="str">
        <x:v>General</x:v>
      </x:c>
      <x:c r="I73" s="167" t="str">
        <x:v>Not Started</x:v>
      </x:c>
      <x:c r="J73" s="167" t="n">
        <x:v>0</x:v>
      </x:c>
      <x:c r="K73" s="168"/>
      <x:c r="L73" s="168" t="str">
        <x:f>IF(OR(I73="Mastered",K73=""),"",K73+IF(J73&gt;=5,30,IF(J73=4,14,IF(J73=3,7,IF(J73=2,3,1)))))</x:f>
      </x:c>
      <x:c r="M73" s="171" t="str"/>
      <x:c r="N73" s="171" t="str"/>
      <x:c r="O73" s="171" t="str">
        <x:v>Draft — verify in context</x:v>
      </x:c>
      <x:c r="P73" s="167" t="str">
        <x:v>https://www.oxfordlearnersdictionaries.com/wordlists/oxford3000-5000</x:v>
      </x:c>
    </x:row>
    <x:row r="74" ht="26" customHeight="1">
      <x:c r="A74" s="167" t="n">
        <x:v>73</x:v>
      </x:c>
      <x:c r="B74" s="167" t="str">
        <x:v>applicable</x:v>
      </x:c>
      <x:c r="C74" s="167" t="str">
        <x:v>adj.</x:v>
      </x:c>
      <x:c r="D74" s="170" t="str">
        <x:v>застосовний</x:v>
      </x:c>
      <x:c r="E74" s="167" t="str">
        <x:v>No</x:v>
      </x:c>
      <x:c r="F74" s="167"/>
      <x:c r="G74" s="167" t="str">
        <x:v>Core</x:v>
      </x:c>
      <x:c r="H74" s="167" t="str">
        <x:v>General</x:v>
      </x:c>
      <x:c r="I74" s="167" t="str">
        <x:v>Not Started</x:v>
      </x:c>
      <x:c r="J74" s="167" t="n">
        <x:v>0</x:v>
      </x:c>
      <x:c r="K74" s="168"/>
      <x:c r="L74" s="168" t="str">
        <x:f>IF(OR(I74="Mastered",K74=""),"",K74+IF(J74&gt;=5,30,IF(J74=4,14,IF(J74=3,7,IF(J74=2,3,1)))))</x:f>
      </x:c>
      <x:c r="M74" s="171" t="str"/>
      <x:c r="N74" s="171" t="str"/>
      <x:c r="O74" s="171" t="str">
        <x:v>Draft — verify in context</x:v>
      </x:c>
      <x:c r="P74" s="167" t="str">
        <x:v>https://www.oxfordlearnersdictionaries.com/wordlists/oxford3000-5000</x:v>
      </x:c>
    </x:row>
    <x:row r="75" ht="26" customHeight="1">
      <x:c r="A75" s="167" t="n">
        <x:v>74</x:v>
      </x:c>
      <x:c r="B75" s="167" t="str">
        <x:v>appoint</x:v>
      </x:c>
      <x:c r="C75" s="167" t="str">
        <x:v>v.</x:v>
      </x:c>
      <x:c r="D75" s="170" t="str">
        <x:v>призначати</x:v>
      </x:c>
      <x:c r="E75" s="167" t="str">
        <x:v>No</x:v>
      </x:c>
      <x:c r="F75" s="167"/>
      <x:c r="G75" s="167" t="str">
        <x:v>Core</x:v>
      </x:c>
      <x:c r="H75" s="167" t="str">
        <x:v>General</x:v>
      </x:c>
      <x:c r="I75" s="167" t="str">
        <x:v>Not Started</x:v>
      </x:c>
      <x:c r="J75" s="167" t="n">
        <x:v>0</x:v>
      </x:c>
      <x:c r="K75" s="168"/>
      <x:c r="L75" s="168" t="str">
        <x:f>IF(OR(I75="Mastered",K75=""),"",K75+IF(J75&gt;=5,30,IF(J75=4,14,IF(J75=3,7,IF(J75=2,3,1)))))</x:f>
      </x:c>
      <x:c r="M75" s="171" t="str"/>
      <x:c r="N75" s="171" t="str"/>
      <x:c r="O75" s="171" t="str">
        <x:v>Draft — verify in context</x:v>
      </x:c>
      <x:c r="P75" s="167" t="str">
        <x:v>https://www.oxfordlearnersdictionaries.com/wordlists/oxford3000-5000</x:v>
      </x:c>
    </x:row>
    <x:row r="76" ht="26" customHeight="1">
      <x:c r="A76" s="167" t="n">
        <x:v>75</x:v>
      </x:c>
      <x:c r="B76" s="167" t="str">
        <x:v>appreciation</x:v>
      </x:c>
      <x:c r="C76" s="167" t="str">
        <x:v>n.</x:v>
      </x:c>
      <x:c r="D76" s="170" t="str">
        <x:v>вдячність</x:v>
      </x:c>
      <x:c r="E76" s="167" t="str">
        <x:v>Yes</x:v>
      </x:c>
      <x:c r="F76" s="167" t="n">
        <x:v>8</x:v>
      </x:c>
      <x:c r="G76" s="167" t="str">
        <x:v>High</x:v>
      </x:c>
      <x:c r="H76" s="167" t="str">
        <x:v>General</x:v>
      </x:c>
      <x:c r="I76" s="167" t="str">
        <x:v>Not Started</x:v>
      </x:c>
      <x:c r="J76" s="167" t="n">
        <x:v>0</x:v>
      </x:c>
      <x:c r="K76" s="168"/>
      <x:c r="L76" s="168" t="str">
        <x:f>IF(OR(I76="Mastered",K76=""),"",K76+IF(J76&gt;=5,30,IF(J76=4,14,IF(J76=3,7,IF(J76=2,3,1)))))</x:f>
      </x:c>
      <x:c r="M76" s="171" t="str"/>
      <x:c r="N76" s="171" t="str"/>
      <x:c r="O76" s="171" t="str">
        <x:v>Draft — verify in context</x:v>
      </x:c>
      <x:c r="P76" s="167" t="str">
        <x:v>https://www.oxfordlearnersdictionaries.com/wordlists/oxford3000-5000</x:v>
      </x:c>
    </x:row>
    <x:row r="77" ht="26" customHeight="1">
      <x:c r="A77" s="167" t="n">
        <x:v>76</x:v>
      </x:c>
      <x:c r="B77" s="167" t="str">
        <x:v>arbitrary</x:v>
      </x:c>
      <x:c r="C77" s="167" t="str">
        <x:v>adj.</x:v>
      </x:c>
      <x:c r="D77" s="170" t="str">
        <x:v>довільний</x:v>
      </x:c>
      <x:c r="E77" s="167" t="str">
        <x:v>Yes</x:v>
      </x:c>
      <x:c r="F77" s="167" t="n">
        <x:v>8</x:v>
      </x:c>
      <x:c r="G77" s="167" t="str">
        <x:v>High</x:v>
      </x:c>
      <x:c r="H77" s="167" t="str">
        <x:v>General</x:v>
      </x:c>
      <x:c r="I77" s="167" t="str">
        <x:v>Not Started</x:v>
      </x:c>
      <x:c r="J77" s="167" t="n">
        <x:v>0</x:v>
      </x:c>
      <x:c r="K77" s="168"/>
      <x:c r="L77" s="168" t="str">
        <x:f>IF(OR(I77="Mastered",K77=""),"",K77+IF(J77&gt;=5,30,IF(J77=4,14,IF(J77=3,7,IF(J77=2,3,1)))))</x:f>
      </x:c>
      <x:c r="M77" s="171" t="str"/>
      <x:c r="N77" s="171" t="str"/>
      <x:c r="O77" s="171" t="str">
        <x:v>Draft — verify in context</x:v>
      </x:c>
      <x:c r="P77" s="167" t="str">
        <x:v>https://www.oxfordlearnersdictionaries.com/wordlists/oxford3000-5000</x:v>
      </x:c>
    </x:row>
    <x:row r="78" ht="26" customHeight="1">
      <x:c r="A78" s="167" t="n">
        <x:v>77</x:v>
      </x:c>
      <x:c r="B78" s="167" t="str">
        <x:v>architectural</x:v>
      </x:c>
      <x:c r="C78" s="167" t="str">
        <x:v>adj.</x:v>
      </x:c>
      <x:c r="D78" s="170" t="str">
        <x:v>архітектурний</x:v>
      </x:c>
      <x:c r="E78" s="167" t="str">
        <x:v>No</x:v>
      </x:c>
      <x:c r="F78" s="167"/>
      <x:c r="G78" s="167" t="str">
        <x:v>Core</x:v>
      </x:c>
      <x:c r="H78" s="167" t="str">
        <x:v>General</x:v>
      </x:c>
      <x:c r="I78" s="167" t="str">
        <x:v>Not Started</x:v>
      </x:c>
      <x:c r="J78" s="167" t="n">
        <x:v>0</x:v>
      </x:c>
      <x:c r="K78" s="168"/>
      <x:c r="L78" s="168" t="str">
        <x:f>IF(OR(I78="Mastered",K78=""),"",K78+IF(J78&gt;=5,30,IF(J78=4,14,IF(J78=3,7,IF(J78=2,3,1)))))</x:f>
      </x:c>
      <x:c r="M78" s="171" t="str"/>
      <x:c r="N78" s="171" t="str"/>
      <x:c r="O78" s="171" t="str">
        <x:v>Draft — verify in context</x:v>
      </x:c>
      <x:c r="P78" s="167" t="str">
        <x:v>https://www.oxfordlearnersdictionaries.com/wordlists/oxford3000-5000</x:v>
      </x:c>
    </x:row>
    <x:row r="79" ht="26" customHeight="1">
      <x:c r="A79" s="167" t="n">
        <x:v>78</x:v>
      </x:c>
      <x:c r="B79" s="167" t="str">
        <x:v>archive</x:v>
      </x:c>
      <x:c r="C79" s="167" t="str">
        <x:v>n.</x:v>
      </x:c>
      <x:c r="D79" s="170" t="str">
        <x:v>архів</x:v>
      </x:c>
      <x:c r="E79" s="167" t="str">
        <x:v>No</x:v>
      </x:c>
      <x:c r="F79" s="167"/>
      <x:c r="G79" s="167" t="str">
        <x:v>Core</x:v>
      </x:c>
      <x:c r="H79" s="167" t="str">
        <x:v>General</x:v>
      </x:c>
      <x:c r="I79" s="167" t="str">
        <x:v>Not Started</x:v>
      </x:c>
      <x:c r="J79" s="167" t="n">
        <x:v>0</x:v>
      </x:c>
      <x:c r="K79" s="168"/>
      <x:c r="L79" s="168" t="str">
        <x:f>IF(OR(I79="Mastered",K79=""),"",K79+IF(J79&gt;=5,30,IF(J79=4,14,IF(J79=3,7,IF(J79=2,3,1)))))</x:f>
      </x:c>
      <x:c r="M79" s="171" t="str"/>
      <x:c r="N79" s="171" t="str"/>
      <x:c r="O79" s="171" t="str">
        <x:v>Draft — verify in context</x:v>
      </x:c>
      <x:c r="P79" s="167" t="str">
        <x:v>https://www.oxfordlearnersdictionaries.com/wordlists/oxford3000-5000</x:v>
      </x:c>
    </x:row>
    <x:row r="80" ht="26" customHeight="1">
      <x:c r="A80" s="167" t="n">
        <x:v>79</x:v>
      </x:c>
      <x:c r="B80" s="167" t="str">
        <x:v>arena</x:v>
      </x:c>
      <x:c r="C80" s="167" t="str">
        <x:v>n.</x:v>
      </x:c>
      <x:c r="D80" s="170" t="str">
        <x:v>арена</x:v>
      </x:c>
      <x:c r="E80" s="167" t="str">
        <x:v>No</x:v>
      </x:c>
      <x:c r="F80" s="167"/>
      <x:c r="G80" s="167" t="str">
        <x:v>Core</x:v>
      </x:c>
      <x:c r="H80" s="167" t="str">
        <x:v>General</x:v>
      </x:c>
      <x:c r="I80" s="167" t="str">
        <x:v>Not Started</x:v>
      </x:c>
      <x:c r="J80" s="167" t="n">
        <x:v>0</x:v>
      </x:c>
      <x:c r="K80" s="168"/>
      <x:c r="L80" s="168" t="str">
        <x:f>IF(OR(I80="Mastered",K80=""),"",K80+IF(J80&gt;=5,30,IF(J80=4,14,IF(J80=3,7,IF(J80=2,3,1)))))</x:f>
      </x:c>
      <x:c r="M80" s="171" t="str"/>
      <x:c r="N80" s="171" t="str"/>
      <x:c r="O80" s="171" t="str">
        <x:v>Draft — verify in context</x:v>
      </x:c>
      <x:c r="P80" s="167" t="str">
        <x:v>https://www.oxfordlearnersdictionaries.com/wordlists/oxford3000-5000</x:v>
      </x:c>
    </x:row>
    <x:row r="81" ht="26" customHeight="1">
      <x:c r="A81" s="167" t="n">
        <x:v>80</x:v>
      </x:c>
      <x:c r="B81" s="167" t="str">
        <x:v>arguably</x:v>
      </x:c>
      <x:c r="C81" s="167" t="str">
        <x:v>adv.</x:v>
      </x:c>
      <x:c r="D81" s="170" t="str">
        <x:v>можна стверджувати; ймовірно</x:v>
      </x:c>
      <x:c r="E81" s="167" t="str">
        <x:v>No</x:v>
      </x:c>
      <x:c r="F81" s="167"/>
      <x:c r="G81" s="167" t="str">
        <x:v>Core</x:v>
      </x:c>
      <x:c r="H81" s="167" t="str">
        <x:v>General</x:v>
      </x:c>
      <x:c r="I81" s="167" t="str">
        <x:v>Not Started</x:v>
      </x:c>
      <x:c r="J81" s="167" t="n">
        <x:v>0</x:v>
      </x:c>
      <x:c r="K81" s="168"/>
      <x:c r="L81" s="168" t="str">
        <x:f>IF(OR(I81="Mastered",K81=""),"",K81+IF(J81&gt;=5,30,IF(J81=4,14,IF(J81=3,7,IF(J81=2,3,1)))))</x:f>
      </x:c>
      <x:c r="M81" s="171" t="str"/>
      <x:c r="N81" s="171" t="str"/>
      <x:c r="O81" s="171" t="str">
        <x:v>Draft — verify in context</x:v>
      </x:c>
      <x:c r="P81" s="167" t="str">
        <x:v>https://www.oxfordlearnersdictionaries.com/wordlists/oxford3000-5000</x:v>
      </x:c>
    </x:row>
    <x:row r="82" ht="26" customHeight="1">
      <x:c r="A82" s="167" t="n">
        <x:v>81</x:v>
      </x:c>
      <x:c r="B82" s="167" t="str">
        <x:v>arm</x:v>
      </x:c>
      <x:c r="C82" s="167" t="str">
        <x:v>v.</x:v>
      </x:c>
      <x:c r="D82" s="170" t="str">
        <x:v>озброювати</x:v>
      </x:c>
      <x:c r="E82" s="167" t="str">
        <x:v>No</x:v>
      </x:c>
      <x:c r="F82" s="167"/>
      <x:c r="G82" s="167" t="str">
        <x:v>Core</x:v>
      </x:c>
      <x:c r="H82" s="167" t="str">
        <x:v>General</x:v>
      </x:c>
      <x:c r="I82" s="167" t="str">
        <x:v>Not Started</x:v>
      </x:c>
      <x:c r="J82" s="167" t="n">
        <x:v>0</x:v>
      </x:c>
      <x:c r="K82" s="168"/>
      <x:c r="L82" s="168" t="str">
        <x:f>IF(OR(I82="Mastered",K82=""),"",K82+IF(J82&gt;=5,30,IF(J82=4,14,IF(J82=3,7,IF(J82=2,3,1)))))</x:f>
      </x:c>
      <x:c r="M82" s="171" t="str"/>
      <x:c r="N82" s="171" t="str"/>
      <x:c r="O82" s="171" t="str">
        <x:v>Draft — verify in context</x:v>
      </x:c>
      <x:c r="P82" s="167" t="str">
        <x:v>https://www.oxfordlearnersdictionaries.com/wordlists/oxford3000-5000</x:v>
      </x:c>
    </x:row>
    <x:row r="83" ht="26" customHeight="1">
      <x:c r="A83" s="167" t="n">
        <x:v>82</x:v>
      </x:c>
      <x:c r="B83" s="167" t="str">
        <x:v>array</x:v>
      </x:c>
      <x:c r="C83" s="167" t="str">
        <x:v>n.</x:v>
      </x:c>
      <x:c r="D83" s="170" t="str">
        <x:v>масив</x:v>
      </x:c>
      <x:c r="E83" s="167" t="str">
        <x:v>No</x:v>
      </x:c>
      <x:c r="F83" s="167"/>
      <x:c r="G83" s="167" t="str">
        <x:v>Core</x:v>
      </x:c>
      <x:c r="H83" s="167" t="str">
        <x:v>General</x:v>
      </x:c>
      <x:c r="I83" s="167" t="str">
        <x:v>Not Started</x:v>
      </x:c>
      <x:c r="J83" s="167" t="n">
        <x:v>0</x:v>
      </x:c>
      <x:c r="K83" s="168"/>
      <x:c r="L83" s="168" t="str">
        <x:f>IF(OR(I83="Mastered",K83=""),"",K83+IF(J83&gt;=5,30,IF(J83=4,14,IF(J83=3,7,IF(J83=2,3,1)))))</x:f>
      </x:c>
      <x:c r="M83" s="171" t="str"/>
      <x:c r="N83" s="171" t="str"/>
      <x:c r="O83" s="171" t="str">
        <x:v>Draft — verify in context</x:v>
      </x:c>
      <x:c r="P83" s="167" t="str">
        <x:v>https://www.oxfordlearnersdictionaries.com/wordlists/oxford3000-5000</x:v>
      </x:c>
    </x:row>
    <x:row r="84" ht="26" customHeight="1">
      <x:c r="A84" s="167" t="n">
        <x:v>83</x:v>
      </x:c>
      <x:c r="B84" s="167" t="str">
        <x:v>articulate</x:v>
      </x:c>
      <x:c r="C84" s="167" t="str">
        <x:v>v.</x:v>
      </x:c>
      <x:c r="D84" s="170" t="str">
        <x:v>артикулювати</x:v>
      </x:c>
      <x:c r="E84" s="167" t="str">
        <x:v>No</x:v>
      </x:c>
      <x:c r="F84" s="167"/>
      <x:c r="G84" s="167" t="str">
        <x:v>Core</x:v>
      </x:c>
      <x:c r="H84" s="167" t="str">
        <x:v>General</x:v>
      </x:c>
      <x:c r="I84" s="167" t="str">
        <x:v>Not Started</x:v>
      </x:c>
      <x:c r="J84" s="167" t="n">
        <x:v>0</x:v>
      </x:c>
      <x:c r="K84" s="168"/>
      <x:c r="L84" s="168" t="str">
        <x:f>IF(OR(I84="Mastered",K84=""),"",K84+IF(J84&gt;=5,30,IF(J84=4,14,IF(J84=3,7,IF(J84=2,3,1)))))</x:f>
      </x:c>
      <x:c r="M84" s="171" t="str"/>
      <x:c r="N84" s="171" t="str"/>
      <x:c r="O84" s="171" t="str">
        <x:v>Draft — verify in context</x:v>
      </x:c>
      <x:c r="P84" s="167" t="str">
        <x:v>https://www.oxfordlearnersdictionaries.com/wordlists/oxford3000-5000</x:v>
      </x:c>
    </x:row>
    <x:row r="85" ht="26" customHeight="1">
      <x:c r="A85" s="167" t="n">
        <x:v>84</x:v>
      </x:c>
      <x:c r="B85" s="167" t="str">
        <x:v>ash</x:v>
      </x:c>
      <x:c r="C85" s="167" t="str">
        <x:v>n.</x:v>
      </x:c>
      <x:c r="D85" s="170" t="str">
        <x:v>попіл</x:v>
      </x:c>
      <x:c r="E85" s="167" t="str">
        <x:v>No</x:v>
      </x:c>
      <x:c r="F85" s="167"/>
      <x:c r="G85" s="167" t="str">
        <x:v>Core</x:v>
      </x:c>
      <x:c r="H85" s="167" t="str">
        <x:v>General</x:v>
      </x:c>
      <x:c r="I85" s="167" t="str">
        <x:v>Not Started</x:v>
      </x:c>
      <x:c r="J85" s="167" t="n">
        <x:v>0</x:v>
      </x:c>
      <x:c r="K85" s="168"/>
      <x:c r="L85" s="168" t="str">
        <x:f>IF(OR(I85="Mastered",K85=""),"",K85+IF(J85&gt;=5,30,IF(J85=4,14,IF(J85=3,7,IF(J85=2,3,1)))))</x:f>
      </x:c>
      <x:c r="M85" s="171" t="str"/>
      <x:c r="N85" s="171" t="str"/>
      <x:c r="O85" s="171" t="str">
        <x:v>Draft — verify in context</x:v>
      </x:c>
      <x:c r="P85" s="167" t="str">
        <x:v>https://www.oxfordlearnersdictionaries.com/wordlists/oxford3000-5000</x:v>
      </x:c>
    </x:row>
    <x:row r="86" ht="26" customHeight="1">
      <x:c r="A86" s="167" t="n">
        <x:v>85</x:v>
      </x:c>
      <x:c r="B86" s="167" t="str">
        <x:v>aspiration</x:v>
      </x:c>
      <x:c r="C86" s="167" t="str">
        <x:v>n.</x:v>
      </x:c>
      <x:c r="D86" s="170" t="str">
        <x:v>прагнення</x:v>
      </x:c>
      <x:c r="E86" s="167" t="str">
        <x:v>No</x:v>
      </x:c>
      <x:c r="F86" s="167"/>
      <x:c r="G86" s="167" t="str">
        <x:v>Core</x:v>
      </x:c>
      <x:c r="H86" s="167" t="str">
        <x:v>General</x:v>
      </x:c>
      <x:c r="I86" s="167" t="str">
        <x:v>Not Started</x:v>
      </x:c>
      <x:c r="J86" s="167" t="n">
        <x:v>0</x:v>
      </x:c>
      <x:c r="K86" s="168"/>
      <x:c r="L86" s="168" t="str">
        <x:f>IF(OR(I86="Mastered",K86=""),"",K86+IF(J86&gt;=5,30,IF(J86=4,14,IF(J86=3,7,IF(J86=2,3,1)))))</x:f>
      </x:c>
      <x:c r="M86" s="171" t="str"/>
      <x:c r="N86" s="171" t="str"/>
      <x:c r="O86" s="171" t="str">
        <x:v>Draft — verify in context</x:v>
      </x:c>
      <x:c r="P86" s="167" t="str">
        <x:v>https://www.oxfordlearnersdictionaries.com/wordlists/oxford3000-5000</x:v>
      </x:c>
    </x:row>
    <x:row r="87" ht="26" customHeight="1">
      <x:c r="A87" s="167" t="n">
        <x:v>86</x:v>
      </x:c>
      <x:c r="B87" s="167" t="str">
        <x:v>aspire</x:v>
      </x:c>
      <x:c r="C87" s="167" t="str">
        <x:v>v.</x:v>
      </x:c>
      <x:c r="D87" s="170" t="str">
        <x:v>прагнути</x:v>
      </x:c>
      <x:c r="E87" s="167" t="str">
        <x:v>No</x:v>
      </x:c>
      <x:c r="F87" s="167"/>
      <x:c r="G87" s="167" t="str">
        <x:v>Core</x:v>
      </x:c>
      <x:c r="H87" s="167" t="str">
        <x:v>General</x:v>
      </x:c>
      <x:c r="I87" s="167" t="str">
        <x:v>Not Started</x:v>
      </x:c>
      <x:c r="J87" s="167" t="n">
        <x:v>0</x:v>
      </x:c>
      <x:c r="K87" s="168"/>
      <x:c r="L87" s="168" t="str">
        <x:f>IF(OR(I87="Mastered",K87=""),"",K87+IF(J87&gt;=5,30,IF(J87=4,14,IF(J87=3,7,IF(J87=2,3,1)))))</x:f>
      </x:c>
      <x:c r="M87" s="171" t="str"/>
      <x:c r="N87" s="171" t="str"/>
      <x:c r="O87" s="171" t="str">
        <x:v>Draft — verify in context</x:v>
      </x:c>
      <x:c r="P87" s="167" t="str">
        <x:v>https://www.oxfordlearnersdictionaries.com/wordlists/oxford3000-5000</x:v>
      </x:c>
    </x:row>
    <x:row r="88" ht="26" customHeight="1">
      <x:c r="A88" s="167" t="n">
        <x:v>87</x:v>
      </x:c>
      <x:c r="B88" s="167" t="str">
        <x:v>assassination</x:v>
      </x:c>
      <x:c r="C88" s="167" t="str">
        <x:v>n.</x:v>
      </x:c>
      <x:c r="D88" s="170" t="str">
        <x:v>вбивство</x:v>
      </x:c>
      <x:c r="E88" s="167" t="str">
        <x:v>No</x:v>
      </x:c>
      <x:c r="F88" s="167"/>
      <x:c r="G88" s="167" t="str">
        <x:v>Core</x:v>
      </x:c>
      <x:c r="H88" s="167" t="str">
        <x:v>General</x:v>
      </x:c>
      <x:c r="I88" s="167" t="str">
        <x:v>Not Started</x:v>
      </x:c>
      <x:c r="J88" s="167" t="n">
        <x:v>0</x:v>
      </x:c>
      <x:c r="K88" s="168"/>
      <x:c r="L88" s="168" t="str">
        <x:f>IF(OR(I88="Mastered",K88=""),"",K88+IF(J88&gt;=5,30,IF(J88=4,14,IF(J88=3,7,IF(J88=2,3,1)))))</x:f>
      </x:c>
      <x:c r="M88" s="171" t="str"/>
      <x:c r="N88" s="171" t="str"/>
      <x:c r="O88" s="171" t="str">
        <x:v>Draft — verify in context</x:v>
      </x:c>
      <x:c r="P88" s="167" t="str">
        <x:v>https://www.oxfordlearnersdictionaries.com/wordlists/oxford3000-5000</x:v>
      </x:c>
    </x:row>
    <x:row r="89" ht="26" customHeight="1">
      <x:c r="A89" s="167" t="n">
        <x:v>88</x:v>
      </x:c>
      <x:c r="B89" s="167" t="str">
        <x:v>assault</x:v>
      </x:c>
      <x:c r="C89" s="167" t="str">
        <x:v>n., v.</x:v>
      </x:c>
      <x:c r="D89" s="170" t="str">
        <x:v>напад</x:v>
      </x:c>
      <x:c r="E89" s="167" t="str">
        <x:v>No</x:v>
      </x:c>
      <x:c r="F89" s="167"/>
      <x:c r="G89" s="167" t="str">
        <x:v>Core</x:v>
      </x:c>
      <x:c r="H89" s="167" t="str">
        <x:v>General</x:v>
      </x:c>
      <x:c r="I89" s="167" t="str">
        <x:v>Not Started</x:v>
      </x:c>
      <x:c r="J89" s="167" t="n">
        <x:v>0</x:v>
      </x:c>
      <x:c r="K89" s="168"/>
      <x:c r="L89" s="168" t="str">
        <x:f>IF(OR(I89="Mastered",K89=""),"",K89+IF(J89&gt;=5,30,IF(J89=4,14,IF(J89=3,7,IF(J89=2,3,1)))))</x:f>
      </x:c>
      <x:c r="M89" s="171" t="str"/>
      <x:c r="N89" s="171" t="str"/>
      <x:c r="O89" s="171" t="str">
        <x:v>Draft — verify in context</x:v>
      </x:c>
      <x:c r="P89" s="167" t="str">
        <x:v>https://www.oxfordlearnersdictionaries.com/wordlists/oxford3000-5000</x:v>
      </x:c>
    </x:row>
    <x:row r="90" ht="26" customHeight="1">
      <x:c r="A90" s="167" t="n">
        <x:v>89</x:v>
      </x:c>
      <x:c r="B90" s="167" t="str">
        <x:v>assemble</x:v>
      </x:c>
      <x:c r="C90" s="167" t="str">
        <x:v>v.</x:v>
      </x:c>
      <x:c r="D90" s="170" t="str">
        <x:v>зібрати</x:v>
      </x:c>
      <x:c r="E90" s="167" t="str">
        <x:v>No</x:v>
      </x:c>
      <x:c r="F90" s="167"/>
      <x:c r="G90" s="167" t="str">
        <x:v>Core</x:v>
      </x:c>
      <x:c r="H90" s="167" t="str">
        <x:v>General</x:v>
      </x:c>
      <x:c r="I90" s="167" t="str">
        <x:v>Not Started</x:v>
      </x:c>
      <x:c r="J90" s="167" t="n">
        <x:v>0</x:v>
      </x:c>
      <x:c r="K90" s="168"/>
      <x:c r="L90" s="168" t="str">
        <x:f>IF(OR(I90="Mastered",K90=""),"",K90+IF(J90&gt;=5,30,IF(J90=4,14,IF(J90=3,7,IF(J90=2,3,1)))))</x:f>
      </x:c>
      <x:c r="M90" s="171" t="str"/>
      <x:c r="N90" s="171" t="str"/>
      <x:c r="O90" s="171" t="str">
        <x:v>Draft — verify in context</x:v>
      </x:c>
      <x:c r="P90" s="167" t="str">
        <x:v>https://www.oxfordlearnersdictionaries.com/wordlists/oxford3000-5000</x:v>
      </x:c>
    </x:row>
    <x:row r="91" ht="26" customHeight="1">
      <x:c r="A91" s="167" t="n">
        <x:v>90</x:v>
      </x:c>
      <x:c r="B91" s="167" t="str">
        <x:v>assembly</x:v>
      </x:c>
      <x:c r="C91" s="167" t="str">
        <x:v>n.</x:v>
      </x:c>
      <x:c r="D91" s="170" t="str">
        <x:v>збірка</x:v>
      </x:c>
      <x:c r="E91" s="167" t="str">
        <x:v>Yes</x:v>
      </x:c>
      <x:c r="F91" s="167" t="n">
        <x:v>10</x:v>
      </x:c>
      <x:c r="G91" s="167" t="str">
        <x:v>High</x:v>
      </x:c>
      <x:c r="H91" s="167" t="str">
        <x:v>General</x:v>
      </x:c>
      <x:c r="I91" s="167" t="str">
        <x:v>Not Started</x:v>
      </x:c>
      <x:c r="J91" s="167" t="n">
        <x:v>0</x:v>
      </x:c>
      <x:c r="K91" s="168"/>
      <x:c r="L91" s="168" t="str">
        <x:f>IF(OR(I91="Mastered",K91=""),"",K91+IF(J91&gt;=5,30,IF(J91=4,14,IF(J91=3,7,IF(J91=2,3,1)))))</x:f>
      </x:c>
      <x:c r="M91" s="171" t="str"/>
      <x:c r="N91" s="171" t="str"/>
      <x:c r="O91" s="171" t="str">
        <x:v>Draft — verify in context</x:v>
      </x:c>
      <x:c r="P91" s="167" t="str">
        <x:v>https://www.oxfordlearnersdictionaries.com/wordlists/oxford3000-5000</x:v>
      </x:c>
    </x:row>
    <x:row r="92" ht="26" customHeight="1">
      <x:c r="A92" s="167" t="n">
        <x:v>91</x:v>
      </x:c>
      <x:c r="B92" s="167" t="str">
        <x:v>assert</x:v>
      </x:c>
      <x:c r="C92" s="167" t="str">
        <x:v>v.</x:v>
      </x:c>
      <x:c r="D92" s="170" t="str">
        <x:v>стверджувати</x:v>
      </x:c>
      <x:c r="E92" s="167" t="str">
        <x:v>No</x:v>
      </x:c>
      <x:c r="F92" s="167"/>
      <x:c r="G92" s="167" t="str">
        <x:v>Core</x:v>
      </x:c>
      <x:c r="H92" s="167" t="str">
        <x:v>General</x:v>
      </x:c>
      <x:c r="I92" s="167" t="str">
        <x:v>Not Started</x:v>
      </x:c>
      <x:c r="J92" s="167" t="n">
        <x:v>0</x:v>
      </x:c>
      <x:c r="K92" s="168"/>
      <x:c r="L92" s="168" t="str">
        <x:f>IF(OR(I92="Mastered",K92=""),"",K92+IF(J92&gt;=5,30,IF(J92=4,14,IF(J92=3,7,IF(J92=2,3,1)))))</x:f>
      </x:c>
      <x:c r="M92" s="171" t="str"/>
      <x:c r="N92" s="171" t="str"/>
      <x:c r="O92" s="171" t="str">
        <x:v>Draft — verify in context</x:v>
      </x:c>
      <x:c r="P92" s="167" t="str">
        <x:v>https://www.oxfordlearnersdictionaries.com/wordlists/oxford3000-5000</x:v>
      </x:c>
    </x:row>
    <x:row r="93" ht="26" customHeight="1">
      <x:c r="A93" s="167" t="n">
        <x:v>92</x:v>
      </x:c>
      <x:c r="B93" s="167" t="str">
        <x:v>assertion</x:v>
      </x:c>
      <x:c r="C93" s="167" t="str">
        <x:v>n.</x:v>
      </x:c>
      <x:c r="D93" s="170" t="str">
        <x:v>твердження</x:v>
      </x:c>
      <x:c r="E93" s="167" t="str">
        <x:v>No</x:v>
      </x:c>
      <x:c r="F93" s="167"/>
      <x:c r="G93" s="167" t="str">
        <x:v>Core</x:v>
      </x:c>
      <x:c r="H93" s="167" t="str">
        <x:v>General</x:v>
      </x:c>
      <x:c r="I93" s="167" t="str">
        <x:v>Not Started</x:v>
      </x:c>
      <x:c r="J93" s="167" t="n">
        <x:v>0</x:v>
      </x:c>
      <x:c r="K93" s="168"/>
      <x:c r="L93" s="168" t="str">
        <x:f>IF(OR(I93="Mastered",K93=""),"",K93+IF(J93&gt;=5,30,IF(J93=4,14,IF(J93=3,7,IF(J93=2,3,1)))))</x:f>
      </x:c>
      <x:c r="M93" s="171" t="str"/>
      <x:c r="N93" s="171" t="str"/>
      <x:c r="O93" s="171" t="str">
        <x:v>Draft — verify in context</x:v>
      </x:c>
      <x:c r="P93" s="167" t="str">
        <x:v>https://www.oxfordlearnersdictionaries.com/wordlists/oxford3000-5000</x:v>
      </x:c>
    </x:row>
    <x:row r="94" ht="26" customHeight="1">
      <x:c r="A94" s="167" t="n">
        <x:v>93</x:v>
      </x:c>
      <x:c r="B94" s="167" t="str">
        <x:v>assurance</x:v>
      </x:c>
      <x:c r="C94" s="167" t="str">
        <x:v>n.</x:v>
      </x:c>
      <x:c r="D94" s="170" t="str">
        <x:v>запевнення</x:v>
      </x:c>
      <x:c r="E94" s="167" t="str">
        <x:v>Yes</x:v>
      </x:c>
      <x:c r="F94" s="167" t="n">
        <x:v>9</x:v>
      </x:c>
      <x:c r="G94" s="167" t="str">
        <x:v>High</x:v>
      </x:c>
      <x:c r="H94" s="167" t="str">
        <x:v>General</x:v>
      </x:c>
      <x:c r="I94" s="167" t="str">
        <x:v>Not Started</x:v>
      </x:c>
      <x:c r="J94" s="167" t="n">
        <x:v>0</x:v>
      </x:c>
      <x:c r="K94" s="168"/>
      <x:c r="L94" s="168" t="str">
        <x:f>IF(OR(I94="Mastered",K94=""),"",K94+IF(J94&gt;=5,30,IF(J94=4,14,IF(J94=3,7,IF(J94=2,3,1)))))</x:f>
      </x:c>
      <x:c r="M94" s="171" t="str"/>
      <x:c r="N94" s="171" t="str"/>
      <x:c r="O94" s="171" t="str">
        <x:v>Draft — verify in context</x:v>
      </x:c>
      <x:c r="P94" s="167" t="str">
        <x:v>https://www.oxfordlearnersdictionaries.com/wordlists/oxford3000-5000</x:v>
      </x:c>
    </x:row>
    <x:row r="95" ht="26" customHeight="1">
      <x:c r="A95" s="167" t="n">
        <x:v>94</x:v>
      </x:c>
      <x:c r="B95" s="167" t="str">
        <x:v>asylum</x:v>
      </x:c>
      <x:c r="C95" s="167" t="str">
        <x:v>n.</x:v>
      </x:c>
      <x:c r="D95" s="170" t="str">
        <x:v>притулок</x:v>
      </x:c>
      <x:c r="E95" s="167" t="str">
        <x:v>No</x:v>
      </x:c>
      <x:c r="F95" s="167"/>
      <x:c r="G95" s="167" t="str">
        <x:v>Core</x:v>
      </x:c>
      <x:c r="H95" s="167" t="str">
        <x:v>General</x:v>
      </x:c>
      <x:c r="I95" s="167" t="str">
        <x:v>Not Started</x:v>
      </x:c>
      <x:c r="J95" s="167" t="n">
        <x:v>0</x:v>
      </x:c>
      <x:c r="K95" s="168"/>
      <x:c r="L95" s="168" t="str">
        <x:f>IF(OR(I95="Mastered",K95=""),"",K95+IF(J95&gt;=5,30,IF(J95=4,14,IF(J95=3,7,IF(J95=2,3,1)))))</x:f>
      </x:c>
      <x:c r="M95" s="171" t="str"/>
      <x:c r="N95" s="171" t="str"/>
      <x:c r="O95" s="171" t="str">
        <x:v>Draft — verify in context</x:v>
      </x:c>
      <x:c r="P95" s="167" t="str">
        <x:v>https://www.oxfordlearnersdictionaries.com/wordlists/oxford3000-5000</x:v>
      </x:c>
    </x:row>
    <x:row r="96" ht="26" customHeight="1">
      <x:c r="A96" s="167" t="n">
        <x:v>95</x:v>
      </x:c>
      <x:c r="B96" s="167" t="str">
        <x:v>atrocity</x:v>
      </x:c>
      <x:c r="C96" s="167" t="str">
        <x:v>n.</x:v>
      </x:c>
      <x:c r="D96" s="170" t="str">
        <x:v>злодіяння</x:v>
      </x:c>
      <x:c r="E96" s="167" t="str">
        <x:v>No</x:v>
      </x:c>
      <x:c r="F96" s="167"/>
      <x:c r="G96" s="167" t="str">
        <x:v>Core</x:v>
      </x:c>
      <x:c r="H96" s="167" t="str">
        <x:v>General</x:v>
      </x:c>
      <x:c r="I96" s="167" t="str">
        <x:v>Not Started</x:v>
      </x:c>
      <x:c r="J96" s="167" t="n">
        <x:v>0</x:v>
      </x:c>
      <x:c r="K96" s="168"/>
      <x:c r="L96" s="168" t="str">
        <x:f>IF(OR(I96="Mastered",K96=""),"",K96+IF(J96&gt;=5,30,IF(J96=4,14,IF(J96=3,7,IF(J96=2,3,1)))))</x:f>
      </x:c>
      <x:c r="M96" s="171" t="str"/>
      <x:c r="N96" s="171" t="str"/>
      <x:c r="O96" s="171" t="str">
        <x:v>Draft — verify in context</x:v>
      </x:c>
      <x:c r="P96" s="167" t="str">
        <x:v>https://www.oxfordlearnersdictionaries.com/wordlists/oxford3000-5000</x:v>
      </x:c>
    </x:row>
    <x:row r="97" ht="26" customHeight="1">
      <x:c r="A97" s="167" t="n">
        <x:v>96</x:v>
      </x:c>
      <x:c r="B97" s="167" t="str">
        <x:v>attain</x:v>
      </x:c>
      <x:c r="C97" s="167" t="str">
        <x:v>v.</x:v>
      </x:c>
      <x:c r="D97" s="170" t="str">
        <x:v>досягти</x:v>
      </x:c>
      <x:c r="E97" s="167" t="str">
        <x:v>No</x:v>
      </x:c>
      <x:c r="F97" s="167"/>
      <x:c r="G97" s="167" t="str">
        <x:v>Core</x:v>
      </x:c>
      <x:c r="H97" s="167" t="str">
        <x:v>General</x:v>
      </x:c>
      <x:c r="I97" s="167" t="str">
        <x:v>Not Started</x:v>
      </x:c>
      <x:c r="J97" s="167" t="n">
        <x:v>0</x:v>
      </x:c>
      <x:c r="K97" s="168"/>
      <x:c r="L97" s="168" t="str">
        <x:f>IF(OR(I97="Mastered",K97=""),"",K97+IF(J97&gt;=5,30,IF(J97=4,14,IF(J97=3,7,IF(J97=2,3,1)))))</x:f>
      </x:c>
      <x:c r="M97" s="171" t="str"/>
      <x:c r="N97" s="171" t="str"/>
      <x:c r="O97" s="171" t="str">
        <x:v>Draft — verify in context</x:v>
      </x:c>
      <x:c r="P97" s="167" t="str">
        <x:v>https://www.oxfordlearnersdictionaries.com/wordlists/oxford3000-5000</x:v>
      </x:c>
    </x:row>
    <x:row r="98" ht="26" customHeight="1">
      <x:c r="A98" s="167" t="n">
        <x:v>97</x:v>
      </x:c>
      <x:c r="B98" s="167" t="str">
        <x:v>attendance</x:v>
      </x:c>
      <x:c r="C98" s="167" t="str">
        <x:v>n.</x:v>
      </x:c>
      <x:c r="D98" s="170" t="str">
        <x:v>присутність</x:v>
      </x:c>
      <x:c r="E98" s="167" t="str">
        <x:v>No</x:v>
      </x:c>
      <x:c r="F98" s="167"/>
      <x:c r="G98" s="167" t="str">
        <x:v>Core</x:v>
      </x:c>
      <x:c r="H98" s="167" t="str">
        <x:v>General</x:v>
      </x:c>
      <x:c r="I98" s="167" t="str">
        <x:v>Not Started</x:v>
      </x:c>
      <x:c r="J98" s="167" t="n">
        <x:v>0</x:v>
      </x:c>
      <x:c r="K98" s="168"/>
      <x:c r="L98" s="168" t="str">
        <x:f>IF(OR(I98="Mastered",K98=""),"",K98+IF(J98&gt;=5,30,IF(J98=4,14,IF(J98=3,7,IF(J98=2,3,1)))))</x:f>
      </x:c>
      <x:c r="M98" s="171" t="str"/>
      <x:c r="N98" s="171" t="str"/>
      <x:c r="O98" s="171" t="str">
        <x:v>Draft — verify in context</x:v>
      </x:c>
      <x:c r="P98" s="167" t="str">
        <x:v>https://www.oxfordlearnersdictionaries.com/wordlists/oxford3000-5000</x:v>
      </x:c>
    </x:row>
    <x:row r="99" ht="26" customHeight="1">
      <x:c r="A99" s="167" t="n">
        <x:v>98</x:v>
      </x:c>
      <x:c r="B99" s="167" t="str">
        <x:v>attorney</x:v>
      </x:c>
      <x:c r="C99" s="167" t="str">
        <x:v>n.</x:v>
      </x:c>
      <x:c r="D99" s="170" t="str">
        <x:v>адвокат</x:v>
      </x:c>
      <x:c r="E99" s="167" t="str">
        <x:v>No</x:v>
      </x:c>
      <x:c r="F99" s="167"/>
      <x:c r="G99" s="167" t="str">
        <x:v>Core</x:v>
      </x:c>
      <x:c r="H99" s="167" t="str">
        <x:v>General</x:v>
      </x:c>
      <x:c r="I99" s="167" t="str">
        <x:v>Not Started</x:v>
      </x:c>
      <x:c r="J99" s="167" t="n">
        <x:v>0</x:v>
      </x:c>
      <x:c r="K99" s="168"/>
      <x:c r="L99" s="168" t="str">
        <x:f>IF(OR(I99="Mastered",K99=""),"",K99+IF(J99&gt;=5,30,IF(J99=4,14,IF(J99=3,7,IF(J99=2,3,1)))))</x:f>
      </x:c>
      <x:c r="M99" s="171" t="str"/>
      <x:c r="N99" s="171" t="str"/>
      <x:c r="O99" s="171" t="str">
        <x:v>Draft — verify in context</x:v>
      </x:c>
      <x:c r="P99" s="167" t="str">
        <x:v>https://www.oxfordlearnersdictionaries.com/wordlists/oxford3000-5000</x:v>
      </x:c>
    </x:row>
    <x:row r="100" ht="26" customHeight="1">
      <x:c r="A100" s="167" t="n">
        <x:v>99</x:v>
      </x:c>
      <x:c r="B100" s="167" t="str">
        <x:v>attribute</x:v>
      </x:c>
      <x:c r="C100" s="167" t="str">
        <x:v>v., n.</x:v>
      </x:c>
      <x:c r="D100" s="170" t="str">
        <x:v>атрибут</x:v>
      </x:c>
      <x:c r="E100" s="167" t="str">
        <x:v>No</x:v>
      </x:c>
      <x:c r="F100" s="167"/>
      <x:c r="G100" s="167" t="str">
        <x:v>Core</x:v>
      </x:c>
      <x:c r="H100" s="167" t="str">
        <x:v>General</x:v>
      </x:c>
      <x:c r="I100" s="167" t="str">
        <x:v>Not Started</x:v>
      </x:c>
      <x:c r="J100" s="167" t="n">
        <x:v>0</x:v>
      </x:c>
      <x:c r="K100" s="168"/>
      <x:c r="L100" s="168" t="str">
        <x:f>IF(OR(I100="Mastered",K100=""),"",K100+IF(J100&gt;=5,30,IF(J100=4,14,IF(J100=3,7,IF(J100=2,3,1)))))</x:f>
      </x:c>
      <x:c r="M100" s="171" t="str"/>
      <x:c r="N100" s="171" t="str"/>
      <x:c r="O100" s="171" t="str">
        <x:v>Draft — verify in context</x:v>
      </x:c>
      <x:c r="P100" s="167" t="str">
        <x:v>https://www.oxfordlearnersdictionaries.com/wordlists/oxford3000-5000</x:v>
      </x:c>
    </x:row>
    <x:row r="101" ht="26" customHeight="1">
      <x:c r="A101" s="167" t="n">
        <x:v>100</x:v>
      </x:c>
      <x:c r="B101" s="167" t="str">
        <x:v>audit</x:v>
      </x:c>
      <x:c r="C101" s="167" t="str">
        <x:v>n.</x:v>
      </x:c>
      <x:c r="D101" s="170" t="str">
        <x:v>аудит</x:v>
      </x:c>
      <x:c r="E101" s="167" t="str">
        <x:v>No</x:v>
      </x:c>
      <x:c r="F101" s="167"/>
      <x:c r="G101" s="167" t="str">
        <x:v>Core</x:v>
      </x:c>
      <x:c r="H101" s="167" t="str">
        <x:v>General</x:v>
      </x:c>
      <x:c r="I101" s="167" t="str">
        <x:v>Not Started</x:v>
      </x:c>
      <x:c r="J101" s="167" t="n">
        <x:v>0</x:v>
      </x:c>
      <x:c r="K101" s="168"/>
      <x:c r="L101" s="168" t="str">
        <x:f>IF(OR(I101="Mastered",K101=""),"",K101+IF(J101&gt;=5,30,IF(J101=4,14,IF(J101=3,7,IF(J101=2,3,1)))))</x:f>
      </x:c>
      <x:c r="M101" s="171" t="str"/>
      <x:c r="N101" s="171" t="str"/>
      <x:c r="O101" s="171" t="str">
        <x:v>Draft — verify in context</x:v>
      </x:c>
      <x:c r="P101" s="167" t="str">
        <x:v>https://www.oxfordlearnersdictionaries.com/wordlists/oxford3000-5000</x:v>
      </x:c>
    </x:row>
    <x:row r="102" ht="26" customHeight="1">
      <x:c r="A102" s="167" t="n">
        <x:v>101</x:v>
      </x:c>
      <x:c r="B102" s="167" t="str">
        <x:v>authentic</x:v>
      </x:c>
      <x:c r="C102" s="167" t="str">
        <x:v>adj.</x:v>
      </x:c>
      <x:c r="D102" s="170" t="str">
        <x:v>справжній</x:v>
      </x:c>
      <x:c r="E102" s="167" t="str">
        <x:v>No</x:v>
      </x:c>
      <x:c r="F102" s="167"/>
      <x:c r="G102" s="167" t="str">
        <x:v>Core</x:v>
      </x:c>
      <x:c r="H102" s="167" t="str">
        <x:v>General</x:v>
      </x:c>
      <x:c r="I102" s="167" t="str">
        <x:v>Not Started</x:v>
      </x:c>
      <x:c r="J102" s="167" t="n">
        <x:v>0</x:v>
      </x:c>
      <x:c r="K102" s="168"/>
      <x:c r="L102" s="168" t="str">
        <x:f>IF(OR(I102="Mastered",K102=""),"",K102+IF(J102&gt;=5,30,IF(J102=4,14,IF(J102=3,7,IF(J102=2,3,1)))))</x:f>
      </x:c>
      <x:c r="M102" s="171" t="str"/>
      <x:c r="N102" s="171" t="str"/>
      <x:c r="O102" s="171" t="str">
        <x:v>Draft — verify in context</x:v>
      </x:c>
      <x:c r="P102" s="167" t="str">
        <x:v>https://www.oxfordlearnersdictionaries.com/wordlists/oxford3000-5000</x:v>
      </x:c>
    </x:row>
    <x:row r="103" ht="26" customHeight="1">
      <x:c r="A103" s="167" t="n">
        <x:v>102</x:v>
      </x:c>
      <x:c r="B103" s="167" t="str">
        <x:v>authorize</x:v>
      </x:c>
      <x:c r="C103" s="167" t="str">
        <x:v>v.</x:v>
      </x:c>
      <x:c r="D103" s="170" t="str">
        <x:v>авторизувати</x:v>
      </x:c>
      <x:c r="E103" s="167" t="str">
        <x:v>No</x:v>
      </x:c>
      <x:c r="F103" s="167"/>
      <x:c r="G103" s="167" t="str">
        <x:v>Core</x:v>
      </x:c>
      <x:c r="H103" s="167" t="str">
        <x:v>General</x:v>
      </x:c>
      <x:c r="I103" s="167" t="str">
        <x:v>Not Started</x:v>
      </x:c>
      <x:c r="J103" s="167" t="n">
        <x:v>0</x:v>
      </x:c>
      <x:c r="K103" s="168"/>
      <x:c r="L103" s="168" t="str">
        <x:f>IF(OR(I103="Mastered",K103=""),"",K103+IF(J103&gt;=5,30,IF(J103=4,14,IF(J103=3,7,IF(J103=2,3,1)))))</x:f>
      </x:c>
      <x:c r="M103" s="171" t="str"/>
      <x:c r="N103" s="171" t="str"/>
      <x:c r="O103" s="171" t="str">
        <x:v>Draft — verify in context</x:v>
      </x:c>
      <x:c r="P103" s="167" t="str">
        <x:v>https://www.oxfordlearnersdictionaries.com/wordlists/oxford3000-5000</x:v>
      </x:c>
    </x:row>
    <x:row r="104" ht="26" customHeight="1">
      <x:c r="A104" s="167" t="n">
        <x:v>103</x:v>
      </x:c>
      <x:c r="B104" s="167" t="str">
        <x:v>auto</x:v>
      </x:c>
      <x:c r="C104" s="167" t="str">
        <x:v>n.</x:v>
      </x:c>
      <x:c r="D104" s="170" t="str">
        <x:v>авто</x:v>
      </x:c>
      <x:c r="E104" s="167" t="str">
        <x:v>No</x:v>
      </x:c>
      <x:c r="F104" s="167"/>
      <x:c r="G104" s="167" t="str">
        <x:v>Core</x:v>
      </x:c>
      <x:c r="H104" s="167" t="str">
        <x:v>General</x:v>
      </x:c>
      <x:c r="I104" s="167" t="str">
        <x:v>Not Started</x:v>
      </x:c>
      <x:c r="J104" s="167" t="n">
        <x:v>0</x:v>
      </x:c>
      <x:c r="K104" s="168"/>
      <x:c r="L104" s="168" t="str">
        <x:f>IF(OR(I104="Mastered",K104=""),"",K104+IF(J104&gt;=5,30,IF(J104=4,14,IF(J104=3,7,IF(J104=2,3,1)))))</x:f>
      </x:c>
      <x:c r="M104" s="171" t="str"/>
      <x:c r="N104" s="171" t="str"/>
      <x:c r="O104" s="171" t="str">
        <x:v>Draft — verify in context</x:v>
      </x:c>
      <x:c r="P104" s="167" t="str">
        <x:v>https://www.oxfordlearnersdictionaries.com/wordlists/oxford3000-5000</x:v>
      </x:c>
    </x:row>
    <x:row r="105" ht="26" customHeight="1">
      <x:c r="A105" s="167" t="n">
        <x:v>104</x:v>
      </x:c>
      <x:c r="B105" s="167" t="str">
        <x:v>autonomy</x:v>
      </x:c>
      <x:c r="C105" s="167" t="str">
        <x:v>n.</x:v>
      </x:c>
      <x:c r="D105" s="170" t="str">
        <x:v>автономія</x:v>
      </x:c>
      <x:c r="E105" s="167" t="str">
        <x:v>No</x:v>
      </x:c>
      <x:c r="F105" s="167"/>
      <x:c r="G105" s="167" t="str">
        <x:v>Core</x:v>
      </x:c>
      <x:c r="H105" s="167" t="str">
        <x:v>General</x:v>
      </x:c>
      <x:c r="I105" s="167" t="str">
        <x:v>Not Started</x:v>
      </x:c>
      <x:c r="J105" s="167" t="n">
        <x:v>0</x:v>
      </x:c>
      <x:c r="K105" s="168"/>
      <x:c r="L105" s="168" t="str">
        <x:f>IF(OR(I105="Mastered",K105=""),"",K105+IF(J105&gt;=5,30,IF(J105=4,14,IF(J105=3,7,IF(J105=2,3,1)))))</x:f>
      </x:c>
      <x:c r="M105" s="171" t="str"/>
      <x:c r="N105" s="171" t="str"/>
      <x:c r="O105" s="171" t="str">
        <x:v>Draft — verify in context</x:v>
      </x:c>
      <x:c r="P105" s="167" t="str">
        <x:v>https://www.oxfordlearnersdictionaries.com/wordlists/oxford3000-5000</x:v>
      </x:c>
    </x:row>
    <x:row r="106" ht="26" customHeight="1">
      <x:c r="A106" s="167" t="n">
        <x:v>105</x:v>
      </x:c>
      <x:c r="B106" s="167" t="str">
        <x:v>availability</x:v>
      </x:c>
      <x:c r="C106" s="167" t="str">
        <x:v>n.</x:v>
      </x:c>
      <x:c r="D106" s="170" t="str">
        <x:v>наявність</x:v>
      </x:c>
      <x:c r="E106" s="167" t="str">
        <x:v>No</x:v>
      </x:c>
      <x:c r="F106" s="167"/>
      <x:c r="G106" s="167" t="str">
        <x:v>Core</x:v>
      </x:c>
      <x:c r="H106" s="167" t="str">
        <x:v>General</x:v>
      </x:c>
      <x:c r="I106" s="167" t="str">
        <x:v>Not Started</x:v>
      </x:c>
      <x:c r="J106" s="167" t="n">
        <x:v>0</x:v>
      </x:c>
      <x:c r="K106" s="168"/>
      <x:c r="L106" s="168" t="str">
        <x:f>IF(OR(I106="Mastered",K106=""),"",K106+IF(J106&gt;=5,30,IF(J106=4,14,IF(J106=3,7,IF(J106=2,3,1)))))</x:f>
      </x:c>
      <x:c r="M106" s="171" t="str"/>
      <x:c r="N106" s="171" t="str"/>
      <x:c r="O106" s="171" t="str">
        <x:v>Draft — verify in context</x:v>
      </x:c>
      <x:c r="P106" s="167" t="str">
        <x:v>https://www.oxfordlearnersdictionaries.com/wordlists/oxford3000-5000</x:v>
      </x:c>
    </x:row>
    <x:row r="107" ht="26" customHeight="1">
      <x:c r="A107" s="167" t="n">
        <x:v>106</x:v>
      </x:c>
      <x:c r="B107" s="167" t="str">
        <x:v>await</x:v>
      </x:c>
      <x:c r="C107" s="167" t="str">
        <x:v>v.</x:v>
      </x:c>
      <x:c r="D107" s="170" t="str">
        <x:v>чекати</x:v>
      </x:c>
      <x:c r="E107" s="167" t="str">
        <x:v>No</x:v>
      </x:c>
      <x:c r="F107" s="167"/>
      <x:c r="G107" s="167" t="str">
        <x:v>Core</x:v>
      </x:c>
      <x:c r="H107" s="167" t="str">
        <x:v>General</x:v>
      </x:c>
      <x:c r="I107" s="167" t="str">
        <x:v>Not Started</x:v>
      </x:c>
      <x:c r="J107" s="167" t="n">
        <x:v>0</x:v>
      </x:c>
      <x:c r="K107" s="168"/>
      <x:c r="L107" s="168" t="str">
        <x:f>IF(OR(I107="Mastered",K107=""),"",K107+IF(J107&gt;=5,30,IF(J107=4,14,IF(J107=3,7,IF(J107=2,3,1)))))</x:f>
      </x:c>
      <x:c r="M107" s="171" t="str"/>
      <x:c r="N107" s="171" t="str"/>
      <x:c r="O107" s="171" t="str">
        <x:v>Draft — verify in context</x:v>
      </x:c>
      <x:c r="P107" s="167" t="str">
        <x:v>https://www.oxfordlearnersdictionaries.com/wordlists/oxford3000-5000</x:v>
      </x:c>
    </x:row>
    <x:row r="108" ht="26" customHeight="1">
      <x:c r="A108" s="167" t="n">
        <x:v>107</x:v>
      </x:c>
      <x:c r="B108" s="167" t="str">
        <x:v>backdrop</x:v>
      </x:c>
      <x:c r="C108" s="167" t="str">
        <x:v>n.</x:v>
      </x:c>
      <x:c r="D108" s="170" t="str">
        <x:v>фон</x:v>
      </x:c>
      <x:c r="E108" s="167" t="str">
        <x:v>No</x:v>
      </x:c>
      <x:c r="F108" s="167"/>
      <x:c r="G108" s="167" t="str">
        <x:v>Core</x:v>
      </x:c>
      <x:c r="H108" s="167" t="str">
        <x:v>General</x:v>
      </x:c>
      <x:c r="I108" s="167" t="str">
        <x:v>Not Started</x:v>
      </x:c>
      <x:c r="J108" s="167" t="n">
        <x:v>0</x:v>
      </x:c>
      <x:c r="K108" s="168"/>
      <x:c r="L108" s="168" t="str">
        <x:f>IF(OR(I108="Mastered",K108=""),"",K108+IF(J108&gt;=5,30,IF(J108=4,14,IF(J108=3,7,IF(J108=2,3,1)))))</x:f>
      </x:c>
      <x:c r="M108" s="171" t="str"/>
      <x:c r="N108" s="171" t="str"/>
      <x:c r="O108" s="171" t="str">
        <x:v>Draft — verify in context</x:v>
      </x:c>
      <x:c r="P108" s="167" t="str">
        <x:v>https://www.oxfordlearnersdictionaries.com/wordlists/oxford3000-5000</x:v>
      </x:c>
    </x:row>
    <x:row r="109" ht="26" customHeight="1">
      <x:c r="A109" s="167" t="n">
        <x:v>108</x:v>
      </x:c>
      <x:c r="B109" s="167" t="str">
        <x:v>backing</x:v>
      </x:c>
      <x:c r="C109" s="167" t="str">
        <x:v>n.</x:v>
      </x:c>
      <x:c r="D109" s="170" t="str">
        <x:v>підкладка</x:v>
      </x:c>
      <x:c r="E109" s="167" t="str">
        <x:v>No</x:v>
      </x:c>
      <x:c r="F109" s="167"/>
      <x:c r="G109" s="167" t="str">
        <x:v>Core</x:v>
      </x:c>
      <x:c r="H109" s="167" t="str">
        <x:v>General</x:v>
      </x:c>
      <x:c r="I109" s="167" t="str">
        <x:v>Not Started</x:v>
      </x:c>
      <x:c r="J109" s="167" t="n">
        <x:v>0</x:v>
      </x:c>
      <x:c r="K109" s="168"/>
      <x:c r="L109" s="168" t="str">
        <x:f>IF(OR(I109="Mastered",K109=""),"",K109+IF(J109&gt;=5,30,IF(J109=4,14,IF(J109=3,7,IF(J109=2,3,1)))))</x:f>
      </x:c>
      <x:c r="M109" s="171" t="str"/>
      <x:c r="N109" s="171" t="str"/>
      <x:c r="O109" s="171" t="str">
        <x:v>Draft — verify in context</x:v>
      </x:c>
      <x:c r="P109" s="167" t="str">
        <x:v>https://www.oxfordlearnersdictionaries.com/wordlists/oxford3000-5000</x:v>
      </x:c>
    </x:row>
    <x:row r="110" ht="26" customHeight="1">
      <x:c r="A110" s="167" t="n">
        <x:v>109</x:v>
      </x:c>
      <x:c r="B110" s="167" t="str">
        <x:v>backup</x:v>
      </x:c>
      <x:c r="C110" s="167" t="str">
        <x:v>n.</x:v>
      </x:c>
      <x:c r="D110" s="170" t="str">
        <x:v>резервний</x:v>
      </x:c>
      <x:c r="E110" s="167" t="str">
        <x:v>No</x:v>
      </x:c>
      <x:c r="F110" s="167"/>
      <x:c r="G110" s="167" t="str">
        <x:v>Core</x:v>
      </x:c>
      <x:c r="H110" s="167" t="str">
        <x:v>General</x:v>
      </x:c>
      <x:c r="I110" s="167" t="str">
        <x:v>Not Started</x:v>
      </x:c>
      <x:c r="J110" s="167" t="n">
        <x:v>0</x:v>
      </x:c>
      <x:c r="K110" s="168"/>
      <x:c r="L110" s="168" t="str">
        <x:f>IF(OR(I110="Mastered",K110=""),"",K110+IF(J110&gt;=5,30,IF(J110=4,14,IF(J110=3,7,IF(J110=2,3,1)))))</x:f>
      </x:c>
      <x:c r="M110" s="171" t="str"/>
      <x:c r="N110" s="171" t="str"/>
      <x:c r="O110" s="171" t="str">
        <x:v>Draft — verify in context</x:v>
      </x:c>
      <x:c r="P110" s="167" t="str">
        <x:v>https://www.oxfordlearnersdictionaries.com/wordlists/oxford3000-5000</x:v>
      </x:c>
    </x:row>
    <x:row r="111" ht="26" customHeight="1">
      <x:c r="A111" s="167" t="n">
        <x:v>110</x:v>
      </x:c>
      <x:c r="B111" s="167" t="str">
        <x:v>bail</x:v>
      </x:c>
      <x:c r="C111" s="167" t="str">
        <x:v>n.</x:v>
      </x:c>
      <x:c r="D111" s="170" t="str">
        <x:v>застава</x:v>
      </x:c>
      <x:c r="E111" s="167" t="str">
        <x:v>No</x:v>
      </x:c>
      <x:c r="F111" s="167"/>
      <x:c r="G111" s="167" t="str">
        <x:v>Core</x:v>
      </x:c>
      <x:c r="H111" s="167" t="str">
        <x:v>General</x:v>
      </x:c>
      <x:c r="I111" s="167" t="str">
        <x:v>Not Started</x:v>
      </x:c>
      <x:c r="J111" s="167" t="n">
        <x:v>0</x:v>
      </x:c>
      <x:c r="K111" s="168"/>
      <x:c r="L111" s="168" t="str">
        <x:f>IF(OR(I111="Mastered",K111=""),"",K111+IF(J111&gt;=5,30,IF(J111=4,14,IF(J111=3,7,IF(J111=2,3,1)))))</x:f>
      </x:c>
      <x:c r="M111" s="171" t="str"/>
      <x:c r="N111" s="171" t="str"/>
      <x:c r="O111" s="171" t="str">
        <x:v>Draft — verify in context</x:v>
      </x:c>
      <x:c r="P111" s="167" t="str">
        <x:v>https://www.oxfordlearnersdictionaries.com/wordlists/oxford3000-5000</x:v>
      </x:c>
    </x:row>
    <x:row r="112" ht="26" customHeight="1">
      <x:c r="A112" s="167" t="n">
        <x:v>111</x:v>
      </x:c>
      <x:c r="B112" s="167" t="str">
        <x:v>ballot</x:v>
      </x:c>
      <x:c r="C112" s="167" t="str">
        <x:v>n.</x:v>
      </x:c>
      <x:c r="D112" s="170" t="str">
        <x:v>бюлетень</x:v>
      </x:c>
      <x:c r="E112" s="167" t="str">
        <x:v>No</x:v>
      </x:c>
      <x:c r="F112" s="167"/>
      <x:c r="G112" s="167" t="str">
        <x:v>Core</x:v>
      </x:c>
      <x:c r="H112" s="167" t="str">
        <x:v>General</x:v>
      </x:c>
      <x:c r="I112" s="167" t="str">
        <x:v>Not Started</x:v>
      </x:c>
      <x:c r="J112" s="167" t="n">
        <x:v>0</x:v>
      </x:c>
      <x:c r="K112" s="168"/>
      <x:c r="L112" s="168" t="str">
        <x:f>IF(OR(I112="Mastered",K112=""),"",K112+IF(J112&gt;=5,30,IF(J112=4,14,IF(J112=3,7,IF(J112=2,3,1)))))</x:f>
      </x:c>
      <x:c r="M112" s="171" t="str"/>
      <x:c r="N112" s="171" t="str"/>
      <x:c r="O112" s="171" t="str">
        <x:v>Draft — verify in context</x:v>
      </x:c>
      <x:c r="P112" s="167" t="str">
        <x:v>https://www.oxfordlearnersdictionaries.com/wordlists/oxford3000-5000</x:v>
      </x:c>
    </x:row>
    <x:row r="113" ht="26" customHeight="1">
      <x:c r="A113" s="167" t="n">
        <x:v>112</x:v>
      </x:c>
      <x:c r="B113" s="167" t="str">
        <x:v>banner</x:v>
      </x:c>
      <x:c r="C113" s="167" t="str">
        <x:v>n.</x:v>
      </x:c>
      <x:c r="D113" s="170" t="str">
        <x:v>банер</x:v>
      </x:c>
      <x:c r="E113" s="167" t="str">
        <x:v>No</x:v>
      </x:c>
      <x:c r="F113" s="167"/>
      <x:c r="G113" s="167" t="str">
        <x:v>Core</x:v>
      </x:c>
      <x:c r="H113" s="167" t="str">
        <x:v>General</x:v>
      </x:c>
      <x:c r="I113" s="167" t="str">
        <x:v>Not Started</x:v>
      </x:c>
      <x:c r="J113" s="167" t="n">
        <x:v>0</x:v>
      </x:c>
      <x:c r="K113" s="168"/>
      <x:c r="L113" s="168" t="str">
        <x:f>IF(OR(I113="Mastered",K113=""),"",K113+IF(J113&gt;=5,30,IF(J113=4,14,IF(J113=3,7,IF(J113=2,3,1)))))</x:f>
      </x:c>
      <x:c r="M113" s="171" t="str"/>
      <x:c r="N113" s="171" t="str"/>
      <x:c r="O113" s="171" t="str">
        <x:v>Draft — verify in context</x:v>
      </x:c>
      <x:c r="P113" s="167" t="str">
        <x:v>https://www.oxfordlearnersdictionaries.com/wordlists/oxford3000-5000</x:v>
      </x:c>
    </x:row>
    <x:row r="114" ht="26" customHeight="1">
      <x:c r="A114" s="167" t="n">
        <x:v>113</x:v>
      </x:c>
      <x:c r="B114" s="167" t="str">
        <x:v>bare</x:v>
      </x:c>
      <x:c r="C114" s="167" t="str">
        <x:v>adj.</x:v>
      </x:c>
      <x:c r="D114" s="170" t="str">
        <x:v>голий</x:v>
      </x:c>
      <x:c r="E114" s="167" t="str">
        <x:v>No</x:v>
      </x:c>
      <x:c r="F114" s="167"/>
      <x:c r="G114" s="167" t="str">
        <x:v>Core</x:v>
      </x:c>
      <x:c r="H114" s="167" t="str">
        <x:v>General</x:v>
      </x:c>
      <x:c r="I114" s="167" t="str">
        <x:v>Not Started</x:v>
      </x:c>
      <x:c r="J114" s="167" t="n">
        <x:v>0</x:v>
      </x:c>
      <x:c r="K114" s="168"/>
      <x:c r="L114" s="168" t="str">
        <x:f>IF(OR(I114="Mastered",K114=""),"",K114+IF(J114&gt;=5,30,IF(J114=4,14,IF(J114=3,7,IF(J114=2,3,1)))))</x:f>
      </x:c>
      <x:c r="M114" s="171" t="str"/>
      <x:c r="N114" s="171" t="str"/>
      <x:c r="O114" s="171" t="str">
        <x:v>Draft — verify in context</x:v>
      </x:c>
      <x:c r="P114" s="167" t="str">
        <x:v>https://www.oxfordlearnersdictionaries.com/wordlists/oxford3000-5000</x:v>
      </x:c>
    </x:row>
    <x:row r="115" ht="26" customHeight="1">
      <x:c r="A115" s="167" t="n">
        <x:v>114</x:v>
      </x:c>
      <x:c r="B115" s="167" t="str">
        <x:v>barrel</x:v>
      </x:c>
      <x:c r="C115" s="167" t="str">
        <x:v>n.</x:v>
      </x:c>
      <x:c r="D115" s="170" t="str">
        <x:v>бочка</x:v>
      </x:c>
      <x:c r="E115" s="167" t="str">
        <x:v>No</x:v>
      </x:c>
      <x:c r="F115" s="167"/>
      <x:c r="G115" s="167" t="str">
        <x:v>Core</x:v>
      </x:c>
      <x:c r="H115" s="167" t="str">
        <x:v>General</x:v>
      </x:c>
      <x:c r="I115" s="167" t="str">
        <x:v>Not Started</x:v>
      </x:c>
      <x:c r="J115" s="167" t="n">
        <x:v>0</x:v>
      </x:c>
      <x:c r="K115" s="168"/>
      <x:c r="L115" s="168" t="str">
        <x:f>IF(OR(I115="Mastered",K115=""),"",K115+IF(J115&gt;=5,30,IF(J115=4,14,IF(J115=3,7,IF(J115=2,3,1)))))</x:f>
      </x:c>
      <x:c r="M115" s="171" t="str"/>
      <x:c r="N115" s="171" t="str"/>
      <x:c r="O115" s="171" t="str">
        <x:v>Draft — verify in context</x:v>
      </x:c>
      <x:c r="P115" s="167" t="str">
        <x:v>https://www.oxfordlearnersdictionaries.com/wordlists/oxford3000-5000</x:v>
      </x:c>
    </x:row>
    <x:row r="116" ht="26" customHeight="1">
      <x:c r="A116" s="167" t="n">
        <x:v>115</x:v>
      </x:c>
      <x:c r="B116" s="167" t="str">
        <x:v>bass1</x:v>
      </x:c>
      <x:c r="C116" s="167" t="str">
        <x:v>n.</x:v>
      </x:c>
      <x:c r="D116" s="170" t="str">
        <x:v>бас (низький звук; басовий інструмент)</x:v>
      </x:c>
      <x:c r="E116" s="167" t="str">
        <x:v>No</x:v>
      </x:c>
      <x:c r="F116" s="167"/>
      <x:c r="G116" s="167" t="str">
        <x:v>Core</x:v>
      </x:c>
      <x:c r="H116" s="167" t="str">
        <x:v>General</x:v>
      </x:c>
      <x:c r="I116" s="167" t="str">
        <x:v>Not Started</x:v>
      </x:c>
      <x:c r="J116" s="167" t="n">
        <x:v>0</x:v>
      </x:c>
      <x:c r="K116" s="168"/>
      <x:c r="L116" s="168" t="str">
        <x:f>IF(OR(I116="Mastered",K116=""),"",K116+IF(J116&gt;=5,30,IF(J116=4,14,IF(J116=3,7,IF(J116=2,3,1)))))</x:f>
      </x:c>
      <x:c r="M116" s="171" t="str"/>
      <x:c r="N116" s="171" t="str"/>
      <x:c r="O116" s="171" t="str">
        <x:v>Draft — verify in context</x:v>
      </x:c>
      <x:c r="P116" s="167" t="str">
        <x:v>https://www.oxfordlearnersdictionaries.com/wordlists/oxford3000-5000</x:v>
      </x:c>
    </x:row>
    <x:row r="117" ht="26" customHeight="1">
      <x:c r="A117" s="167" t="n">
        <x:v>116</x:v>
      </x:c>
      <x:c r="B117" s="167" t="str">
        <x:v>bat</x:v>
      </x:c>
      <x:c r="C117" s="167" t="str">
        <x:v>v.</x:v>
      </x:c>
      <x:c r="D117" s="170" t="str">
        <x:v>кажан</x:v>
      </x:c>
      <x:c r="E117" s="167" t="str">
        <x:v>No</x:v>
      </x:c>
      <x:c r="F117" s="167"/>
      <x:c r="G117" s="167" t="str">
        <x:v>Core</x:v>
      </x:c>
      <x:c r="H117" s="167" t="str">
        <x:v>General</x:v>
      </x:c>
      <x:c r="I117" s="167" t="str">
        <x:v>Not Started</x:v>
      </x:c>
      <x:c r="J117" s="167" t="n">
        <x:v>0</x:v>
      </x:c>
      <x:c r="K117" s="168"/>
      <x:c r="L117" s="168" t="str">
        <x:f>IF(OR(I117="Mastered",K117=""),"",K117+IF(J117&gt;=5,30,IF(J117=4,14,IF(J117=3,7,IF(J117=2,3,1)))))</x:f>
      </x:c>
      <x:c r="M117" s="171" t="str"/>
      <x:c r="N117" s="171" t="str"/>
      <x:c r="O117" s="171" t="str">
        <x:v>Draft — verify in context</x:v>
      </x:c>
      <x:c r="P117" s="167" t="str">
        <x:v>https://www.oxfordlearnersdictionaries.com/wordlists/oxford3000-5000</x:v>
      </x:c>
    </x:row>
    <x:row r="118" ht="26" customHeight="1">
      <x:c r="A118" s="167" t="n">
        <x:v>117</x:v>
      </x:c>
      <x:c r="B118" s="167" t="str">
        <x:v>battlefield</x:v>
      </x:c>
      <x:c r="C118" s="167" t="str">
        <x:v>n.</x:v>
      </x:c>
      <x:c r="D118" s="170" t="str">
        <x:v>поле бою</x:v>
      </x:c>
      <x:c r="E118" s="167" t="str">
        <x:v>No</x:v>
      </x:c>
      <x:c r="F118" s="167"/>
      <x:c r="G118" s="167" t="str">
        <x:v>Core</x:v>
      </x:c>
      <x:c r="H118" s="167" t="str">
        <x:v>General</x:v>
      </x:c>
      <x:c r="I118" s="167" t="str">
        <x:v>Not Started</x:v>
      </x:c>
      <x:c r="J118" s="167" t="n">
        <x:v>0</x:v>
      </x:c>
      <x:c r="K118" s="168"/>
      <x:c r="L118" s="168" t="str">
        <x:f>IF(OR(I118="Mastered",K118=""),"",K118+IF(J118&gt;=5,30,IF(J118=4,14,IF(J118=3,7,IF(J118=2,3,1)))))</x:f>
      </x:c>
      <x:c r="M118" s="171" t="str"/>
      <x:c r="N118" s="171" t="str"/>
      <x:c r="O118" s="171" t="str">
        <x:v>Draft — verify in context</x:v>
      </x:c>
      <x:c r="P118" s="167" t="str">
        <x:v>https://www.oxfordlearnersdictionaries.com/wordlists/oxford3000-5000</x:v>
      </x:c>
    </x:row>
    <x:row r="119" ht="26" customHeight="1">
      <x:c r="A119" s="167" t="n">
        <x:v>118</x:v>
      </x:c>
      <x:c r="B119" s="167" t="str">
        <x:v>bay</x:v>
      </x:c>
      <x:c r="C119" s="167" t="str">
        <x:v>n.</x:v>
      </x:c>
      <x:c r="D119" s="170" t="str">
        <x:v>затока</x:v>
      </x:c>
      <x:c r="E119" s="167" t="str">
        <x:v>No</x:v>
      </x:c>
      <x:c r="F119" s="167"/>
      <x:c r="G119" s="167" t="str">
        <x:v>Core</x:v>
      </x:c>
      <x:c r="H119" s="167" t="str">
        <x:v>General</x:v>
      </x:c>
      <x:c r="I119" s="167" t="str">
        <x:v>Not Started</x:v>
      </x:c>
      <x:c r="J119" s="167" t="n">
        <x:v>0</x:v>
      </x:c>
      <x:c r="K119" s="168"/>
      <x:c r="L119" s="168" t="str">
        <x:f>IF(OR(I119="Mastered",K119=""),"",K119+IF(J119&gt;=5,30,IF(J119=4,14,IF(J119=3,7,IF(J119=2,3,1)))))</x:f>
      </x:c>
      <x:c r="M119" s="171" t="str"/>
      <x:c r="N119" s="171" t="str"/>
      <x:c r="O119" s="171" t="str">
        <x:v>Draft — verify in context</x:v>
      </x:c>
      <x:c r="P119" s="167" t="str">
        <x:v>https://www.oxfordlearnersdictionaries.com/wordlists/oxford3000-5000</x:v>
      </x:c>
    </x:row>
    <x:row r="120" ht="26" customHeight="1">
      <x:c r="A120" s="167" t="n">
        <x:v>119</x:v>
      </x:c>
      <x:c r="B120" s="167" t="str">
        <x:v>beam</x:v>
      </x:c>
      <x:c r="C120" s="167" t="str">
        <x:v>n.</x:v>
      </x:c>
      <x:c r="D120" s="170" t="str">
        <x:v>балка</x:v>
      </x:c>
      <x:c r="E120" s="167" t="str">
        <x:v>No</x:v>
      </x:c>
      <x:c r="F120" s="167"/>
      <x:c r="G120" s="167" t="str">
        <x:v>Core</x:v>
      </x:c>
      <x:c r="H120" s="167" t="str">
        <x:v>General</x:v>
      </x:c>
      <x:c r="I120" s="167" t="str">
        <x:v>Not Started</x:v>
      </x:c>
      <x:c r="J120" s="167" t="n">
        <x:v>0</x:v>
      </x:c>
      <x:c r="K120" s="168"/>
      <x:c r="L120" s="168" t="str">
        <x:f>IF(OR(I120="Mastered",K120=""),"",K120+IF(J120&gt;=5,30,IF(J120=4,14,IF(J120=3,7,IF(J120=2,3,1)))))</x:f>
      </x:c>
      <x:c r="M120" s="171" t="str"/>
      <x:c r="N120" s="171" t="str"/>
      <x:c r="O120" s="171" t="str">
        <x:v>Draft — verify in context</x:v>
      </x:c>
      <x:c r="P120" s="167" t="str">
        <x:v>https://www.oxfordlearnersdictionaries.com/wordlists/oxford3000-5000</x:v>
      </x:c>
    </x:row>
    <x:row r="121" ht="26" customHeight="1">
      <x:c r="A121" s="167" t="n">
        <x:v>120</x:v>
      </x:c>
      <x:c r="B121" s="167" t="str">
        <x:v>beast</x:v>
      </x:c>
      <x:c r="C121" s="167" t="str">
        <x:v>n.</x:v>
      </x:c>
      <x:c r="D121" s="170" t="str">
        <x:v>звір</x:v>
      </x:c>
      <x:c r="E121" s="167" t="str">
        <x:v>No</x:v>
      </x:c>
      <x:c r="F121" s="167"/>
      <x:c r="G121" s="167" t="str">
        <x:v>Core</x:v>
      </x:c>
      <x:c r="H121" s="167" t="str">
        <x:v>General</x:v>
      </x:c>
      <x:c r="I121" s="167" t="str">
        <x:v>Not Started</x:v>
      </x:c>
      <x:c r="J121" s="167" t="n">
        <x:v>0</x:v>
      </x:c>
      <x:c r="K121" s="168"/>
      <x:c r="L121" s="168" t="str">
        <x:f>IF(OR(I121="Mastered",K121=""),"",K121+IF(J121&gt;=5,30,IF(J121=4,14,IF(J121=3,7,IF(J121=2,3,1)))))</x:f>
      </x:c>
      <x:c r="M121" s="171" t="str"/>
      <x:c r="N121" s="171" t="str"/>
      <x:c r="O121" s="171" t="str">
        <x:v>Draft — verify in context</x:v>
      </x:c>
      <x:c r="P121" s="167" t="str">
        <x:v>https://www.oxfordlearnersdictionaries.com/wordlists/oxford3000-5000</x:v>
      </x:c>
    </x:row>
    <x:row r="122" ht="26" customHeight="1">
      <x:c r="A122" s="167" t="n">
        <x:v>121</x:v>
      </x:c>
      <x:c r="B122" s="167" t="str">
        <x:v>behalf</x:v>
      </x:c>
      <x:c r="C122" s="167" t="str">
        <x:v>n.</x:v>
      </x:c>
      <x:c r="D122" s="170" t="str">
        <x:v>від імені</x:v>
      </x:c>
      <x:c r="E122" s="167" t="str">
        <x:v>Yes</x:v>
      </x:c>
      <x:c r="F122" s="167" t="n">
        <x:v>9</x:v>
      </x:c>
      <x:c r="G122" s="167" t="str">
        <x:v>High</x:v>
      </x:c>
      <x:c r="H122" s="167" t="str">
        <x:v>General</x:v>
      </x:c>
      <x:c r="I122" s="167" t="str">
        <x:v>Not Started</x:v>
      </x:c>
      <x:c r="J122" s="167" t="n">
        <x:v>0</x:v>
      </x:c>
      <x:c r="K122" s="168"/>
      <x:c r="L122" s="168" t="str">
        <x:f>IF(OR(I122="Mastered",K122=""),"",K122+IF(J122&gt;=5,30,IF(J122=4,14,IF(J122=3,7,IF(J122=2,3,1)))))</x:f>
      </x:c>
      <x:c r="M122" s="171" t="str"/>
      <x:c r="N122" s="171" t="str"/>
      <x:c r="O122" s="171" t="str">
        <x:v>Draft — verify in context</x:v>
      </x:c>
      <x:c r="P122" s="167" t="str">
        <x:v>https://www.oxfordlearnersdictionaries.com/wordlists/oxford3000-5000</x:v>
      </x:c>
    </x:row>
    <x:row r="123" ht="26" customHeight="1">
      <x:c r="A123" s="167" t="n">
        <x:v>122</x:v>
      </x:c>
      <x:c r="B123" s="167" t="str">
        <x:v>beloved</x:v>
      </x:c>
      <x:c r="C123" s="167" t="str">
        <x:v>adj.</x:v>
      </x:c>
      <x:c r="D123" s="170" t="str">
        <x:v>коханий</x:v>
      </x:c>
      <x:c r="E123" s="167" t="str">
        <x:v>No</x:v>
      </x:c>
      <x:c r="F123" s="167"/>
      <x:c r="G123" s="167" t="str">
        <x:v>Core</x:v>
      </x:c>
      <x:c r="H123" s="167" t="str">
        <x:v>General</x:v>
      </x:c>
      <x:c r="I123" s="167" t="str">
        <x:v>Not Started</x:v>
      </x:c>
      <x:c r="J123" s="167" t="n">
        <x:v>0</x:v>
      </x:c>
      <x:c r="K123" s="168"/>
      <x:c r="L123" s="168" t="str">
        <x:f>IF(OR(I123="Mastered",K123=""),"",K123+IF(J123&gt;=5,30,IF(J123=4,14,IF(J123=3,7,IF(J123=2,3,1)))))</x:f>
      </x:c>
      <x:c r="M123" s="171" t="str"/>
      <x:c r="N123" s="171" t="str"/>
      <x:c r="O123" s="171" t="str">
        <x:v>Draft — verify in context</x:v>
      </x:c>
      <x:c r="P123" s="167" t="str">
        <x:v>https://www.oxfordlearnersdictionaries.com/wordlists/oxford3000-5000</x:v>
      </x:c>
    </x:row>
    <x:row r="124" ht="26" customHeight="1">
      <x:c r="A124" s="167" t="n">
        <x:v>123</x:v>
      </x:c>
      <x:c r="B124" s="167" t="str">
        <x:v>bench</x:v>
      </x:c>
      <x:c r="C124" s="167" t="str">
        <x:v>n.</x:v>
      </x:c>
      <x:c r="D124" s="170" t="str">
        <x:v>лава</x:v>
      </x:c>
      <x:c r="E124" s="167" t="str">
        <x:v>No</x:v>
      </x:c>
      <x:c r="F124" s="167"/>
      <x:c r="G124" s="167" t="str">
        <x:v>Core</x:v>
      </x:c>
      <x:c r="H124" s="167" t="str">
        <x:v>General</x:v>
      </x:c>
      <x:c r="I124" s="167" t="str">
        <x:v>Not Started</x:v>
      </x:c>
      <x:c r="J124" s="167" t="n">
        <x:v>0</x:v>
      </x:c>
      <x:c r="K124" s="168"/>
      <x:c r="L124" s="168" t="str">
        <x:f>IF(OR(I124="Mastered",K124=""),"",K124+IF(J124&gt;=5,30,IF(J124=4,14,IF(J124=3,7,IF(J124=2,3,1)))))</x:f>
      </x:c>
      <x:c r="M124" s="171" t="str"/>
      <x:c r="N124" s="171" t="str"/>
      <x:c r="O124" s="171" t="str">
        <x:v>Draft — verify in context</x:v>
      </x:c>
      <x:c r="P124" s="167" t="str">
        <x:v>https://www.oxfordlearnersdictionaries.com/wordlists/oxford3000-5000</x:v>
      </x:c>
    </x:row>
    <x:row r="125" ht="26" customHeight="1">
      <x:c r="A125" s="167" t="n">
        <x:v>124</x:v>
      </x:c>
      <x:c r="B125" s="167" t="str">
        <x:v>benchmark</x:v>
      </x:c>
      <x:c r="C125" s="167" t="str">
        <x:v>n.</x:v>
      </x:c>
      <x:c r="D125" s="170" t="str">
        <x:v>орієнтир</x:v>
      </x:c>
      <x:c r="E125" s="167" t="str">
        <x:v>No</x:v>
      </x:c>
      <x:c r="F125" s="167"/>
      <x:c r="G125" s="167" t="str">
        <x:v>Core</x:v>
      </x:c>
      <x:c r="H125" s="167" t="str">
        <x:v>General</x:v>
      </x:c>
      <x:c r="I125" s="167" t="str">
        <x:v>Not Started</x:v>
      </x:c>
      <x:c r="J125" s="167" t="n">
        <x:v>0</x:v>
      </x:c>
      <x:c r="K125" s="168"/>
      <x:c r="L125" s="168" t="str">
        <x:f>IF(OR(I125="Mastered",K125=""),"",K125+IF(J125&gt;=5,30,IF(J125=4,14,IF(J125=3,7,IF(J125=2,3,1)))))</x:f>
      </x:c>
      <x:c r="M125" s="171" t="str"/>
      <x:c r="N125" s="171" t="str"/>
      <x:c r="O125" s="171" t="str">
        <x:v>Draft — verify in context</x:v>
      </x:c>
      <x:c r="P125" s="167" t="str">
        <x:v>https://www.oxfordlearnersdictionaries.com/wordlists/oxford3000-5000</x:v>
      </x:c>
    </x:row>
    <x:row r="126" ht="26" customHeight="1">
      <x:c r="A126" s="167" t="n">
        <x:v>125</x:v>
      </x:c>
      <x:c r="B126" s="167" t="str">
        <x:v>beneath</x:v>
      </x:c>
      <x:c r="C126" s="167" t="str">
        <x:v>prep.</x:v>
      </x:c>
      <x:c r="D126" s="170" t="str">
        <x:v>під</x:v>
      </x:c>
      <x:c r="E126" s="167" t="str">
        <x:v>No</x:v>
      </x:c>
      <x:c r="F126" s="167"/>
      <x:c r="G126" s="167" t="str">
        <x:v>Core</x:v>
      </x:c>
      <x:c r="H126" s="167" t="str">
        <x:v>General</x:v>
      </x:c>
      <x:c r="I126" s="167" t="str">
        <x:v>Not Started</x:v>
      </x:c>
      <x:c r="J126" s="167" t="n">
        <x:v>0</x:v>
      </x:c>
      <x:c r="K126" s="168"/>
      <x:c r="L126" s="168" t="str">
        <x:f>IF(OR(I126="Mastered",K126=""),"",K126+IF(J126&gt;=5,30,IF(J126=4,14,IF(J126=3,7,IF(J126=2,3,1)))))</x:f>
      </x:c>
      <x:c r="M126" s="171" t="str"/>
      <x:c r="N126" s="171" t="str"/>
      <x:c r="O126" s="171" t="str">
        <x:v>Draft — verify in context</x:v>
      </x:c>
      <x:c r="P126" s="167" t="str">
        <x:v>https://www.oxfordlearnersdictionaries.com/wordlists/oxford3000-5000</x:v>
      </x:c>
    </x:row>
    <x:row r="127" ht="26" customHeight="1">
      <x:c r="A127" s="167" t="n">
        <x:v>126</x:v>
      </x:c>
      <x:c r="B127" s="167" t="str">
        <x:v>beneficiary</x:v>
      </x:c>
      <x:c r="C127" s="167" t="str">
        <x:v>n.</x:v>
      </x:c>
      <x:c r="D127" s="170" t="str">
        <x:v>бенефіціар</x:v>
      </x:c>
      <x:c r="E127" s="167" t="str">
        <x:v>No</x:v>
      </x:c>
      <x:c r="F127" s="167"/>
      <x:c r="G127" s="167" t="str">
        <x:v>Core</x:v>
      </x:c>
      <x:c r="H127" s="167" t="str">
        <x:v>General</x:v>
      </x:c>
      <x:c r="I127" s="167" t="str">
        <x:v>Not Started</x:v>
      </x:c>
      <x:c r="J127" s="167" t="n">
        <x:v>0</x:v>
      </x:c>
      <x:c r="K127" s="168"/>
      <x:c r="L127" s="168" t="str">
        <x:f>IF(OR(I127="Mastered",K127=""),"",K127+IF(J127&gt;=5,30,IF(J127=4,14,IF(J127=3,7,IF(J127=2,3,1)))))</x:f>
      </x:c>
      <x:c r="M127" s="171" t="str"/>
      <x:c r="N127" s="171" t="str"/>
      <x:c r="O127" s="171" t="str">
        <x:v>Draft — verify in context</x:v>
      </x:c>
      <x:c r="P127" s="167" t="str">
        <x:v>https://www.oxfordlearnersdictionaries.com/wordlists/oxford3000-5000</x:v>
      </x:c>
    </x:row>
    <x:row r="128" ht="26" customHeight="1">
      <x:c r="A128" s="167" t="n">
        <x:v>127</x:v>
      </x:c>
      <x:c r="B128" s="167" t="str">
        <x:v>betray</x:v>
      </x:c>
      <x:c r="C128" s="167" t="str">
        <x:v>v.</x:v>
      </x:c>
      <x:c r="D128" s="170" t="str">
        <x:v>зраджувати</x:v>
      </x:c>
      <x:c r="E128" s="167" t="str">
        <x:v>No</x:v>
      </x:c>
      <x:c r="F128" s="167"/>
      <x:c r="G128" s="167" t="str">
        <x:v>Core</x:v>
      </x:c>
      <x:c r="H128" s="167" t="str">
        <x:v>General</x:v>
      </x:c>
      <x:c r="I128" s="167" t="str">
        <x:v>Not Started</x:v>
      </x:c>
      <x:c r="J128" s="167" t="n">
        <x:v>0</x:v>
      </x:c>
      <x:c r="K128" s="168"/>
      <x:c r="L128" s="168" t="str">
        <x:f>IF(OR(I128="Mastered",K128=""),"",K128+IF(J128&gt;=5,30,IF(J128=4,14,IF(J128=3,7,IF(J128=2,3,1)))))</x:f>
      </x:c>
      <x:c r="M128" s="171" t="str"/>
      <x:c r="N128" s="171" t="str"/>
      <x:c r="O128" s="171" t="str">
        <x:v>Draft — verify in context</x:v>
      </x:c>
      <x:c r="P128" s="167" t="str">
        <x:v>https://www.oxfordlearnersdictionaries.com/wordlists/oxford3000-5000</x:v>
      </x:c>
    </x:row>
    <x:row r="129" ht="26" customHeight="1">
      <x:c r="A129" s="167" t="n">
        <x:v>128</x:v>
      </x:c>
      <x:c r="B129" s="167" t="str">
        <x:v>bind</x:v>
      </x:c>
      <x:c r="C129" s="167" t="str">
        <x:v>v.</x:v>
      </x:c>
      <x:c r="D129" s="170" t="str">
        <x:v>пов'язувати</x:v>
      </x:c>
      <x:c r="E129" s="167" t="str">
        <x:v>No</x:v>
      </x:c>
      <x:c r="F129" s="167"/>
      <x:c r="G129" s="167" t="str">
        <x:v>Core</x:v>
      </x:c>
      <x:c r="H129" s="167" t="str">
        <x:v>General</x:v>
      </x:c>
      <x:c r="I129" s="167" t="str">
        <x:v>Not Started</x:v>
      </x:c>
      <x:c r="J129" s="167" t="n">
        <x:v>0</x:v>
      </x:c>
      <x:c r="K129" s="168"/>
      <x:c r="L129" s="168" t="str">
        <x:f>IF(OR(I129="Mastered",K129=""),"",K129+IF(J129&gt;=5,30,IF(J129=4,14,IF(J129=3,7,IF(J129=2,3,1)))))</x:f>
      </x:c>
      <x:c r="M129" s="171" t="str"/>
      <x:c r="N129" s="171" t="str"/>
      <x:c r="O129" s="171" t="str">
        <x:v>Draft — verify in context</x:v>
      </x:c>
      <x:c r="P129" s="167" t="str">
        <x:v>https://www.oxfordlearnersdictionaries.com/wordlists/oxford3000-5000</x:v>
      </x:c>
    </x:row>
    <x:row r="130" ht="26" customHeight="1">
      <x:c r="A130" s="167" t="n">
        <x:v>129</x:v>
      </x:c>
      <x:c r="B130" s="167" t="str">
        <x:v>biography</x:v>
      </x:c>
      <x:c r="C130" s="167" t="str">
        <x:v>n.</x:v>
      </x:c>
      <x:c r="D130" s="170" t="str">
        <x:v>біографія</x:v>
      </x:c>
      <x:c r="E130" s="167" t="str">
        <x:v>No</x:v>
      </x:c>
      <x:c r="F130" s="167"/>
      <x:c r="G130" s="167" t="str">
        <x:v>Core</x:v>
      </x:c>
      <x:c r="H130" s="167" t="str">
        <x:v>General</x:v>
      </x:c>
      <x:c r="I130" s="167" t="str">
        <x:v>Not Started</x:v>
      </x:c>
      <x:c r="J130" s="167" t="n">
        <x:v>0</x:v>
      </x:c>
      <x:c r="K130" s="168"/>
      <x:c r="L130" s="168" t="str">
        <x:f>IF(OR(I130="Mastered",K130=""),"",K130+IF(J130&gt;=5,30,IF(J130=4,14,IF(J130=3,7,IF(J130=2,3,1)))))</x:f>
      </x:c>
      <x:c r="M130" s="171" t="str"/>
      <x:c r="N130" s="171" t="str"/>
      <x:c r="O130" s="171" t="str">
        <x:v>Draft — verify in context</x:v>
      </x:c>
      <x:c r="P130" s="167" t="str">
        <x:v>https://www.oxfordlearnersdictionaries.com/wordlists/oxford3000-5000</x:v>
      </x:c>
    </x:row>
    <x:row r="131" ht="26" customHeight="1">
      <x:c r="A131" s="167" t="n">
        <x:v>130</x:v>
      </x:c>
      <x:c r="B131" s="167" t="str">
        <x:v>bishop</x:v>
      </x:c>
      <x:c r="C131" s="167" t="str">
        <x:v>n.</x:v>
      </x:c>
      <x:c r="D131" s="170" t="str">
        <x:v>єпископ</x:v>
      </x:c>
      <x:c r="E131" s="167" t="str">
        <x:v>No</x:v>
      </x:c>
      <x:c r="F131" s="167"/>
      <x:c r="G131" s="167" t="str">
        <x:v>Core</x:v>
      </x:c>
      <x:c r="H131" s="167" t="str">
        <x:v>General</x:v>
      </x:c>
      <x:c r="I131" s="167" t="str">
        <x:v>Not Started</x:v>
      </x:c>
      <x:c r="J131" s="167" t="n">
        <x:v>0</x:v>
      </x:c>
      <x:c r="K131" s="168"/>
      <x:c r="L131" s="168" t="str">
        <x:f>IF(OR(I131="Mastered",K131=""),"",K131+IF(J131&gt;=5,30,IF(J131=4,14,IF(J131=3,7,IF(J131=2,3,1)))))</x:f>
      </x:c>
      <x:c r="M131" s="171" t="str"/>
      <x:c r="N131" s="171" t="str"/>
      <x:c r="O131" s="171" t="str">
        <x:v>Draft — verify in context</x:v>
      </x:c>
      <x:c r="P131" s="167" t="str">
        <x:v>https://www.oxfordlearnersdictionaries.com/wordlists/oxford3000-5000</x:v>
      </x:c>
    </x:row>
    <x:row r="132" ht="26" customHeight="1">
      <x:c r="A132" s="167" t="n">
        <x:v>131</x:v>
      </x:c>
      <x:c r="B132" s="167" t="str">
        <x:v>bizarre</x:v>
      </x:c>
      <x:c r="C132" s="167" t="str">
        <x:v>adj.</x:v>
      </x:c>
      <x:c r="D132" s="170" t="str">
        <x:v>дивний</x:v>
      </x:c>
      <x:c r="E132" s="167" t="str">
        <x:v>No</x:v>
      </x:c>
      <x:c r="F132" s="167"/>
      <x:c r="G132" s="167" t="str">
        <x:v>Core</x:v>
      </x:c>
      <x:c r="H132" s="167" t="str">
        <x:v>General</x:v>
      </x:c>
      <x:c r="I132" s="167" t="str">
        <x:v>Not Started</x:v>
      </x:c>
      <x:c r="J132" s="167" t="n">
        <x:v>0</x:v>
      </x:c>
      <x:c r="K132" s="168"/>
      <x:c r="L132" s="168" t="str">
        <x:f>IF(OR(I132="Mastered",K132=""),"",K132+IF(J132&gt;=5,30,IF(J132=4,14,IF(J132=3,7,IF(J132=2,3,1)))))</x:f>
      </x:c>
      <x:c r="M132" s="171" t="str"/>
      <x:c r="N132" s="171" t="str"/>
      <x:c r="O132" s="171" t="str">
        <x:v>Draft — verify in context</x:v>
      </x:c>
      <x:c r="P132" s="167" t="str">
        <x:v>https://www.oxfordlearnersdictionaries.com/wordlists/oxford3000-5000</x:v>
      </x:c>
    </x:row>
    <x:row r="133" ht="26" customHeight="1">
      <x:c r="A133" s="167" t="n">
        <x:v>132</x:v>
      </x:c>
      <x:c r="B133" s="167" t="str">
        <x:v>blade</x:v>
      </x:c>
      <x:c r="C133" s="167" t="str">
        <x:v>n.</x:v>
      </x:c>
      <x:c r="D133" s="170" t="str">
        <x:v>лезо</x:v>
      </x:c>
      <x:c r="E133" s="167" t="str">
        <x:v>No</x:v>
      </x:c>
      <x:c r="F133" s="167"/>
      <x:c r="G133" s="167" t="str">
        <x:v>Core</x:v>
      </x:c>
      <x:c r="H133" s="167" t="str">
        <x:v>General</x:v>
      </x:c>
      <x:c r="I133" s="167" t="str">
        <x:v>Not Started</x:v>
      </x:c>
      <x:c r="J133" s="167" t="n">
        <x:v>0</x:v>
      </x:c>
      <x:c r="K133" s="168"/>
      <x:c r="L133" s="168" t="str">
        <x:f>IF(OR(I133="Mastered",K133=""),"",K133+IF(J133&gt;=5,30,IF(J133=4,14,IF(J133=3,7,IF(J133=2,3,1)))))</x:f>
      </x:c>
      <x:c r="M133" s="171" t="str"/>
      <x:c r="N133" s="171" t="str"/>
      <x:c r="O133" s="171" t="str">
        <x:v>Draft — verify in context</x:v>
      </x:c>
      <x:c r="P133" s="167" t="str">
        <x:v>https://www.oxfordlearnersdictionaries.com/wordlists/oxford3000-5000</x:v>
      </x:c>
    </x:row>
    <x:row r="134" ht="26" customHeight="1">
      <x:c r="A134" s="167" t="n">
        <x:v>133</x:v>
      </x:c>
      <x:c r="B134" s="167" t="str">
        <x:v>blast</x:v>
      </x:c>
      <x:c r="C134" s="167" t="str">
        <x:v>n., v.</x:v>
      </x:c>
      <x:c r="D134" s="170" t="str">
        <x:v>вибух</x:v>
      </x:c>
      <x:c r="E134" s="167" t="str">
        <x:v>No</x:v>
      </x:c>
      <x:c r="F134" s="167"/>
      <x:c r="G134" s="167" t="str">
        <x:v>Core</x:v>
      </x:c>
      <x:c r="H134" s="167" t="str">
        <x:v>General</x:v>
      </x:c>
      <x:c r="I134" s="167" t="str">
        <x:v>Not Started</x:v>
      </x:c>
      <x:c r="J134" s="167" t="n">
        <x:v>0</x:v>
      </x:c>
      <x:c r="K134" s="168"/>
      <x:c r="L134" s="168" t="str">
        <x:f>IF(OR(I134="Mastered",K134=""),"",K134+IF(J134&gt;=5,30,IF(J134=4,14,IF(J134=3,7,IF(J134=2,3,1)))))</x:f>
      </x:c>
      <x:c r="M134" s="171" t="str"/>
      <x:c r="N134" s="171" t="str"/>
      <x:c r="O134" s="171" t="str">
        <x:v>Draft — verify in context</x:v>
      </x:c>
      <x:c r="P134" s="167" t="str">
        <x:v>https://www.oxfordlearnersdictionaries.com/wordlists/oxford3000-5000</x:v>
      </x:c>
    </x:row>
    <x:row r="135" ht="26" customHeight="1">
      <x:c r="A135" s="167" t="n">
        <x:v>134</x:v>
      </x:c>
      <x:c r="B135" s="167" t="str">
        <x:v>bleed</x:v>
      </x:c>
      <x:c r="C135" s="167" t="str">
        <x:v>v.</x:v>
      </x:c>
      <x:c r="D135" s="170" t="str">
        <x:v>кровоточити</x:v>
      </x:c>
      <x:c r="E135" s="167" t="str">
        <x:v>No</x:v>
      </x:c>
      <x:c r="F135" s="167"/>
      <x:c r="G135" s="167" t="str">
        <x:v>Core</x:v>
      </x:c>
      <x:c r="H135" s="167" t="str">
        <x:v>General</x:v>
      </x:c>
      <x:c r="I135" s="167" t="str">
        <x:v>Not Started</x:v>
      </x:c>
      <x:c r="J135" s="167" t="n">
        <x:v>0</x:v>
      </x:c>
      <x:c r="K135" s="168"/>
      <x:c r="L135" s="168" t="str">
        <x:f>IF(OR(I135="Mastered",K135=""),"",K135+IF(J135&gt;=5,30,IF(J135=4,14,IF(J135=3,7,IF(J135=2,3,1)))))</x:f>
      </x:c>
      <x:c r="M135" s="171" t="str"/>
      <x:c r="N135" s="171" t="str"/>
      <x:c r="O135" s="171" t="str">
        <x:v>Draft — verify in context</x:v>
      </x:c>
      <x:c r="P135" s="167" t="str">
        <x:v>https://www.oxfordlearnersdictionaries.com/wordlists/oxford3000-5000</x:v>
      </x:c>
    </x:row>
    <x:row r="136" ht="26" customHeight="1">
      <x:c r="A136" s="167" t="n">
        <x:v>135</x:v>
      </x:c>
      <x:c r="B136" s="167" t="str">
        <x:v>blend</x:v>
      </x:c>
      <x:c r="C136" s="167" t="str">
        <x:v>v., n.</x:v>
      </x:c>
      <x:c r="D136" s="170" t="str">
        <x:v>суміш</x:v>
      </x:c>
      <x:c r="E136" s="167" t="str">
        <x:v>No</x:v>
      </x:c>
      <x:c r="F136" s="167"/>
      <x:c r="G136" s="167" t="str">
        <x:v>Core</x:v>
      </x:c>
      <x:c r="H136" s="167" t="str">
        <x:v>General</x:v>
      </x:c>
      <x:c r="I136" s="167" t="str">
        <x:v>Not Started</x:v>
      </x:c>
      <x:c r="J136" s="167" t="n">
        <x:v>0</x:v>
      </x:c>
      <x:c r="K136" s="168"/>
      <x:c r="L136" s="168" t="str">
        <x:f>IF(OR(I136="Mastered",K136=""),"",K136+IF(J136&gt;=5,30,IF(J136=4,14,IF(J136=3,7,IF(J136=2,3,1)))))</x:f>
      </x:c>
      <x:c r="M136" s="171" t="str"/>
      <x:c r="N136" s="171" t="str"/>
      <x:c r="O136" s="171" t="str">
        <x:v>Draft — verify in context</x:v>
      </x:c>
      <x:c r="P136" s="167" t="str">
        <x:v>https://www.oxfordlearnersdictionaries.com/wordlists/oxford3000-5000</x:v>
      </x:c>
    </x:row>
    <x:row r="137" ht="26" customHeight="1">
      <x:c r="A137" s="167" t="n">
        <x:v>136</x:v>
      </x:c>
      <x:c r="B137" s="167" t="str">
        <x:v>bless</x:v>
      </x:c>
      <x:c r="C137" s="167" t="str">
        <x:v>v.</x:v>
      </x:c>
      <x:c r="D137" s="170" t="str">
        <x:v>благословляти</x:v>
      </x:c>
      <x:c r="E137" s="167" t="str">
        <x:v>No</x:v>
      </x:c>
      <x:c r="F137" s="167"/>
      <x:c r="G137" s="167" t="str">
        <x:v>Core</x:v>
      </x:c>
      <x:c r="H137" s="167" t="str">
        <x:v>General</x:v>
      </x:c>
      <x:c r="I137" s="167" t="str">
        <x:v>Not Started</x:v>
      </x:c>
      <x:c r="J137" s="167" t="n">
        <x:v>0</x:v>
      </x:c>
      <x:c r="K137" s="168"/>
      <x:c r="L137" s="168" t="str">
        <x:f>IF(OR(I137="Mastered",K137=""),"",K137+IF(J137&gt;=5,30,IF(J137=4,14,IF(J137=3,7,IF(J137=2,3,1)))))</x:f>
      </x:c>
      <x:c r="M137" s="171" t="str"/>
      <x:c r="N137" s="171" t="str"/>
      <x:c r="O137" s="171" t="str">
        <x:v>Draft — verify in context</x:v>
      </x:c>
      <x:c r="P137" s="167" t="str">
        <x:v>https://www.oxfordlearnersdictionaries.com/wordlists/oxford3000-5000</x:v>
      </x:c>
    </x:row>
    <x:row r="138" ht="26" customHeight="1">
      <x:c r="A138" s="167" t="n">
        <x:v>137</x:v>
      </x:c>
      <x:c r="B138" s="167" t="str">
        <x:v>blessing</x:v>
      </x:c>
      <x:c r="C138" s="167" t="str">
        <x:v>n.</x:v>
      </x:c>
      <x:c r="D138" s="170" t="str">
        <x:v>благословення</x:v>
      </x:c>
      <x:c r="E138" s="167" t="str">
        <x:v>No</x:v>
      </x:c>
      <x:c r="F138" s="167"/>
      <x:c r="G138" s="167" t="str">
        <x:v>Core</x:v>
      </x:c>
      <x:c r="H138" s="167" t="str">
        <x:v>General</x:v>
      </x:c>
      <x:c r="I138" s="167" t="str">
        <x:v>Not Started</x:v>
      </x:c>
      <x:c r="J138" s="167" t="n">
        <x:v>0</x:v>
      </x:c>
      <x:c r="K138" s="168"/>
      <x:c r="L138" s="168" t="str">
        <x:f>IF(OR(I138="Mastered",K138=""),"",K138+IF(J138&gt;=5,30,IF(J138=4,14,IF(J138=3,7,IF(J138=2,3,1)))))</x:f>
      </x:c>
      <x:c r="M138" s="171" t="str"/>
      <x:c r="N138" s="171" t="str"/>
      <x:c r="O138" s="171" t="str">
        <x:v>Draft — verify in context</x:v>
      </x:c>
      <x:c r="P138" s="167" t="str">
        <x:v>https://www.oxfordlearnersdictionaries.com/wordlists/oxford3000-5000</x:v>
      </x:c>
    </x:row>
    <x:row r="139" ht="26" customHeight="1">
      <x:c r="A139" s="167" t="n">
        <x:v>138</x:v>
      </x:c>
      <x:c r="B139" s="167" t="str">
        <x:v>boast</x:v>
      </x:c>
      <x:c r="C139" s="167" t="str">
        <x:v>v.</x:v>
      </x:c>
      <x:c r="D139" s="170" t="str">
        <x:v>хвалитися</x:v>
      </x:c>
      <x:c r="E139" s="167" t="str">
        <x:v>No</x:v>
      </x:c>
      <x:c r="F139" s="167"/>
      <x:c r="G139" s="167" t="str">
        <x:v>Core</x:v>
      </x:c>
      <x:c r="H139" s="167" t="str">
        <x:v>General</x:v>
      </x:c>
      <x:c r="I139" s="167" t="str">
        <x:v>Not Started</x:v>
      </x:c>
      <x:c r="J139" s="167" t="n">
        <x:v>0</x:v>
      </x:c>
      <x:c r="K139" s="168"/>
      <x:c r="L139" s="168" t="str">
        <x:f>IF(OR(I139="Mastered",K139=""),"",K139+IF(J139&gt;=5,30,IF(J139=4,14,IF(J139=3,7,IF(J139=2,3,1)))))</x:f>
      </x:c>
      <x:c r="M139" s="171" t="str"/>
      <x:c r="N139" s="171" t="str"/>
      <x:c r="O139" s="171" t="str">
        <x:v>Draft — verify in context</x:v>
      </x:c>
      <x:c r="P139" s="167" t="str">
        <x:v>https://www.oxfordlearnersdictionaries.com/wordlists/oxford3000-5000</x:v>
      </x:c>
    </x:row>
    <x:row r="140" ht="26" customHeight="1">
      <x:c r="A140" s="167" t="n">
        <x:v>139</x:v>
      </x:c>
      <x:c r="B140" s="167" t="str">
        <x:v>bonus</x:v>
      </x:c>
      <x:c r="C140" s="167" t="str">
        <x:v>n.</x:v>
      </x:c>
      <x:c r="D140" s="170" t="str">
        <x:v>бонус</x:v>
      </x:c>
      <x:c r="E140" s="167" t="str">
        <x:v>No</x:v>
      </x:c>
      <x:c r="F140" s="167"/>
      <x:c r="G140" s="167" t="str">
        <x:v>Core</x:v>
      </x:c>
      <x:c r="H140" s="167" t="str">
        <x:v>General</x:v>
      </x:c>
      <x:c r="I140" s="167" t="str">
        <x:v>Not Started</x:v>
      </x:c>
      <x:c r="J140" s="167" t="n">
        <x:v>0</x:v>
      </x:c>
      <x:c r="K140" s="168"/>
      <x:c r="L140" s="168" t="str">
        <x:f>IF(OR(I140="Mastered",K140=""),"",K140+IF(J140&gt;=5,30,IF(J140=4,14,IF(J140=3,7,IF(J140=2,3,1)))))</x:f>
      </x:c>
      <x:c r="M140" s="171" t="str"/>
      <x:c r="N140" s="171" t="str"/>
      <x:c r="O140" s="171" t="str">
        <x:v>Draft — verify in context</x:v>
      </x:c>
      <x:c r="P140" s="167" t="str">
        <x:v>https://www.oxfordlearnersdictionaries.com/wordlists/oxford3000-5000</x:v>
      </x:c>
    </x:row>
    <x:row r="141" ht="26" customHeight="1">
      <x:c r="A141" s="167" t="n">
        <x:v>140</x:v>
      </x:c>
      <x:c r="B141" s="167" t="str">
        <x:v>boom</x:v>
      </x:c>
      <x:c r="C141" s="167" t="str">
        <x:v>n.</x:v>
      </x:c>
      <x:c r="D141" s="170" t="str">
        <x:v>бум</x:v>
      </x:c>
      <x:c r="E141" s="167" t="str">
        <x:v>No</x:v>
      </x:c>
      <x:c r="F141" s="167"/>
      <x:c r="G141" s="167" t="str">
        <x:v>Core</x:v>
      </x:c>
      <x:c r="H141" s="167" t="str">
        <x:v>General</x:v>
      </x:c>
      <x:c r="I141" s="167" t="str">
        <x:v>Not Started</x:v>
      </x:c>
      <x:c r="J141" s="167" t="n">
        <x:v>0</x:v>
      </x:c>
      <x:c r="K141" s="168"/>
      <x:c r="L141" s="168" t="str">
        <x:f>IF(OR(I141="Mastered",K141=""),"",K141+IF(J141&gt;=5,30,IF(J141=4,14,IF(J141=3,7,IF(J141=2,3,1)))))</x:f>
      </x:c>
      <x:c r="M141" s="171" t="str"/>
      <x:c r="N141" s="171" t="str"/>
      <x:c r="O141" s="171" t="str">
        <x:v>Draft — verify in context</x:v>
      </x:c>
      <x:c r="P141" s="167" t="str">
        <x:v>https://www.oxfordlearnersdictionaries.com/wordlists/oxford3000-5000</x:v>
      </x:c>
    </x:row>
    <x:row r="142" ht="26" customHeight="1">
      <x:c r="A142" s="167" t="n">
        <x:v>141</x:v>
      </x:c>
      <x:c r="B142" s="167" t="str">
        <x:v>bounce</x:v>
      </x:c>
      <x:c r="C142" s="167" t="str">
        <x:v>v.</x:v>
      </x:c>
      <x:c r="D142" s="170" t="str">
        <x:v>підстрибувати</x:v>
      </x:c>
      <x:c r="E142" s="167" t="str">
        <x:v>No</x:v>
      </x:c>
      <x:c r="F142" s="167"/>
      <x:c r="G142" s="167" t="str">
        <x:v>Core</x:v>
      </x:c>
      <x:c r="H142" s="167" t="str">
        <x:v>General</x:v>
      </x:c>
      <x:c r="I142" s="167" t="str">
        <x:v>Not Started</x:v>
      </x:c>
      <x:c r="J142" s="167" t="n">
        <x:v>0</x:v>
      </x:c>
      <x:c r="K142" s="168"/>
      <x:c r="L142" s="168" t="str">
        <x:f>IF(OR(I142="Mastered",K142=""),"",K142+IF(J142&gt;=5,30,IF(J142=4,14,IF(J142=3,7,IF(J142=2,3,1)))))</x:f>
      </x:c>
      <x:c r="M142" s="171" t="str"/>
      <x:c r="N142" s="171" t="str"/>
      <x:c r="O142" s="171" t="str">
        <x:v>Draft — verify in context</x:v>
      </x:c>
      <x:c r="P142" s="167" t="str">
        <x:v>https://www.oxfordlearnersdictionaries.com/wordlists/oxford3000-5000</x:v>
      </x:c>
    </x:row>
    <x:row r="143" ht="26" customHeight="1">
      <x:c r="A143" s="167" t="n">
        <x:v>142</x:v>
      </x:c>
      <x:c r="B143" s="167" t="str">
        <x:v>boundary</x:v>
      </x:c>
      <x:c r="C143" s="167" t="str">
        <x:v>n.</x:v>
      </x:c>
      <x:c r="D143" s="170" t="str">
        <x:v>межа</x:v>
      </x:c>
      <x:c r="E143" s="167" t="str">
        <x:v>No</x:v>
      </x:c>
      <x:c r="F143" s="167"/>
      <x:c r="G143" s="167" t="str">
        <x:v>Core</x:v>
      </x:c>
      <x:c r="H143" s="167" t="str">
        <x:v>General</x:v>
      </x:c>
      <x:c r="I143" s="167" t="str">
        <x:v>Not Started</x:v>
      </x:c>
      <x:c r="J143" s="167" t="n">
        <x:v>0</x:v>
      </x:c>
      <x:c r="K143" s="168"/>
      <x:c r="L143" s="168" t="str">
        <x:f>IF(OR(I143="Mastered",K143=""),"",K143+IF(J143&gt;=5,30,IF(J143=4,14,IF(J143=3,7,IF(J143=2,3,1)))))</x:f>
      </x:c>
      <x:c r="M143" s="171" t="str"/>
      <x:c r="N143" s="171" t="str"/>
      <x:c r="O143" s="171" t="str">
        <x:v>Draft — verify in context</x:v>
      </x:c>
      <x:c r="P143" s="167" t="str">
        <x:v>https://www.oxfordlearnersdictionaries.com/wordlists/oxford3000-5000</x:v>
      </x:c>
    </x:row>
    <x:row r="144" ht="26" customHeight="1">
      <x:c r="A144" s="167" t="n">
        <x:v>143</x:v>
      </x:c>
      <x:c r="B144" s="167" t="str">
        <x:v>bow1</x:v>
      </x:c>
      <x:c r="C144" s="167" t="str">
        <x:v>v., n.</x:v>
      </x:c>
      <x:c r="D144" s="170" t="str">
        <x:v>нахилятися; уклін</x:v>
      </x:c>
      <x:c r="E144" s="167" t="str">
        <x:v>No</x:v>
      </x:c>
      <x:c r="F144" s="167"/>
      <x:c r="G144" s="167" t="str">
        <x:v>Core</x:v>
      </x:c>
      <x:c r="H144" s="167" t="str">
        <x:v>General</x:v>
      </x:c>
      <x:c r="I144" s="167" t="str">
        <x:v>Not Started</x:v>
      </x:c>
      <x:c r="J144" s="167" t="n">
        <x:v>0</x:v>
      </x:c>
      <x:c r="K144" s="168"/>
      <x:c r="L144" s="168" t="str">
        <x:f>IF(OR(I144="Mastered",K144=""),"",K144+IF(J144&gt;=5,30,IF(J144=4,14,IF(J144=3,7,IF(J144=2,3,1)))))</x:f>
      </x:c>
      <x:c r="M144" s="171" t="str"/>
      <x:c r="N144" s="171" t="str"/>
      <x:c r="O144" s="171" t="str">
        <x:v>Draft — verify in context</x:v>
      </x:c>
      <x:c r="P144" s="167" t="str">
        <x:v>https://www.oxfordlearnersdictionaries.com/wordlists/oxford3000-5000</x:v>
      </x:c>
    </x:row>
    <x:row r="145" ht="26" customHeight="1">
      <x:c r="A145" s="167" t="n">
        <x:v>144</x:v>
      </x:c>
      <x:c r="B145" s="167" t="str">
        <x:v>breach</x:v>
      </x:c>
      <x:c r="C145" s="167" t="str">
        <x:v>n., v.</x:v>
      </x:c>
      <x:c r="D145" s="170" t="str">
        <x:v>порушення</x:v>
      </x:c>
      <x:c r="E145" s="167" t="str">
        <x:v>No</x:v>
      </x:c>
      <x:c r="F145" s="167"/>
      <x:c r="G145" s="167" t="str">
        <x:v>Core</x:v>
      </x:c>
      <x:c r="H145" s="167" t="str">
        <x:v>General</x:v>
      </x:c>
      <x:c r="I145" s="167" t="str">
        <x:v>Not Started</x:v>
      </x:c>
      <x:c r="J145" s="167" t="n">
        <x:v>0</x:v>
      </x:c>
      <x:c r="K145" s="168"/>
      <x:c r="L145" s="168" t="str">
        <x:f>IF(OR(I145="Mastered",K145=""),"",K145+IF(J145&gt;=5,30,IF(J145=4,14,IF(J145=3,7,IF(J145=2,3,1)))))</x:f>
      </x:c>
      <x:c r="M145" s="171" t="str"/>
      <x:c r="N145" s="171" t="str"/>
      <x:c r="O145" s="171" t="str">
        <x:v>Draft — verify in context</x:v>
      </x:c>
      <x:c r="P145" s="167" t="str">
        <x:v>https://www.oxfordlearnersdictionaries.com/wordlists/oxford3000-5000</x:v>
      </x:c>
    </x:row>
    <x:row r="146" ht="26" customHeight="1">
      <x:c r="A146" s="167" t="n">
        <x:v>145</x:v>
      </x:c>
      <x:c r="B146" s="167" t="str">
        <x:v>breakdown</x:v>
      </x:c>
      <x:c r="C146" s="167" t="str">
        <x:v>n.</x:v>
      </x:c>
      <x:c r="D146" s="170" t="str">
        <x:v>поломка</x:v>
      </x:c>
      <x:c r="E146" s="167" t="str">
        <x:v>No</x:v>
      </x:c>
      <x:c r="F146" s="167"/>
      <x:c r="G146" s="167" t="str">
        <x:v>Core</x:v>
      </x:c>
      <x:c r="H146" s="167" t="str">
        <x:v>General</x:v>
      </x:c>
      <x:c r="I146" s="167" t="str">
        <x:v>Not Started</x:v>
      </x:c>
      <x:c r="J146" s="167" t="n">
        <x:v>0</x:v>
      </x:c>
      <x:c r="K146" s="168"/>
      <x:c r="L146" s="168" t="str">
        <x:f>IF(OR(I146="Mastered",K146=""),"",K146+IF(J146&gt;=5,30,IF(J146=4,14,IF(J146=3,7,IF(J146=2,3,1)))))</x:f>
      </x:c>
      <x:c r="M146" s="171" t="str"/>
      <x:c r="N146" s="171" t="str"/>
      <x:c r="O146" s="171" t="str">
        <x:v>Draft — verify in context</x:v>
      </x:c>
      <x:c r="P146" s="167" t="str">
        <x:v>https://www.oxfordlearnersdictionaries.com/wordlists/oxford3000-5000</x:v>
      </x:c>
    </x:row>
    <x:row r="147" ht="26" customHeight="1">
      <x:c r="A147" s="167" t="n">
        <x:v>146</x:v>
      </x:c>
      <x:c r="B147" s="167" t="str">
        <x:v>breakthrough</x:v>
      </x:c>
      <x:c r="C147" s="167" t="str">
        <x:v>n.</x:v>
      </x:c>
      <x:c r="D147" s="170" t="str">
        <x:v>прорив</x:v>
      </x:c>
      <x:c r="E147" s="167" t="str">
        <x:v>No</x:v>
      </x:c>
      <x:c r="F147" s="167"/>
      <x:c r="G147" s="167" t="str">
        <x:v>Core</x:v>
      </x:c>
      <x:c r="H147" s="167" t="str">
        <x:v>General</x:v>
      </x:c>
      <x:c r="I147" s="167" t="str">
        <x:v>Not Started</x:v>
      </x:c>
      <x:c r="J147" s="167" t="n">
        <x:v>0</x:v>
      </x:c>
      <x:c r="K147" s="168"/>
      <x:c r="L147" s="168" t="str">
        <x:f>IF(OR(I147="Mastered",K147=""),"",K147+IF(J147&gt;=5,30,IF(J147=4,14,IF(J147=3,7,IF(J147=2,3,1)))))</x:f>
      </x:c>
      <x:c r="M147" s="171" t="str"/>
      <x:c r="N147" s="171" t="str"/>
      <x:c r="O147" s="171" t="str">
        <x:v>Draft — verify in context</x:v>
      </x:c>
      <x:c r="P147" s="167" t="str">
        <x:v>https://www.oxfordlearnersdictionaries.com/wordlists/oxford3000-5000</x:v>
      </x:c>
    </x:row>
    <x:row r="148" ht="26" customHeight="1">
      <x:c r="A148" s="167" t="n">
        <x:v>147</x:v>
      </x:c>
      <x:c r="B148" s="167" t="str">
        <x:v>breed</x:v>
      </x:c>
      <x:c r="C148" s="167" t="str">
        <x:v>v., n.</x:v>
      </x:c>
      <x:c r="D148" s="170" t="str">
        <x:v>порода</x:v>
      </x:c>
      <x:c r="E148" s="167" t="str">
        <x:v>No</x:v>
      </x:c>
      <x:c r="F148" s="167"/>
      <x:c r="G148" s="167" t="str">
        <x:v>Core</x:v>
      </x:c>
      <x:c r="H148" s="167" t="str">
        <x:v>General</x:v>
      </x:c>
      <x:c r="I148" s="167" t="str">
        <x:v>Not Started</x:v>
      </x:c>
      <x:c r="J148" s="167" t="n">
        <x:v>0</x:v>
      </x:c>
      <x:c r="K148" s="168"/>
      <x:c r="L148" s="168" t="str">
        <x:f>IF(OR(I148="Mastered",K148=""),"",K148+IF(J148&gt;=5,30,IF(J148=4,14,IF(J148=3,7,IF(J148=2,3,1)))))</x:f>
      </x:c>
      <x:c r="M148" s="171" t="str"/>
      <x:c r="N148" s="171" t="str"/>
      <x:c r="O148" s="171" t="str">
        <x:v>Draft — verify in context</x:v>
      </x:c>
      <x:c r="P148" s="167" t="str">
        <x:v>https://www.oxfordlearnersdictionaries.com/wordlists/oxford3000-5000</x:v>
      </x:c>
    </x:row>
    <x:row r="149" ht="26" customHeight="1">
      <x:c r="A149" s="167" t="n">
        <x:v>148</x:v>
      </x:c>
      <x:c r="B149" s="167" t="str">
        <x:v>broadband</x:v>
      </x:c>
      <x:c r="C149" s="167" t="str">
        <x:v>n.</x:v>
      </x:c>
      <x:c r="D149" s="170" t="str">
        <x:v>широкосмуговий</x:v>
      </x:c>
      <x:c r="E149" s="167" t="str">
        <x:v>No</x:v>
      </x:c>
      <x:c r="F149" s="167"/>
      <x:c r="G149" s="167" t="str">
        <x:v>High</x:v>
      </x:c>
      <x:c r="H149" s="167" t="str">
        <x:v>Technology</x:v>
      </x:c>
      <x:c r="I149" s="167" t="str">
        <x:v>Not Started</x:v>
      </x:c>
      <x:c r="J149" s="167" t="n">
        <x:v>0</x:v>
      </x:c>
      <x:c r="K149" s="168"/>
      <x:c r="L149" s="168" t="str">
        <x:f>IF(OR(I149="Mastered",K149=""),"",K149+IF(J149&gt;=5,30,IF(J149=4,14,IF(J149=3,7,IF(J149=2,3,1)))))</x:f>
      </x:c>
      <x:c r="M149" s="171" t="str"/>
      <x:c r="N149" s="171" t="str"/>
      <x:c r="O149" s="171" t="str">
        <x:v>Draft — verify in context</x:v>
      </x:c>
      <x:c r="P149" s="167" t="str">
        <x:v>https://www.oxfordlearnersdictionaries.com/wordlists/oxford3000-5000</x:v>
      </x:c>
    </x:row>
    <x:row r="150" ht="26" customHeight="1">
      <x:c r="A150" s="167" t="n">
        <x:v>149</x:v>
      </x:c>
      <x:c r="B150" s="167" t="str">
        <x:v>browser</x:v>
      </x:c>
      <x:c r="C150" s="167" t="str">
        <x:v>n.</x:v>
      </x:c>
      <x:c r="D150" s="170" t="str">
        <x:v>браузер</x:v>
      </x:c>
      <x:c r="E150" s="167" t="str">
        <x:v>No</x:v>
      </x:c>
      <x:c r="F150" s="167"/>
      <x:c r="G150" s="167" t="str">
        <x:v>High</x:v>
      </x:c>
      <x:c r="H150" s="167" t="str">
        <x:v>Technology</x:v>
      </x:c>
      <x:c r="I150" s="167" t="str">
        <x:v>Not Started</x:v>
      </x:c>
      <x:c r="J150" s="167" t="n">
        <x:v>0</x:v>
      </x:c>
      <x:c r="K150" s="168"/>
      <x:c r="L150" s="168" t="str">
        <x:f>IF(OR(I150="Mastered",K150=""),"",K150+IF(J150&gt;=5,30,IF(J150=4,14,IF(J150=3,7,IF(J150=2,3,1)))))</x:f>
      </x:c>
      <x:c r="M150" s="171" t="str"/>
      <x:c r="N150" s="171" t="str"/>
      <x:c r="O150" s="171" t="str">
        <x:v>Draft — verify in context</x:v>
      </x:c>
      <x:c r="P150" s="167" t="str">
        <x:v>https://www.oxfordlearnersdictionaries.com/wordlists/oxford3000-5000</x:v>
      </x:c>
    </x:row>
    <x:row r="151" ht="26" customHeight="1">
      <x:c r="A151" s="167" t="n">
        <x:v>150</x:v>
      </x:c>
      <x:c r="B151" s="167" t="str">
        <x:v>brutal</x:v>
      </x:c>
      <x:c r="C151" s="167" t="str">
        <x:v>adj.</x:v>
      </x:c>
      <x:c r="D151" s="170" t="str">
        <x:v>брутальний</x:v>
      </x:c>
      <x:c r="E151" s="167" t="str">
        <x:v>No</x:v>
      </x:c>
      <x:c r="F151" s="167"/>
      <x:c r="G151" s="167" t="str">
        <x:v>Core</x:v>
      </x:c>
      <x:c r="H151" s="167" t="str">
        <x:v>General</x:v>
      </x:c>
      <x:c r="I151" s="167" t="str">
        <x:v>Not Started</x:v>
      </x:c>
      <x:c r="J151" s="167" t="n">
        <x:v>0</x:v>
      </x:c>
      <x:c r="K151" s="168"/>
      <x:c r="L151" s="168" t="str">
        <x:f>IF(OR(I151="Mastered",K151=""),"",K151+IF(J151&gt;=5,30,IF(J151=4,14,IF(J151=3,7,IF(J151=2,3,1)))))</x:f>
      </x:c>
      <x:c r="M151" s="171" t="str"/>
      <x:c r="N151" s="171" t="str"/>
      <x:c r="O151" s="171" t="str">
        <x:v>Draft — verify in context</x:v>
      </x:c>
      <x:c r="P151" s="167" t="str">
        <x:v>https://www.oxfordlearnersdictionaries.com/wordlists/oxford3000-5000</x:v>
      </x:c>
    </x:row>
    <x:row r="152" ht="26" customHeight="1">
      <x:c r="A152" s="167" t="n">
        <x:v>151</x:v>
      </x:c>
      <x:c r="B152" s="167" t="str">
        <x:v>buck</x:v>
      </x:c>
      <x:c r="C152" s="167" t="str">
        <x:v>n.</x:v>
      </x:c>
      <x:c r="D152" s="170" t="str">
        <x:v>бакс</x:v>
      </x:c>
      <x:c r="E152" s="167" t="str">
        <x:v>No</x:v>
      </x:c>
      <x:c r="F152" s="167"/>
      <x:c r="G152" s="167" t="str">
        <x:v>Core</x:v>
      </x:c>
      <x:c r="H152" s="167" t="str">
        <x:v>General</x:v>
      </x:c>
      <x:c r="I152" s="167" t="str">
        <x:v>Not Started</x:v>
      </x:c>
      <x:c r="J152" s="167" t="n">
        <x:v>0</x:v>
      </x:c>
      <x:c r="K152" s="168"/>
      <x:c r="L152" s="168" t="str">
        <x:f>IF(OR(I152="Mastered",K152=""),"",K152+IF(J152&gt;=5,30,IF(J152=4,14,IF(J152=3,7,IF(J152=2,3,1)))))</x:f>
      </x:c>
      <x:c r="M152" s="171" t="str"/>
      <x:c r="N152" s="171" t="str"/>
      <x:c r="O152" s="171" t="str">
        <x:v>Draft — verify in context</x:v>
      </x:c>
      <x:c r="P152" s="167" t="str">
        <x:v>https://www.oxfordlearnersdictionaries.com/wordlists/oxford3000-5000</x:v>
      </x:c>
    </x:row>
    <x:row r="153" ht="26" customHeight="1">
      <x:c r="A153" s="167" t="n">
        <x:v>152</x:v>
      </x:c>
      <x:c r="B153" s="167" t="str">
        <x:v>buddy</x:v>
      </x:c>
      <x:c r="C153" s="167" t="str">
        <x:v>n.</x:v>
      </x:c>
      <x:c r="D153" s="170" t="str">
        <x:v>приятель</x:v>
      </x:c>
      <x:c r="E153" s="167" t="str">
        <x:v>No</x:v>
      </x:c>
      <x:c r="F153" s="167"/>
      <x:c r="G153" s="167" t="str">
        <x:v>Core</x:v>
      </x:c>
      <x:c r="H153" s="167" t="str">
        <x:v>General</x:v>
      </x:c>
      <x:c r="I153" s="167" t="str">
        <x:v>Not Started</x:v>
      </x:c>
      <x:c r="J153" s="167" t="n">
        <x:v>0</x:v>
      </x:c>
      <x:c r="K153" s="168"/>
      <x:c r="L153" s="168" t="str">
        <x:f>IF(OR(I153="Mastered",K153=""),"",K153+IF(J153&gt;=5,30,IF(J153=4,14,IF(J153=3,7,IF(J153=2,3,1)))))</x:f>
      </x:c>
      <x:c r="M153" s="171" t="str"/>
      <x:c r="N153" s="171" t="str"/>
      <x:c r="O153" s="171" t="str">
        <x:v>Draft — verify in context</x:v>
      </x:c>
      <x:c r="P153" s="167" t="str">
        <x:v>https://www.oxfordlearnersdictionaries.com/wordlists/oxford3000-5000</x:v>
      </x:c>
    </x:row>
    <x:row r="154" ht="26" customHeight="1">
      <x:c r="A154" s="167" t="n">
        <x:v>153</x:v>
      </x:c>
      <x:c r="B154" s="167" t="str">
        <x:v>buffer</x:v>
      </x:c>
      <x:c r="C154" s="167" t="str">
        <x:v>n.</x:v>
      </x:c>
      <x:c r="D154" s="170" t="str">
        <x:v>буфер</x:v>
      </x:c>
      <x:c r="E154" s="167" t="str">
        <x:v>No</x:v>
      </x:c>
      <x:c r="F154" s="167"/>
      <x:c r="G154" s="167" t="str">
        <x:v>Core</x:v>
      </x:c>
      <x:c r="H154" s="167" t="str">
        <x:v>General</x:v>
      </x:c>
      <x:c r="I154" s="167" t="str">
        <x:v>Not Started</x:v>
      </x:c>
      <x:c r="J154" s="167" t="n">
        <x:v>0</x:v>
      </x:c>
      <x:c r="K154" s="168"/>
      <x:c r="L154" s="168" t="str">
        <x:f>IF(OR(I154="Mastered",K154=""),"",K154+IF(J154&gt;=5,30,IF(J154=4,14,IF(J154=3,7,IF(J154=2,3,1)))))</x:f>
      </x:c>
      <x:c r="M154" s="171" t="str"/>
      <x:c r="N154" s="171" t="str"/>
      <x:c r="O154" s="171" t="str">
        <x:v>Draft — verify in context</x:v>
      </x:c>
      <x:c r="P154" s="167" t="str">
        <x:v>https://www.oxfordlearnersdictionaries.com/wordlists/oxford3000-5000</x:v>
      </x:c>
    </x:row>
    <x:row r="155" ht="26" customHeight="1">
      <x:c r="A155" s="167" t="n">
        <x:v>154</x:v>
      </x:c>
      <x:c r="B155" s="167" t="str">
        <x:v>bulk</x:v>
      </x:c>
      <x:c r="C155" s="167" t="str">
        <x:v>n.</x:v>
      </x:c>
      <x:c r="D155" s="170" t="str">
        <x:v>маса</x:v>
      </x:c>
      <x:c r="E155" s="167" t="str">
        <x:v>Yes</x:v>
      </x:c>
      <x:c r="F155" s="167" t="n">
        <x:v>9</x:v>
      </x:c>
      <x:c r="G155" s="167" t="str">
        <x:v>High</x:v>
      </x:c>
      <x:c r="H155" s="167" t="str">
        <x:v>General</x:v>
      </x:c>
      <x:c r="I155" s="167" t="str">
        <x:v>Not Started</x:v>
      </x:c>
      <x:c r="J155" s="167" t="n">
        <x:v>0</x:v>
      </x:c>
      <x:c r="K155" s="168"/>
      <x:c r="L155" s="168" t="str">
        <x:f>IF(OR(I155="Mastered",K155=""),"",K155+IF(J155&gt;=5,30,IF(J155=4,14,IF(J155=3,7,IF(J155=2,3,1)))))</x:f>
      </x:c>
      <x:c r="M155" s="171" t="str"/>
      <x:c r="N155" s="171" t="str"/>
      <x:c r="O155" s="171" t="str">
        <x:v>Draft — verify in context</x:v>
      </x:c>
      <x:c r="P155" s="167" t="str">
        <x:v>https://www.oxfordlearnersdictionaries.com/wordlists/oxford3000-5000</x:v>
      </x:c>
    </x:row>
    <x:row r="156" ht="26" customHeight="1">
      <x:c r="A156" s="167" t="n">
        <x:v>155</x:v>
      </x:c>
      <x:c r="B156" s="167" t="str">
        <x:v>burden</x:v>
      </x:c>
      <x:c r="C156" s="167" t="str">
        <x:v>n.</x:v>
      </x:c>
      <x:c r="D156" s="170" t="str">
        <x:v>тягар</x:v>
      </x:c>
      <x:c r="E156" s="167" t="str">
        <x:v>No</x:v>
      </x:c>
      <x:c r="F156" s="167"/>
      <x:c r="G156" s="167" t="str">
        <x:v>Core</x:v>
      </x:c>
      <x:c r="H156" s="167" t="str">
        <x:v>General</x:v>
      </x:c>
      <x:c r="I156" s="167" t="str">
        <x:v>Not Started</x:v>
      </x:c>
      <x:c r="J156" s="167" t="n">
        <x:v>0</x:v>
      </x:c>
      <x:c r="K156" s="168"/>
      <x:c r="L156" s="168" t="str">
        <x:f>IF(OR(I156="Mastered",K156=""),"",K156+IF(J156&gt;=5,30,IF(J156=4,14,IF(J156=3,7,IF(J156=2,3,1)))))</x:f>
      </x:c>
      <x:c r="M156" s="171" t="str"/>
      <x:c r="N156" s="171" t="str"/>
      <x:c r="O156" s="171" t="str">
        <x:v>Draft — verify in context</x:v>
      </x:c>
      <x:c r="P156" s="167" t="str">
        <x:v>https://www.oxfordlearnersdictionaries.com/wordlists/oxford3000-5000</x:v>
      </x:c>
    </x:row>
    <x:row r="157" ht="26" customHeight="1">
      <x:c r="A157" s="167" t="n">
        <x:v>156</x:v>
      </x:c>
      <x:c r="B157" s="167" t="str">
        <x:v>bureaucracy</x:v>
      </x:c>
      <x:c r="C157" s="167" t="str">
        <x:v>n.</x:v>
      </x:c>
      <x:c r="D157" s="170" t="str">
        <x:v>бюрократія</x:v>
      </x:c>
      <x:c r="E157" s="167" t="str">
        <x:v>No</x:v>
      </x:c>
      <x:c r="F157" s="167"/>
      <x:c r="G157" s="167" t="str">
        <x:v>Core</x:v>
      </x:c>
      <x:c r="H157" s="167" t="str">
        <x:v>General</x:v>
      </x:c>
      <x:c r="I157" s="167" t="str">
        <x:v>Not Started</x:v>
      </x:c>
      <x:c r="J157" s="167" t="n">
        <x:v>0</x:v>
      </x:c>
      <x:c r="K157" s="168"/>
      <x:c r="L157" s="168" t="str">
        <x:f>IF(OR(I157="Mastered",K157=""),"",K157+IF(J157&gt;=5,30,IF(J157=4,14,IF(J157=3,7,IF(J157=2,3,1)))))</x:f>
      </x:c>
      <x:c r="M157" s="171" t="str"/>
      <x:c r="N157" s="171" t="str"/>
      <x:c r="O157" s="171" t="str">
        <x:v>Draft — verify in context</x:v>
      </x:c>
      <x:c r="P157" s="167" t="str">
        <x:v>https://www.oxfordlearnersdictionaries.com/wordlists/oxford3000-5000</x:v>
      </x:c>
    </x:row>
    <x:row r="158" ht="26" customHeight="1">
      <x:c r="A158" s="167" t="n">
        <x:v>157</x:v>
      </x:c>
      <x:c r="B158" s="167" t="str">
        <x:v>burial</x:v>
      </x:c>
      <x:c r="C158" s="167" t="str">
        <x:v>n.</x:v>
      </x:c>
      <x:c r="D158" s="170" t="str">
        <x:v>поховання</x:v>
      </x:c>
      <x:c r="E158" s="167" t="str">
        <x:v>No</x:v>
      </x:c>
      <x:c r="F158" s="167"/>
      <x:c r="G158" s="167" t="str">
        <x:v>Core</x:v>
      </x:c>
      <x:c r="H158" s="167" t="str">
        <x:v>General</x:v>
      </x:c>
      <x:c r="I158" s="167" t="str">
        <x:v>Not Started</x:v>
      </x:c>
      <x:c r="J158" s="167" t="n">
        <x:v>0</x:v>
      </x:c>
      <x:c r="K158" s="168"/>
      <x:c r="L158" s="168" t="str">
        <x:f>IF(OR(I158="Mastered",K158=""),"",K158+IF(J158&gt;=5,30,IF(J158=4,14,IF(J158=3,7,IF(J158=2,3,1)))))</x:f>
      </x:c>
      <x:c r="M158" s="171" t="str"/>
      <x:c r="N158" s="171" t="str"/>
      <x:c r="O158" s="171" t="str">
        <x:v>Draft — verify in context</x:v>
      </x:c>
      <x:c r="P158" s="167" t="str">
        <x:v>https://www.oxfordlearnersdictionaries.com/wordlists/oxford3000-5000</x:v>
      </x:c>
    </x:row>
    <x:row r="159" ht="26" customHeight="1">
      <x:c r="A159" s="167" t="n">
        <x:v>158</x:v>
      </x:c>
      <x:c r="B159" s="167" t="str">
        <x:v>burst</x:v>
      </x:c>
      <x:c r="C159" s="167" t="str">
        <x:v>v.</x:v>
      </x:c>
      <x:c r="D159" s="170" t="str">
        <x:v>лопнути</x:v>
      </x:c>
      <x:c r="E159" s="167" t="str">
        <x:v>No</x:v>
      </x:c>
      <x:c r="F159" s="167"/>
      <x:c r="G159" s="167" t="str">
        <x:v>Core</x:v>
      </x:c>
      <x:c r="H159" s="167" t="str">
        <x:v>General</x:v>
      </x:c>
      <x:c r="I159" s="167" t="str">
        <x:v>Not Started</x:v>
      </x:c>
      <x:c r="J159" s="167" t="n">
        <x:v>0</x:v>
      </x:c>
      <x:c r="K159" s="168"/>
      <x:c r="L159" s="168" t="str">
        <x:f>IF(OR(I159="Mastered",K159=""),"",K159+IF(J159&gt;=5,30,IF(J159=4,14,IF(J159=3,7,IF(J159=2,3,1)))))</x:f>
      </x:c>
      <x:c r="M159" s="171" t="str"/>
      <x:c r="N159" s="171" t="str"/>
      <x:c r="O159" s="171" t="str">
        <x:v>Draft — verify in context</x:v>
      </x:c>
      <x:c r="P159" s="167" t="str">
        <x:v>https://www.oxfordlearnersdictionaries.com/wordlists/oxford3000-5000</x:v>
      </x:c>
    </x:row>
    <x:row r="160" ht="26" customHeight="1">
      <x:c r="A160" s="167" t="n">
        <x:v>159</x:v>
      </x:c>
      <x:c r="B160" s="167" t="str">
        <x:v>cabinet</x:v>
      </x:c>
      <x:c r="C160" s="167" t="str">
        <x:v>n.</x:v>
      </x:c>
      <x:c r="D160" s="170" t="str">
        <x:v>кабінет</x:v>
      </x:c>
      <x:c r="E160" s="167" t="str">
        <x:v>No</x:v>
      </x:c>
      <x:c r="F160" s="167"/>
      <x:c r="G160" s="167" t="str">
        <x:v>Core</x:v>
      </x:c>
      <x:c r="H160" s="167" t="str">
        <x:v>General</x:v>
      </x:c>
      <x:c r="I160" s="167" t="str">
        <x:v>Not Started</x:v>
      </x:c>
      <x:c r="J160" s="167" t="n">
        <x:v>0</x:v>
      </x:c>
      <x:c r="K160" s="168"/>
      <x:c r="L160" s="168" t="str">
        <x:f>IF(OR(I160="Mastered",K160=""),"",K160+IF(J160&gt;=5,30,IF(J160=4,14,IF(J160=3,7,IF(J160=2,3,1)))))</x:f>
      </x:c>
      <x:c r="M160" s="171" t="str"/>
      <x:c r="N160" s="171" t="str"/>
      <x:c r="O160" s="171" t="str">
        <x:v>Draft — verify in context</x:v>
      </x:c>
      <x:c r="P160" s="167" t="str">
        <x:v>https://www.oxfordlearnersdictionaries.com/wordlists/oxford3000-5000</x:v>
      </x:c>
    </x:row>
    <x:row r="161" ht="26" customHeight="1">
      <x:c r="A161" s="167" t="n">
        <x:v>160</x:v>
      </x:c>
      <x:c r="B161" s="167" t="str">
        <x:v>calculation</x:v>
      </x:c>
      <x:c r="C161" s="167" t="str">
        <x:v>n.</x:v>
      </x:c>
      <x:c r="D161" s="170" t="str">
        <x:v>розрахунок</x:v>
      </x:c>
      <x:c r="E161" s="167" t="str">
        <x:v>No</x:v>
      </x:c>
      <x:c r="F161" s="167"/>
      <x:c r="G161" s="167" t="str">
        <x:v>Core</x:v>
      </x:c>
      <x:c r="H161" s="167" t="str">
        <x:v>General</x:v>
      </x:c>
      <x:c r="I161" s="167" t="str">
        <x:v>Not Started</x:v>
      </x:c>
      <x:c r="J161" s="167" t="n">
        <x:v>0</x:v>
      </x:c>
      <x:c r="K161" s="168"/>
      <x:c r="L161" s="168" t="str">
        <x:f>IF(OR(I161="Mastered",K161=""),"",K161+IF(J161&gt;=5,30,IF(J161=4,14,IF(J161=3,7,IF(J161=2,3,1)))))</x:f>
      </x:c>
      <x:c r="M161" s="171" t="str"/>
      <x:c r="N161" s="171" t="str"/>
      <x:c r="O161" s="171" t="str">
        <x:v>Draft — verify in context</x:v>
      </x:c>
      <x:c r="P161" s="167" t="str">
        <x:v>https://www.oxfordlearnersdictionaries.com/wordlists/oxford3000-5000</x:v>
      </x:c>
    </x:row>
    <x:row r="162" ht="26" customHeight="1">
      <x:c r="A162" s="167" t="n">
        <x:v>161</x:v>
      </x:c>
      <x:c r="B162" s="167" t="str">
        <x:v>canvas</x:v>
      </x:c>
      <x:c r="C162" s="167" t="str">
        <x:v>n.</x:v>
      </x:c>
      <x:c r="D162" s="170" t="str">
        <x:v>полотно</x:v>
      </x:c>
      <x:c r="E162" s="167" t="str">
        <x:v>No</x:v>
      </x:c>
      <x:c r="F162" s="167"/>
      <x:c r="G162" s="167" t="str">
        <x:v>Core</x:v>
      </x:c>
      <x:c r="H162" s="167" t="str">
        <x:v>General</x:v>
      </x:c>
      <x:c r="I162" s="167" t="str">
        <x:v>Not Started</x:v>
      </x:c>
      <x:c r="J162" s="167" t="n">
        <x:v>0</x:v>
      </x:c>
      <x:c r="K162" s="168"/>
      <x:c r="L162" s="168" t="str">
        <x:f>IF(OR(I162="Mastered",K162=""),"",K162+IF(J162&gt;=5,30,IF(J162=4,14,IF(J162=3,7,IF(J162=2,3,1)))))</x:f>
      </x:c>
      <x:c r="M162" s="171" t="str"/>
      <x:c r="N162" s="171" t="str"/>
      <x:c r="O162" s="171" t="str">
        <x:v>Draft — verify in context</x:v>
      </x:c>
      <x:c r="P162" s="167" t="str">
        <x:v>https://www.oxfordlearnersdictionaries.com/wordlists/oxford3000-5000</x:v>
      </x:c>
    </x:row>
    <x:row r="163" ht="26" customHeight="1">
      <x:c r="A163" s="167" t="n">
        <x:v>162</x:v>
      </x:c>
      <x:c r="B163" s="167" t="str">
        <x:v>capability</x:v>
      </x:c>
      <x:c r="C163" s="167" t="str">
        <x:v>n.</x:v>
      </x:c>
      <x:c r="D163" s="170" t="str">
        <x:v>здатність</x:v>
      </x:c>
      <x:c r="E163" s="167" t="str">
        <x:v>No</x:v>
      </x:c>
      <x:c r="F163" s="167"/>
      <x:c r="G163" s="167" t="str">
        <x:v>Core</x:v>
      </x:c>
      <x:c r="H163" s="167" t="str">
        <x:v>General</x:v>
      </x:c>
      <x:c r="I163" s="167" t="str">
        <x:v>Not Started</x:v>
      </x:c>
      <x:c r="J163" s="167" t="n">
        <x:v>0</x:v>
      </x:c>
      <x:c r="K163" s="168"/>
      <x:c r="L163" s="168" t="str">
        <x:f>IF(OR(I163="Mastered",K163=""),"",K163+IF(J163&gt;=5,30,IF(J163=4,14,IF(J163=3,7,IF(J163=2,3,1)))))</x:f>
      </x:c>
      <x:c r="M163" s="171" t="str"/>
      <x:c r="N163" s="171" t="str"/>
      <x:c r="O163" s="171" t="str">
        <x:v>Draft — verify in context</x:v>
      </x:c>
      <x:c r="P163" s="167" t="str">
        <x:v>https://www.oxfordlearnersdictionaries.com/wordlists/oxford3000-5000</x:v>
      </x:c>
    </x:row>
    <x:row r="164" ht="26" customHeight="1">
      <x:c r="A164" s="167" t="n">
        <x:v>163</x:v>
      </x:c>
      <x:c r="B164" s="167" t="str">
        <x:v>capitalism</x:v>
      </x:c>
      <x:c r="C164" s="167" t="str">
        <x:v>n.</x:v>
      </x:c>
      <x:c r="D164" s="170" t="str">
        <x:v>капіталізм</x:v>
      </x:c>
      <x:c r="E164" s="167" t="str">
        <x:v>No</x:v>
      </x:c>
      <x:c r="F164" s="167"/>
      <x:c r="G164" s="167" t="str">
        <x:v>High</x:v>
      </x:c>
      <x:c r="H164" s="167" t="str">
        <x:v>Economy &amp; work</x:v>
      </x:c>
      <x:c r="I164" s="167" t="str">
        <x:v>Not Started</x:v>
      </x:c>
      <x:c r="J164" s="167" t="n">
        <x:v>0</x:v>
      </x:c>
      <x:c r="K164" s="168"/>
      <x:c r="L164" s="168" t="str">
        <x:f>IF(OR(I164="Mastered",K164=""),"",K164+IF(J164&gt;=5,30,IF(J164=4,14,IF(J164=3,7,IF(J164=2,3,1)))))</x:f>
      </x:c>
      <x:c r="M164" s="171" t="str"/>
      <x:c r="N164" s="171" t="str"/>
      <x:c r="O164" s="171" t="str">
        <x:v>Draft — verify in context</x:v>
      </x:c>
      <x:c r="P164" s="167" t="str">
        <x:v>https://www.oxfordlearnersdictionaries.com/wordlists/oxford3000-5000</x:v>
      </x:c>
    </x:row>
    <x:row r="165" ht="26" customHeight="1">
      <x:c r="A165" s="167" t="n">
        <x:v>164</x:v>
      </x:c>
      <x:c r="B165" s="167" t="str">
        <x:v>capitalist</x:v>
      </x:c>
      <x:c r="C165" s="167" t="str">
        <x:v>adj.</x:v>
      </x:c>
      <x:c r="D165" s="170" t="str">
        <x:v>капіталіст</x:v>
      </x:c>
      <x:c r="E165" s="167" t="str">
        <x:v>No</x:v>
      </x:c>
      <x:c r="F165" s="167"/>
      <x:c r="G165" s="167" t="str">
        <x:v>High</x:v>
      </x:c>
      <x:c r="H165" s="167" t="str">
        <x:v>Economy &amp; work</x:v>
      </x:c>
      <x:c r="I165" s="167" t="str">
        <x:v>Not Started</x:v>
      </x:c>
      <x:c r="J165" s="167" t="n">
        <x:v>0</x:v>
      </x:c>
      <x:c r="K165" s="168"/>
      <x:c r="L165" s="168" t="str">
        <x:f>IF(OR(I165="Mastered",K165=""),"",K165+IF(J165&gt;=5,30,IF(J165=4,14,IF(J165=3,7,IF(J165=2,3,1)))))</x:f>
      </x:c>
      <x:c r="M165" s="171" t="str"/>
      <x:c r="N165" s="171" t="str"/>
      <x:c r="O165" s="171" t="str">
        <x:v>Draft — verify in context</x:v>
      </x:c>
      <x:c r="P165" s="167" t="str">
        <x:v>https://www.oxfordlearnersdictionaries.com/wordlists/oxford3000-5000</x:v>
      </x:c>
    </x:row>
    <x:row r="166" ht="26" customHeight="1">
      <x:c r="A166" s="167" t="n">
        <x:v>165</x:v>
      </x:c>
      <x:c r="B166" s="167" t="str">
        <x:v>cargo</x:v>
      </x:c>
      <x:c r="C166" s="167" t="str">
        <x:v>n.</x:v>
      </x:c>
      <x:c r="D166" s="170" t="str">
        <x:v>вантаж</x:v>
      </x:c>
      <x:c r="E166" s="167" t="str">
        <x:v>No</x:v>
      </x:c>
      <x:c r="F166" s="167"/>
      <x:c r="G166" s="167" t="str">
        <x:v>Core</x:v>
      </x:c>
      <x:c r="H166" s="167" t="str">
        <x:v>General</x:v>
      </x:c>
      <x:c r="I166" s="167" t="str">
        <x:v>Not Started</x:v>
      </x:c>
      <x:c r="J166" s="167" t="n">
        <x:v>0</x:v>
      </x:c>
      <x:c r="K166" s="168"/>
      <x:c r="L166" s="168" t="str">
        <x:f>IF(OR(I166="Mastered",K166=""),"",K166+IF(J166&gt;=5,30,IF(J166=4,14,IF(J166=3,7,IF(J166=2,3,1)))))</x:f>
      </x:c>
      <x:c r="M166" s="171" t="str"/>
      <x:c r="N166" s="171" t="str"/>
      <x:c r="O166" s="171" t="str">
        <x:v>Draft — verify in context</x:v>
      </x:c>
      <x:c r="P166" s="167" t="str">
        <x:v>https://www.oxfordlearnersdictionaries.com/wordlists/oxford3000-5000</x:v>
      </x:c>
    </x:row>
    <x:row r="167" ht="26" customHeight="1">
      <x:c r="A167" s="167" t="n">
        <x:v>166</x:v>
      </x:c>
      <x:c r="B167" s="167" t="str">
        <x:v>carriage</x:v>
      </x:c>
      <x:c r="C167" s="167" t="str">
        <x:v>n.</x:v>
      </x:c>
      <x:c r="D167" s="170" t="str">
        <x:v>карета</x:v>
      </x:c>
      <x:c r="E167" s="167" t="str">
        <x:v>No</x:v>
      </x:c>
      <x:c r="F167" s="167"/>
      <x:c r="G167" s="167" t="str">
        <x:v>Core</x:v>
      </x:c>
      <x:c r="H167" s="167" t="str">
        <x:v>General</x:v>
      </x:c>
      <x:c r="I167" s="167" t="str">
        <x:v>Not Started</x:v>
      </x:c>
      <x:c r="J167" s="167" t="n">
        <x:v>0</x:v>
      </x:c>
      <x:c r="K167" s="168"/>
      <x:c r="L167" s="168" t="str">
        <x:f>IF(OR(I167="Mastered",K167=""),"",K167+IF(J167&gt;=5,30,IF(J167=4,14,IF(J167=3,7,IF(J167=2,3,1)))))</x:f>
      </x:c>
      <x:c r="M167" s="171" t="str"/>
      <x:c r="N167" s="171" t="str"/>
      <x:c r="O167" s="171" t="str">
        <x:v>Draft — verify in context</x:v>
      </x:c>
      <x:c r="P167" s="167" t="str">
        <x:v>https://www.oxfordlearnersdictionaries.com/wordlists/oxford3000-5000</x:v>
      </x:c>
    </x:row>
    <x:row r="168" ht="26" customHeight="1">
      <x:c r="A168" s="167" t="n">
        <x:v>167</x:v>
      </x:c>
      <x:c r="B168" s="167" t="str">
        <x:v>carve</x:v>
      </x:c>
      <x:c r="C168" s="167" t="str">
        <x:v>v.</x:v>
      </x:c>
      <x:c r="D168" s="170" t="str">
        <x:v>вирізати</x:v>
      </x:c>
      <x:c r="E168" s="167" t="str">
        <x:v>No</x:v>
      </x:c>
      <x:c r="F168" s="167"/>
      <x:c r="G168" s="167" t="str">
        <x:v>Core</x:v>
      </x:c>
      <x:c r="H168" s="167" t="str">
        <x:v>General</x:v>
      </x:c>
      <x:c r="I168" s="167" t="str">
        <x:v>Not Started</x:v>
      </x:c>
      <x:c r="J168" s="167" t="n">
        <x:v>0</x:v>
      </x:c>
      <x:c r="K168" s="168"/>
      <x:c r="L168" s="168" t="str">
        <x:f>IF(OR(I168="Mastered",K168=""),"",K168+IF(J168&gt;=5,30,IF(J168=4,14,IF(J168=3,7,IF(J168=2,3,1)))))</x:f>
      </x:c>
      <x:c r="M168" s="171" t="str"/>
      <x:c r="N168" s="171" t="str"/>
      <x:c r="O168" s="171" t="str">
        <x:v>Draft — verify in context</x:v>
      </x:c>
      <x:c r="P168" s="167" t="str">
        <x:v>https://www.oxfordlearnersdictionaries.com/wordlists/oxford3000-5000</x:v>
      </x:c>
    </x:row>
    <x:row r="169" ht="26" customHeight="1">
      <x:c r="A169" s="167" t="n">
        <x:v>168</x:v>
      </x:c>
      <x:c r="B169" s="167" t="str">
        <x:v>casino</x:v>
      </x:c>
      <x:c r="C169" s="167" t="str">
        <x:v>n.</x:v>
      </x:c>
      <x:c r="D169" s="170" t="str">
        <x:v>казино</x:v>
      </x:c>
      <x:c r="E169" s="167" t="str">
        <x:v>No</x:v>
      </x:c>
      <x:c r="F169" s="167"/>
      <x:c r="G169" s="167" t="str">
        <x:v>Core</x:v>
      </x:c>
      <x:c r="H169" s="167" t="str">
        <x:v>General</x:v>
      </x:c>
      <x:c r="I169" s="167" t="str">
        <x:v>Not Started</x:v>
      </x:c>
      <x:c r="J169" s="167" t="n">
        <x:v>0</x:v>
      </x:c>
      <x:c r="K169" s="168"/>
      <x:c r="L169" s="168" t="str">
        <x:f>IF(OR(I169="Mastered",K169=""),"",K169+IF(J169&gt;=5,30,IF(J169=4,14,IF(J169=3,7,IF(J169=2,3,1)))))</x:f>
      </x:c>
      <x:c r="M169" s="171" t="str"/>
      <x:c r="N169" s="171" t="str"/>
      <x:c r="O169" s="171" t="str">
        <x:v>Draft — verify in context</x:v>
      </x:c>
      <x:c r="P169" s="167" t="str">
        <x:v>https://www.oxfordlearnersdictionaries.com/wordlists/oxford3000-5000</x:v>
      </x:c>
    </x:row>
    <x:row r="170" ht="26" customHeight="1">
      <x:c r="A170" s="167" t="n">
        <x:v>169</x:v>
      </x:c>
      <x:c r="B170" s="167" t="str">
        <x:v>casualty</x:v>
      </x:c>
      <x:c r="C170" s="167" t="str">
        <x:v>n.</x:v>
      </x:c>
      <x:c r="D170" s="170" t="str">
        <x:v>потерпілий</x:v>
      </x:c>
      <x:c r="E170" s="167" t="str">
        <x:v>No</x:v>
      </x:c>
      <x:c r="F170" s="167"/>
      <x:c r="G170" s="167" t="str">
        <x:v>Core</x:v>
      </x:c>
      <x:c r="H170" s="167" t="str">
        <x:v>General</x:v>
      </x:c>
      <x:c r="I170" s="167" t="str">
        <x:v>Not Started</x:v>
      </x:c>
      <x:c r="J170" s="167" t="n">
        <x:v>0</x:v>
      </x:c>
      <x:c r="K170" s="168"/>
      <x:c r="L170" s="168" t="str">
        <x:f>IF(OR(I170="Mastered",K170=""),"",K170+IF(J170&gt;=5,30,IF(J170=4,14,IF(J170=3,7,IF(J170=2,3,1)))))</x:f>
      </x:c>
      <x:c r="M170" s="171" t="str"/>
      <x:c r="N170" s="171" t="str"/>
      <x:c r="O170" s="171" t="str">
        <x:v>Draft — verify in context</x:v>
      </x:c>
      <x:c r="P170" s="167" t="str">
        <x:v>https://www.oxfordlearnersdictionaries.com/wordlists/oxford3000-5000</x:v>
      </x:c>
    </x:row>
    <x:row r="171" ht="26" customHeight="1">
      <x:c r="A171" s="167" t="n">
        <x:v>170</x:v>
      </x:c>
      <x:c r="B171" s="167" t="str">
        <x:v>catalogue</x:v>
      </x:c>
      <x:c r="C171" s="167" t="str">
        <x:v>n.</x:v>
      </x:c>
      <x:c r="D171" s="170" t="str">
        <x:v>каталог</x:v>
      </x:c>
      <x:c r="E171" s="167" t="str">
        <x:v>No</x:v>
      </x:c>
      <x:c r="F171" s="167"/>
      <x:c r="G171" s="167" t="str">
        <x:v>Core</x:v>
      </x:c>
      <x:c r="H171" s="167" t="str">
        <x:v>General</x:v>
      </x:c>
      <x:c r="I171" s="167" t="str">
        <x:v>Not Started</x:v>
      </x:c>
      <x:c r="J171" s="167" t="n">
        <x:v>0</x:v>
      </x:c>
      <x:c r="K171" s="168"/>
      <x:c r="L171" s="168" t="str">
        <x:f>IF(OR(I171="Mastered",K171=""),"",K171+IF(J171&gt;=5,30,IF(J171=4,14,IF(J171=3,7,IF(J171=2,3,1)))))</x:f>
      </x:c>
      <x:c r="M171" s="171" t="str"/>
      <x:c r="N171" s="171" t="str"/>
      <x:c r="O171" s="171" t="str">
        <x:v>Draft — verify in context</x:v>
      </x:c>
      <x:c r="P171" s="167" t="str">
        <x:v>https://www.oxfordlearnersdictionaries.com/wordlists/oxford3000-5000</x:v>
      </x:c>
    </x:row>
    <x:row r="172" ht="26" customHeight="1">
      <x:c r="A172" s="167" t="n">
        <x:v>171</x:v>
      </x:c>
      <x:c r="B172" s="167" t="str">
        <x:v>cater</x:v>
      </x:c>
      <x:c r="C172" s="167" t="str">
        <x:v>v.</x:v>
      </x:c>
      <x:c r="D172" s="170" t="str">
        <x:v>обслуговувати</x:v>
      </x:c>
      <x:c r="E172" s="167" t="str">
        <x:v>No</x:v>
      </x:c>
      <x:c r="F172" s="167"/>
      <x:c r="G172" s="167" t="str">
        <x:v>Core</x:v>
      </x:c>
      <x:c r="H172" s="167" t="str">
        <x:v>General</x:v>
      </x:c>
      <x:c r="I172" s="167" t="str">
        <x:v>Not Started</x:v>
      </x:c>
      <x:c r="J172" s="167" t="n">
        <x:v>0</x:v>
      </x:c>
      <x:c r="K172" s="168"/>
      <x:c r="L172" s="168" t="str">
        <x:f>IF(OR(I172="Mastered",K172=""),"",K172+IF(J172&gt;=5,30,IF(J172=4,14,IF(J172=3,7,IF(J172=2,3,1)))))</x:f>
      </x:c>
      <x:c r="M172" s="171" t="str"/>
      <x:c r="N172" s="171" t="str"/>
      <x:c r="O172" s="171" t="str">
        <x:v>Draft — verify in context</x:v>
      </x:c>
      <x:c r="P172" s="167" t="str">
        <x:v>https://www.oxfordlearnersdictionaries.com/wordlists/oxford3000-5000</x:v>
      </x:c>
    </x:row>
    <x:row r="173" ht="26" customHeight="1">
      <x:c r="A173" s="167" t="n">
        <x:v>172</x:v>
      </x:c>
      <x:c r="B173" s="167" t="str">
        <x:v>cattle</x:v>
      </x:c>
      <x:c r="C173" s="167" t="str">
        <x:v>n.</x:v>
      </x:c>
      <x:c r="D173" s="170" t="str">
        <x:v>худоба</x:v>
      </x:c>
      <x:c r="E173" s="167" t="str">
        <x:v>No</x:v>
      </x:c>
      <x:c r="F173" s="167"/>
      <x:c r="G173" s="167" t="str">
        <x:v>Core</x:v>
      </x:c>
      <x:c r="H173" s="167" t="str">
        <x:v>General</x:v>
      </x:c>
      <x:c r="I173" s="167" t="str">
        <x:v>Not Started</x:v>
      </x:c>
      <x:c r="J173" s="167" t="n">
        <x:v>0</x:v>
      </x:c>
      <x:c r="K173" s="168"/>
      <x:c r="L173" s="168" t="str">
        <x:f>IF(OR(I173="Mastered",K173=""),"",K173+IF(J173&gt;=5,30,IF(J173=4,14,IF(J173=3,7,IF(J173=2,3,1)))))</x:f>
      </x:c>
      <x:c r="M173" s="171" t="str"/>
      <x:c r="N173" s="171" t="str"/>
      <x:c r="O173" s="171" t="str">
        <x:v>Draft — verify in context</x:v>
      </x:c>
      <x:c r="P173" s="167" t="str">
        <x:v>https://www.oxfordlearnersdictionaries.com/wordlists/oxford3000-5000</x:v>
      </x:c>
    </x:row>
    <x:row r="174" ht="26" customHeight="1">
      <x:c r="A174" s="167" t="n">
        <x:v>173</x:v>
      </x:c>
      <x:c r="B174" s="167" t="str">
        <x:v>caution</x:v>
      </x:c>
      <x:c r="C174" s="167" t="str">
        <x:v>n.</x:v>
      </x:c>
      <x:c r="D174" s="170" t="str">
        <x:v>обережність</x:v>
      </x:c>
      <x:c r="E174" s="167" t="str">
        <x:v>No</x:v>
      </x:c>
      <x:c r="F174" s="167"/>
      <x:c r="G174" s="167" t="str">
        <x:v>Core</x:v>
      </x:c>
      <x:c r="H174" s="167" t="str">
        <x:v>General</x:v>
      </x:c>
      <x:c r="I174" s="167" t="str">
        <x:v>Not Started</x:v>
      </x:c>
      <x:c r="J174" s="167" t="n">
        <x:v>0</x:v>
      </x:c>
      <x:c r="K174" s="168"/>
      <x:c r="L174" s="168" t="str">
        <x:f>IF(OR(I174="Mastered",K174=""),"",K174+IF(J174&gt;=5,30,IF(J174=4,14,IF(J174=3,7,IF(J174=2,3,1)))))</x:f>
      </x:c>
      <x:c r="M174" s="171" t="str"/>
      <x:c r="N174" s="171" t="str"/>
      <x:c r="O174" s="171" t="str">
        <x:v>Draft — verify in context</x:v>
      </x:c>
      <x:c r="P174" s="167" t="str">
        <x:v>https://www.oxfordlearnersdictionaries.com/wordlists/oxford3000-5000</x:v>
      </x:c>
    </x:row>
    <x:row r="175" ht="26" customHeight="1">
      <x:c r="A175" s="167" t="n">
        <x:v>174</x:v>
      </x:c>
      <x:c r="B175" s="167" t="str">
        <x:v>cautious</x:v>
      </x:c>
      <x:c r="C175" s="167" t="str">
        <x:v>adj.</x:v>
      </x:c>
      <x:c r="D175" s="170" t="str">
        <x:v>обережний</x:v>
      </x:c>
      <x:c r="E175" s="167" t="str">
        <x:v>No</x:v>
      </x:c>
      <x:c r="F175" s="167"/>
      <x:c r="G175" s="167" t="str">
        <x:v>Core</x:v>
      </x:c>
      <x:c r="H175" s="167" t="str">
        <x:v>General</x:v>
      </x:c>
      <x:c r="I175" s="167" t="str">
        <x:v>Not Started</x:v>
      </x:c>
      <x:c r="J175" s="167" t="n">
        <x:v>0</x:v>
      </x:c>
      <x:c r="K175" s="168"/>
      <x:c r="L175" s="168" t="str">
        <x:f>IF(OR(I175="Mastered",K175=""),"",K175+IF(J175&gt;=5,30,IF(J175=4,14,IF(J175=3,7,IF(J175=2,3,1)))))</x:f>
      </x:c>
      <x:c r="M175" s="171" t="str"/>
      <x:c r="N175" s="171" t="str"/>
      <x:c r="O175" s="171" t="str">
        <x:v>Draft — verify in context</x:v>
      </x:c>
      <x:c r="P175" s="167" t="str">
        <x:v>https://www.oxfordlearnersdictionaries.com/wordlists/oxford3000-5000</x:v>
      </x:c>
    </x:row>
    <x:row r="176" ht="26" customHeight="1">
      <x:c r="A176" s="167" t="n">
        <x:v>175</x:v>
      </x:c>
      <x:c r="B176" s="167" t="str">
        <x:v>cease</x:v>
      </x:c>
      <x:c r="C176" s="167" t="str">
        <x:v>v.</x:v>
      </x:c>
      <x:c r="D176" s="170" t="str">
        <x:v>припинити</x:v>
      </x:c>
      <x:c r="E176" s="167" t="str">
        <x:v>No</x:v>
      </x:c>
      <x:c r="F176" s="167"/>
      <x:c r="G176" s="167" t="str">
        <x:v>Core</x:v>
      </x:c>
      <x:c r="H176" s="167" t="str">
        <x:v>General</x:v>
      </x:c>
      <x:c r="I176" s="167" t="str">
        <x:v>Not Started</x:v>
      </x:c>
      <x:c r="J176" s="167" t="n">
        <x:v>0</x:v>
      </x:c>
      <x:c r="K176" s="168"/>
      <x:c r="L176" s="168" t="str">
        <x:f>IF(OR(I176="Mastered",K176=""),"",K176+IF(J176&gt;=5,30,IF(J176=4,14,IF(J176=3,7,IF(J176=2,3,1)))))</x:f>
      </x:c>
      <x:c r="M176" s="171" t="str"/>
      <x:c r="N176" s="171" t="str"/>
      <x:c r="O176" s="171" t="str">
        <x:v>Draft — verify in context</x:v>
      </x:c>
      <x:c r="P176" s="167" t="str">
        <x:v>https://www.oxfordlearnersdictionaries.com/wordlists/oxford3000-5000</x:v>
      </x:c>
    </x:row>
    <x:row r="177" ht="26" customHeight="1">
      <x:c r="A177" s="167" t="n">
        <x:v>176</x:v>
      </x:c>
      <x:c r="B177" s="167" t="str">
        <x:v>cemetery</x:v>
      </x:c>
      <x:c r="C177" s="167" t="str">
        <x:v>n.</x:v>
      </x:c>
      <x:c r="D177" s="170" t="str">
        <x:v>кладовище</x:v>
      </x:c>
      <x:c r="E177" s="167" t="str">
        <x:v>No</x:v>
      </x:c>
      <x:c r="F177" s="167"/>
      <x:c r="G177" s="167" t="str">
        <x:v>Core</x:v>
      </x:c>
      <x:c r="H177" s="167" t="str">
        <x:v>General</x:v>
      </x:c>
      <x:c r="I177" s="167" t="str">
        <x:v>Not Started</x:v>
      </x:c>
      <x:c r="J177" s="167" t="n">
        <x:v>0</x:v>
      </x:c>
      <x:c r="K177" s="168"/>
      <x:c r="L177" s="168" t="str">
        <x:f>IF(OR(I177="Mastered",K177=""),"",K177+IF(J177&gt;=5,30,IF(J177=4,14,IF(J177=3,7,IF(J177=2,3,1)))))</x:f>
      </x:c>
      <x:c r="M177" s="171" t="str"/>
      <x:c r="N177" s="171" t="str"/>
      <x:c r="O177" s="171" t="str">
        <x:v>Draft — verify in context</x:v>
      </x:c>
      <x:c r="P177" s="167" t="str">
        <x:v>https://www.oxfordlearnersdictionaries.com/wordlists/oxford3000-5000</x:v>
      </x:c>
    </x:row>
    <x:row r="178" ht="26" customHeight="1">
      <x:c r="A178" s="167" t="n">
        <x:v>177</x:v>
      </x:c>
      <x:c r="B178" s="167" t="str">
        <x:v>chamber</x:v>
      </x:c>
      <x:c r="C178" s="167" t="str">
        <x:v>n.</x:v>
      </x:c>
      <x:c r="D178" s="170" t="str">
        <x:v>камера</x:v>
      </x:c>
      <x:c r="E178" s="167" t="str">
        <x:v>No</x:v>
      </x:c>
      <x:c r="F178" s="167"/>
      <x:c r="G178" s="167" t="str">
        <x:v>Core</x:v>
      </x:c>
      <x:c r="H178" s="167" t="str">
        <x:v>General</x:v>
      </x:c>
      <x:c r="I178" s="167" t="str">
        <x:v>Not Started</x:v>
      </x:c>
      <x:c r="J178" s="167" t="n">
        <x:v>0</x:v>
      </x:c>
      <x:c r="K178" s="168"/>
      <x:c r="L178" s="168" t="str">
        <x:f>IF(OR(I178="Mastered",K178=""),"",K178+IF(J178&gt;=5,30,IF(J178=4,14,IF(J178=3,7,IF(J178=2,3,1)))))</x:f>
      </x:c>
      <x:c r="M178" s="171" t="str"/>
      <x:c r="N178" s="171" t="str"/>
      <x:c r="O178" s="171" t="str">
        <x:v>Draft — verify in context</x:v>
      </x:c>
      <x:c r="P178" s="167" t="str">
        <x:v>https://www.oxfordlearnersdictionaries.com/wordlists/oxford3000-5000</x:v>
      </x:c>
    </x:row>
    <x:row r="179" ht="26" customHeight="1">
      <x:c r="A179" s="167" t="n">
        <x:v>178</x:v>
      </x:c>
      <x:c r="B179" s="167" t="str">
        <x:v>chaos</x:v>
      </x:c>
      <x:c r="C179" s="167" t="str">
        <x:v>n.</x:v>
      </x:c>
      <x:c r="D179" s="170" t="str">
        <x:v>хаос</x:v>
      </x:c>
      <x:c r="E179" s="167" t="str">
        <x:v>No</x:v>
      </x:c>
      <x:c r="F179" s="167"/>
      <x:c r="G179" s="167" t="str">
        <x:v>Core</x:v>
      </x:c>
      <x:c r="H179" s="167" t="str">
        <x:v>General</x:v>
      </x:c>
      <x:c r="I179" s="167" t="str">
        <x:v>Not Started</x:v>
      </x:c>
      <x:c r="J179" s="167" t="n">
        <x:v>0</x:v>
      </x:c>
      <x:c r="K179" s="168"/>
      <x:c r="L179" s="168" t="str">
        <x:f>IF(OR(I179="Mastered",K179=""),"",K179+IF(J179&gt;=5,30,IF(J179=4,14,IF(J179=3,7,IF(J179=2,3,1)))))</x:f>
      </x:c>
      <x:c r="M179" s="171" t="str"/>
      <x:c r="N179" s="171" t="str"/>
      <x:c r="O179" s="171" t="str">
        <x:v>Draft — verify in context</x:v>
      </x:c>
      <x:c r="P179" s="167" t="str">
        <x:v>https://www.oxfordlearnersdictionaries.com/wordlists/oxford3000-5000</x:v>
      </x:c>
    </x:row>
    <x:row r="180" ht="26" customHeight="1">
      <x:c r="A180" s="167" t="n">
        <x:v>179</x:v>
      </x:c>
      <x:c r="B180" s="167" t="str">
        <x:v>characterize</x:v>
      </x:c>
      <x:c r="C180" s="167" t="str">
        <x:v>v.</x:v>
      </x:c>
      <x:c r="D180" s="170" t="str">
        <x:v>характеризувати</x:v>
      </x:c>
      <x:c r="E180" s="167" t="str">
        <x:v>No</x:v>
      </x:c>
      <x:c r="F180" s="167"/>
      <x:c r="G180" s="167" t="str">
        <x:v>Core</x:v>
      </x:c>
      <x:c r="H180" s="167" t="str">
        <x:v>General</x:v>
      </x:c>
      <x:c r="I180" s="167" t="str">
        <x:v>Not Started</x:v>
      </x:c>
      <x:c r="J180" s="167" t="n">
        <x:v>0</x:v>
      </x:c>
      <x:c r="K180" s="168"/>
      <x:c r="L180" s="168" t="str">
        <x:f>IF(OR(I180="Mastered",K180=""),"",K180+IF(J180&gt;=5,30,IF(J180=4,14,IF(J180=3,7,IF(J180=2,3,1)))))</x:f>
      </x:c>
      <x:c r="M180" s="171" t="str"/>
      <x:c r="N180" s="171" t="str"/>
      <x:c r="O180" s="171" t="str">
        <x:v>Draft — verify in context</x:v>
      </x:c>
      <x:c r="P180" s="167" t="str">
        <x:v>https://www.oxfordlearnersdictionaries.com/wordlists/oxford3000-5000</x:v>
      </x:c>
    </x:row>
    <x:row r="181" ht="26" customHeight="1">
      <x:c r="A181" s="167" t="n">
        <x:v>180</x:v>
      </x:c>
      <x:c r="B181" s="167" t="str">
        <x:v>charm</x:v>
      </x:c>
      <x:c r="C181" s="167" t="str">
        <x:v>n.</x:v>
      </x:c>
      <x:c r="D181" s="170" t="str">
        <x:v>чарівність</x:v>
      </x:c>
      <x:c r="E181" s="167" t="str">
        <x:v>No</x:v>
      </x:c>
      <x:c r="F181" s="167"/>
      <x:c r="G181" s="167" t="str">
        <x:v>Core</x:v>
      </x:c>
      <x:c r="H181" s="167" t="str">
        <x:v>General</x:v>
      </x:c>
      <x:c r="I181" s="167" t="str">
        <x:v>Not Started</x:v>
      </x:c>
      <x:c r="J181" s="167" t="n">
        <x:v>0</x:v>
      </x:c>
      <x:c r="K181" s="168"/>
      <x:c r="L181" s="168" t="str">
        <x:f>IF(OR(I181="Mastered",K181=""),"",K181+IF(J181&gt;=5,30,IF(J181=4,14,IF(J181=3,7,IF(J181=2,3,1)))))</x:f>
      </x:c>
      <x:c r="M181" s="171" t="str"/>
      <x:c r="N181" s="171" t="str"/>
      <x:c r="O181" s="171" t="str">
        <x:v>Draft — verify in context</x:v>
      </x:c>
      <x:c r="P181" s="167" t="str">
        <x:v>https://www.oxfordlearnersdictionaries.com/wordlists/oxford3000-5000</x:v>
      </x:c>
    </x:row>
    <x:row r="182" ht="26" customHeight="1">
      <x:c r="A182" s="167" t="n">
        <x:v>181</x:v>
      </x:c>
      <x:c r="B182" s="167" t="str">
        <x:v>charter</x:v>
      </x:c>
      <x:c r="C182" s="167" t="str">
        <x:v>n.</x:v>
      </x:c>
      <x:c r="D182" s="170" t="str">
        <x:v>статут</x:v>
      </x:c>
      <x:c r="E182" s="167" t="str">
        <x:v>No</x:v>
      </x:c>
      <x:c r="F182" s="167"/>
      <x:c r="G182" s="167" t="str">
        <x:v>Core</x:v>
      </x:c>
      <x:c r="H182" s="167" t="str">
        <x:v>General</x:v>
      </x:c>
      <x:c r="I182" s="167" t="str">
        <x:v>Not Started</x:v>
      </x:c>
      <x:c r="J182" s="167" t="n">
        <x:v>0</x:v>
      </x:c>
      <x:c r="K182" s="168"/>
      <x:c r="L182" s="168" t="str">
        <x:f>IF(OR(I182="Mastered",K182=""),"",K182+IF(J182&gt;=5,30,IF(J182=4,14,IF(J182=3,7,IF(J182=2,3,1)))))</x:f>
      </x:c>
      <x:c r="M182" s="171" t="str"/>
      <x:c r="N182" s="171" t="str"/>
      <x:c r="O182" s="171" t="str">
        <x:v>Draft — verify in context</x:v>
      </x:c>
      <x:c r="P182" s="167" t="str">
        <x:v>https://www.oxfordlearnersdictionaries.com/wordlists/oxford3000-5000</x:v>
      </x:c>
    </x:row>
    <x:row r="183" ht="26" customHeight="1">
      <x:c r="A183" s="167" t="n">
        <x:v>182</x:v>
      </x:c>
      <x:c r="B183" s="167" t="str">
        <x:v>chronic</x:v>
      </x:c>
      <x:c r="C183" s="167" t="str">
        <x:v>adj.</x:v>
      </x:c>
      <x:c r="D183" s="170" t="str">
        <x:v>хронічний</x:v>
      </x:c>
      <x:c r="E183" s="167" t="str">
        <x:v>No</x:v>
      </x:c>
      <x:c r="F183" s="167"/>
      <x:c r="G183" s="167" t="str">
        <x:v>High</x:v>
      </x:c>
      <x:c r="H183" s="167" t="str">
        <x:v>Health</x:v>
      </x:c>
      <x:c r="I183" s="167" t="str">
        <x:v>Not Started</x:v>
      </x:c>
      <x:c r="J183" s="167" t="n">
        <x:v>0</x:v>
      </x:c>
      <x:c r="K183" s="168"/>
      <x:c r="L183" s="168" t="str">
        <x:f>IF(OR(I183="Mastered",K183=""),"",K183+IF(J183&gt;=5,30,IF(J183=4,14,IF(J183=3,7,IF(J183=2,3,1)))))</x:f>
      </x:c>
      <x:c r="M183" s="171" t="str"/>
      <x:c r="N183" s="171" t="str"/>
      <x:c r="O183" s="171" t="str">
        <x:v>Draft — verify in context</x:v>
      </x:c>
      <x:c r="P183" s="167" t="str">
        <x:v>https://www.oxfordlearnersdictionaries.com/wordlists/oxford3000-5000</x:v>
      </x:c>
    </x:row>
    <x:row r="184" ht="26" customHeight="1">
      <x:c r="A184" s="167" t="n">
        <x:v>183</x:v>
      </x:c>
      <x:c r="B184" s="167" t="str">
        <x:v>chunk</x:v>
      </x:c>
      <x:c r="C184" s="167" t="str">
        <x:v>n.</x:v>
      </x:c>
      <x:c r="D184" s="170" t="str">
        <x:v>шматок</x:v>
      </x:c>
      <x:c r="E184" s="167" t="str">
        <x:v>No</x:v>
      </x:c>
      <x:c r="F184" s="167"/>
      <x:c r="G184" s="167" t="str">
        <x:v>Core</x:v>
      </x:c>
      <x:c r="H184" s="167" t="str">
        <x:v>General</x:v>
      </x:c>
      <x:c r="I184" s="167" t="str">
        <x:v>Not Started</x:v>
      </x:c>
      <x:c r="J184" s="167" t="n">
        <x:v>0</x:v>
      </x:c>
      <x:c r="K184" s="168"/>
      <x:c r="L184" s="168" t="str">
        <x:f>IF(OR(I184="Mastered",K184=""),"",K184+IF(J184&gt;=5,30,IF(J184=4,14,IF(J184=3,7,IF(J184=2,3,1)))))</x:f>
      </x:c>
      <x:c r="M184" s="171" t="str"/>
      <x:c r="N184" s="171" t="str"/>
      <x:c r="O184" s="171" t="str">
        <x:v>Draft — verify in context</x:v>
      </x:c>
      <x:c r="P184" s="167" t="str">
        <x:v>https://www.oxfordlearnersdictionaries.com/wordlists/oxford3000-5000</x:v>
      </x:c>
    </x:row>
    <x:row r="185" ht="26" customHeight="1">
      <x:c r="A185" s="167" t="n">
        <x:v>184</x:v>
      </x:c>
      <x:c r="B185" s="167" t="str">
        <x:v>circulate</x:v>
      </x:c>
      <x:c r="C185" s="167" t="str">
        <x:v>v.</x:v>
      </x:c>
      <x:c r="D185" s="170" t="str">
        <x:v>циркулювати</x:v>
      </x:c>
      <x:c r="E185" s="167" t="str">
        <x:v>No</x:v>
      </x:c>
      <x:c r="F185" s="167"/>
      <x:c r="G185" s="167" t="str">
        <x:v>Core</x:v>
      </x:c>
      <x:c r="H185" s="167" t="str">
        <x:v>General</x:v>
      </x:c>
      <x:c r="I185" s="167" t="str">
        <x:v>Not Started</x:v>
      </x:c>
      <x:c r="J185" s="167" t="n">
        <x:v>0</x:v>
      </x:c>
      <x:c r="K185" s="168"/>
      <x:c r="L185" s="168" t="str">
        <x:f>IF(OR(I185="Mastered",K185=""),"",K185+IF(J185&gt;=5,30,IF(J185=4,14,IF(J185=3,7,IF(J185=2,3,1)))))</x:f>
      </x:c>
      <x:c r="M185" s="171" t="str"/>
      <x:c r="N185" s="171" t="str"/>
      <x:c r="O185" s="171" t="str">
        <x:v>Draft — verify in context</x:v>
      </x:c>
      <x:c r="P185" s="167" t="str">
        <x:v>https://www.oxfordlearnersdictionaries.com/wordlists/oxford3000-5000</x:v>
      </x:c>
    </x:row>
    <x:row r="186" ht="26" customHeight="1">
      <x:c r="A186" s="167" t="n">
        <x:v>185</x:v>
      </x:c>
      <x:c r="B186" s="167" t="str">
        <x:v>circulation</x:v>
      </x:c>
      <x:c r="C186" s="167" t="str">
        <x:v>n.</x:v>
      </x:c>
      <x:c r="D186" s="170" t="str">
        <x:v>обіг</x:v>
      </x:c>
      <x:c r="E186" s="167" t="str">
        <x:v>No</x:v>
      </x:c>
      <x:c r="F186" s="167"/>
      <x:c r="G186" s="167" t="str">
        <x:v>Core</x:v>
      </x:c>
      <x:c r="H186" s="167" t="str">
        <x:v>General</x:v>
      </x:c>
      <x:c r="I186" s="167" t="str">
        <x:v>Not Started</x:v>
      </x:c>
      <x:c r="J186" s="167" t="n">
        <x:v>0</x:v>
      </x:c>
      <x:c r="K186" s="168"/>
      <x:c r="L186" s="168" t="str">
        <x:f>IF(OR(I186="Mastered",K186=""),"",K186+IF(J186&gt;=5,30,IF(J186=4,14,IF(J186=3,7,IF(J186=2,3,1)))))</x:f>
      </x:c>
      <x:c r="M186" s="171" t="str"/>
      <x:c r="N186" s="171" t="str"/>
      <x:c r="O186" s="171" t="str">
        <x:v>Draft — verify in context</x:v>
      </x:c>
      <x:c r="P186" s="167" t="str">
        <x:v>https://www.oxfordlearnersdictionaries.com/wordlists/oxford3000-5000</x:v>
      </x:c>
    </x:row>
    <x:row r="187" ht="26" customHeight="1">
      <x:c r="A187" s="167" t="n">
        <x:v>186</x:v>
      </x:c>
      <x:c r="B187" s="167" t="str">
        <x:v>citizenship</x:v>
      </x:c>
      <x:c r="C187" s="167" t="str">
        <x:v>n.</x:v>
      </x:c>
      <x:c r="D187" s="170" t="str">
        <x:v>громадянство</x:v>
      </x:c>
      <x:c r="E187" s="167" t="str">
        <x:v>No</x:v>
      </x:c>
      <x:c r="F187" s="167"/>
      <x:c r="G187" s="167" t="str">
        <x:v>High</x:v>
      </x:c>
      <x:c r="H187" s="167" t="str">
        <x:v>Society &amp; culture</x:v>
      </x:c>
      <x:c r="I187" s="167" t="str">
        <x:v>Not Started</x:v>
      </x:c>
      <x:c r="J187" s="167" t="n">
        <x:v>0</x:v>
      </x:c>
      <x:c r="K187" s="168"/>
      <x:c r="L187" s="168" t="str">
        <x:f>IF(OR(I187="Mastered",K187=""),"",K187+IF(J187&gt;=5,30,IF(J187=4,14,IF(J187=3,7,IF(J187=2,3,1)))))</x:f>
      </x:c>
      <x:c r="M187" s="171" t="str"/>
      <x:c r="N187" s="171" t="str"/>
      <x:c r="O187" s="171" t="str">
        <x:v>Draft — verify in context</x:v>
      </x:c>
      <x:c r="P187" s="167" t="str">
        <x:v>https://www.oxfordlearnersdictionaries.com/wordlists/oxford3000-5000</x:v>
      </x:c>
    </x:row>
    <x:row r="188" ht="26" customHeight="1">
      <x:c r="A188" s="167" t="n">
        <x:v>187</x:v>
      </x:c>
      <x:c r="B188" s="167" t="str">
        <x:v>civic</x:v>
      </x:c>
      <x:c r="C188" s="167" t="str">
        <x:v>adj.</x:v>
      </x:c>
      <x:c r="D188" s="170" t="str">
        <x:v>громадянський</x:v>
      </x:c>
      <x:c r="E188" s="167" t="str">
        <x:v>No</x:v>
      </x:c>
      <x:c r="F188" s="167"/>
      <x:c r="G188" s="167" t="str">
        <x:v>Core</x:v>
      </x:c>
      <x:c r="H188" s="167" t="str">
        <x:v>General</x:v>
      </x:c>
      <x:c r="I188" s="167" t="str">
        <x:v>Not Started</x:v>
      </x:c>
      <x:c r="J188" s="167" t="n">
        <x:v>0</x:v>
      </x:c>
      <x:c r="K188" s="168"/>
      <x:c r="L188" s="168" t="str">
        <x:f>IF(OR(I188="Mastered",K188=""),"",K188+IF(J188&gt;=5,30,IF(J188=4,14,IF(J188=3,7,IF(J188=2,3,1)))))</x:f>
      </x:c>
      <x:c r="M188" s="171" t="str"/>
      <x:c r="N188" s="171" t="str"/>
      <x:c r="O188" s="171" t="str">
        <x:v>Draft — verify in context</x:v>
      </x:c>
      <x:c r="P188" s="167" t="str">
        <x:v>https://www.oxfordlearnersdictionaries.com/wordlists/oxford3000-5000</x:v>
      </x:c>
    </x:row>
    <x:row r="189" ht="26" customHeight="1">
      <x:c r="A189" s="167" t="n">
        <x:v>188</x:v>
      </x:c>
      <x:c r="B189" s="167" t="str">
        <x:v>civilian</x:v>
      </x:c>
      <x:c r="C189" s="167" t="str">
        <x:v>n., adj.</x:v>
      </x:c>
      <x:c r="D189" s="170" t="str">
        <x:v>цивільний</x:v>
      </x:c>
      <x:c r="E189" s="167" t="str">
        <x:v>No</x:v>
      </x:c>
      <x:c r="F189" s="167"/>
      <x:c r="G189" s="167" t="str">
        <x:v>Core</x:v>
      </x:c>
      <x:c r="H189" s="167" t="str">
        <x:v>General</x:v>
      </x:c>
      <x:c r="I189" s="167" t="str">
        <x:v>Not Started</x:v>
      </x:c>
      <x:c r="J189" s="167" t="n">
        <x:v>0</x:v>
      </x:c>
      <x:c r="K189" s="168"/>
      <x:c r="L189" s="168" t="str">
        <x:f>IF(OR(I189="Mastered",K189=""),"",K189+IF(J189&gt;=5,30,IF(J189=4,14,IF(J189=3,7,IF(J189=2,3,1)))))</x:f>
      </x:c>
      <x:c r="M189" s="171" t="str"/>
      <x:c r="N189" s="171" t="str"/>
      <x:c r="O189" s="171" t="str">
        <x:v>Draft — verify in context</x:v>
      </x:c>
      <x:c r="P189" s="167" t="str">
        <x:v>https://www.oxfordlearnersdictionaries.com/wordlists/oxford3000-5000</x:v>
      </x:c>
    </x:row>
    <x:row r="190" ht="26" customHeight="1">
      <x:c r="A190" s="167" t="n">
        <x:v>189</x:v>
      </x:c>
      <x:c r="B190" s="167" t="str">
        <x:v>clarity</x:v>
      </x:c>
      <x:c r="C190" s="167" t="str">
        <x:v>n.</x:v>
      </x:c>
      <x:c r="D190" s="170" t="str">
        <x:v>ясність</x:v>
      </x:c>
      <x:c r="E190" s="167" t="str">
        <x:v>Yes</x:v>
      </x:c>
      <x:c r="F190" s="167" t="n">
        <x:v>8</x:v>
      </x:c>
      <x:c r="G190" s="167" t="str">
        <x:v>High</x:v>
      </x:c>
      <x:c r="H190" s="167" t="str">
        <x:v>General</x:v>
      </x:c>
      <x:c r="I190" s="167" t="str">
        <x:v>Not Started</x:v>
      </x:c>
      <x:c r="J190" s="167" t="n">
        <x:v>0</x:v>
      </x:c>
      <x:c r="K190" s="168"/>
      <x:c r="L190" s="168" t="str">
        <x:f>IF(OR(I190="Mastered",K190=""),"",K190+IF(J190&gt;=5,30,IF(J190=4,14,IF(J190=3,7,IF(J190=2,3,1)))))</x:f>
      </x:c>
      <x:c r="M190" s="171" t="str"/>
      <x:c r="N190" s="171" t="str"/>
      <x:c r="O190" s="171" t="str">
        <x:v>Draft — verify in context</x:v>
      </x:c>
      <x:c r="P190" s="167" t="str">
        <x:v>https://www.oxfordlearnersdictionaries.com/wordlists/oxford3000-5000</x:v>
      </x:c>
    </x:row>
    <x:row r="191" ht="26" customHeight="1">
      <x:c r="A191" s="167" t="n">
        <x:v>190</x:v>
      </x:c>
      <x:c r="B191" s="167" t="str">
        <x:v>clash</x:v>
      </x:c>
      <x:c r="C191" s="167" t="str">
        <x:v>n.</x:v>
      </x:c>
      <x:c r="D191" s="170" t="str">
        <x:v>зіткнення</x:v>
      </x:c>
      <x:c r="E191" s="167" t="str">
        <x:v>No</x:v>
      </x:c>
      <x:c r="F191" s="167"/>
      <x:c r="G191" s="167" t="str">
        <x:v>Core</x:v>
      </x:c>
      <x:c r="H191" s="167" t="str">
        <x:v>General</x:v>
      </x:c>
      <x:c r="I191" s="167" t="str">
        <x:v>Not Started</x:v>
      </x:c>
      <x:c r="J191" s="167" t="n">
        <x:v>0</x:v>
      </x:c>
      <x:c r="K191" s="168"/>
      <x:c r="L191" s="168" t="str">
        <x:f>IF(OR(I191="Mastered",K191=""),"",K191+IF(J191&gt;=5,30,IF(J191=4,14,IF(J191=3,7,IF(J191=2,3,1)))))</x:f>
      </x:c>
      <x:c r="M191" s="171" t="str"/>
      <x:c r="N191" s="171" t="str"/>
      <x:c r="O191" s="171" t="str">
        <x:v>Draft — verify in context</x:v>
      </x:c>
      <x:c r="P191" s="167" t="str">
        <x:v>https://www.oxfordlearnersdictionaries.com/wordlists/oxford3000-5000</x:v>
      </x:c>
    </x:row>
    <x:row r="192" ht="26" customHeight="1">
      <x:c r="A192" s="167" t="n">
        <x:v>191</x:v>
      </x:c>
      <x:c r="B192" s="167" t="str">
        <x:v>classification</x:v>
      </x:c>
      <x:c r="C192" s="167" t="str">
        <x:v>n.</x:v>
      </x:c>
      <x:c r="D192" s="170" t="str">
        <x:v>класифікація</x:v>
      </x:c>
      <x:c r="E192" s="167" t="str">
        <x:v>No</x:v>
      </x:c>
      <x:c r="F192" s="167"/>
      <x:c r="G192" s="167" t="str">
        <x:v>Core</x:v>
      </x:c>
      <x:c r="H192" s="167" t="str">
        <x:v>General</x:v>
      </x:c>
      <x:c r="I192" s="167" t="str">
        <x:v>Not Started</x:v>
      </x:c>
      <x:c r="J192" s="167" t="n">
        <x:v>0</x:v>
      </x:c>
      <x:c r="K192" s="168"/>
      <x:c r="L192" s="168" t="str">
        <x:f>IF(OR(I192="Mastered",K192=""),"",K192+IF(J192&gt;=5,30,IF(J192=4,14,IF(J192=3,7,IF(J192=2,3,1)))))</x:f>
      </x:c>
      <x:c r="M192" s="171" t="str"/>
      <x:c r="N192" s="171" t="str"/>
      <x:c r="O192" s="171" t="str">
        <x:v>Draft — verify in context</x:v>
      </x:c>
      <x:c r="P192" s="167" t="str">
        <x:v>https://www.oxfordlearnersdictionaries.com/wordlists/oxford3000-5000</x:v>
      </x:c>
    </x:row>
    <x:row r="193" ht="26" customHeight="1">
      <x:c r="A193" s="167" t="n">
        <x:v>192</x:v>
      </x:c>
      <x:c r="B193" s="167" t="str">
        <x:v>cling</x:v>
      </x:c>
      <x:c r="C193" s="167" t="str">
        <x:v>v.</x:v>
      </x:c>
      <x:c r="D193" s="170" t="str">
        <x:v>чіплятися</x:v>
      </x:c>
      <x:c r="E193" s="167" t="str">
        <x:v>No</x:v>
      </x:c>
      <x:c r="F193" s="167"/>
      <x:c r="G193" s="167" t="str">
        <x:v>Core</x:v>
      </x:c>
      <x:c r="H193" s="167" t="str">
        <x:v>General</x:v>
      </x:c>
      <x:c r="I193" s="167" t="str">
        <x:v>Not Started</x:v>
      </x:c>
      <x:c r="J193" s="167" t="n">
        <x:v>0</x:v>
      </x:c>
      <x:c r="K193" s="168"/>
      <x:c r="L193" s="168" t="str">
        <x:f>IF(OR(I193="Mastered",K193=""),"",K193+IF(J193&gt;=5,30,IF(J193=4,14,IF(J193=3,7,IF(J193=2,3,1)))))</x:f>
      </x:c>
      <x:c r="M193" s="171" t="str"/>
      <x:c r="N193" s="171" t="str"/>
      <x:c r="O193" s="171" t="str">
        <x:v>Draft — verify in context</x:v>
      </x:c>
      <x:c r="P193" s="167" t="str">
        <x:v>https://www.oxfordlearnersdictionaries.com/wordlists/oxford3000-5000</x:v>
      </x:c>
    </x:row>
    <x:row r="194" ht="26" customHeight="1">
      <x:c r="A194" s="167" t="n">
        <x:v>193</x:v>
      </x:c>
      <x:c r="B194" s="167" t="str">
        <x:v>clinical</x:v>
      </x:c>
      <x:c r="C194" s="167" t="str">
        <x:v>adj.</x:v>
      </x:c>
      <x:c r="D194" s="170" t="str">
        <x:v>клінічний</x:v>
      </x:c>
      <x:c r="E194" s="167" t="str">
        <x:v>No</x:v>
      </x:c>
      <x:c r="F194" s="167"/>
      <x:c r="G194" s="167" t="str">
        <x:v>High</x:v>
      </x:c>
      <x:c r="H194" s="167" t="str">
        <x:v>Health</x:v>
      </x:c>
      <x:c r="I194" s="167" t="str">
        <x:v>Not Started</x:v>
      </x:c>
      <x:c r="J194" s="167" t="n">
        <x:v>0</x:v>
      </x:c>
      <x:c r="K194" s="168"/>
      <x:c r="L194" s="168" t="str">
        <x:f>IF(OR(I194="Mastered",K194=""),"",K194+IF(J194&gt;=5,30,IF(J194=4,14,IF(J194=3,7,IF(J194=2,3,1)))))</x:f>
      </x:c>
      <x:c r="M194" s="171" t="str"/>
      <x:c r="N194" s="171" t="str"/>
      <x:c r="O194" s="171" t="str">
        <x:v>Draft — verify in context</x:v>
      </x:c>
      <x:c r="P194" s="167" t="str">
        <x:v>https://www.oxfordlearnersdictionaries.com/wordlists/oxford3000-5000</x:v>
      </x:c>
    </x:row>
    <x:row r="195" ht="26" customHeight="1">
      <x:c r="A195" s="167" t="n">
        <x:v>194</x:v>
      </x:c>
      <x:c r="B195" s="167" t="str">
        <x:v>closure</x:v>
      </x:c>
      <x:c r="C195" s="167" t="str">
        <x:v>n.</x:v>
      </x:c>
      <x:c r="D195" s="170" t="str">
        <x:v>закриття</x:v>
      </x:c>
      <x:c r="E195" s="167" t="str">
        <x:v>No</x:v>
      </x:c>
      <x:c r="F195" s="167"/>
      <x:c r="G195" s="167" t="str">
        <x:v>Core</x:v>
      </x:c>
      <x:c r="H195" s="167" t="str">
        <x:v>General</x:v>
      </x:c>
      <x:c r="I195" s="167" t="str">
        <x:v>Not Started</x:v>
      </x:c>
      <x:c r="J195" s="167" t="n">
        <x:v>0</x:v>
      </x:c>
      <x:c r="K195" s="168"/>
      <x:c r="L195" s="168" t="str">
        <x:f>IF(OR(I195="Mastered",K195=""),"",K195+IF(J195&gt;=5,30,IF(J195=4,14,IF(J195=3,7,IF(J195=2,3,1)))))</x:f>
      </x:c>
      <x:c r="M195" s="171" t="str"/>
      <x:c r="N195" s="171" t="str"/>
      <x:c r="O195" s="171" t="str">
        <x:v>Draft — verify in context</x:v>
      </x:c>
      <x:c r="P195" s="167" t="str">
        <x:v>https://www.oxfordlearnersdictionaries.com/wordlists/oxford3000-5000</x:v>
      </x:c>
    </x:row>
    <x:row r="196" ht="26" customHeight="1">
      <x:c r="A196" s="167" t="n">
        <x:v>195</x:v>
      </x:c>
      <x:c r="B196" s="167" t="str">
        <x:v>cluster</x:v>
      </x:c>
      <x:c r="C196" s="167" t="str">
        <x:v>n.</x:v>
      </x:c>
      <x:c r="D196" s="170" t="str">
        <x:v>кластер</x:v>
      </x:c>
      <x:c r="E196" s="167" t="str">
        <x:v>No</x:v>
      </x:c>
      <x:c r="F196" s="167"/>
      <x:c r="G196" s="167" t="str">
        <x:v>Core</x:v>
      </x:c>
      <x:c r="H196" s="167" t="str">
        <x:v>General</x:v>
      </x:c>
      <x:c r="I196" s="167" t="str">
        <x:v>Not Started</x:v>
      </x:c>
      <x:c r="J196" s="167" t="n">
        <x:v>0</x:v>
      </x:c>
      <x:c r="K196" s="168"/>
      <x:c r="L196" s="168" t="str">
        <x:f>IF(OR(I196="Mastered",K196=""),"",K196+IF(J196&gt;=5,30,IF(J196=4,14,IF(J196=3,7,IF(J196=2,3,1)))))</x:f>
      </x:c>
      <x:c r="M196" s="171" t="str"/>
      <x:c r="N196" s="171" t="str"/>
      <x:c r="O196" s="171" t="str">
        <x:v>Draft — verify in context</x:v>
      </x:c>
      <x:c r="P196" s="167" t="str">
        <x:v>https://www.oxfordlearnersdictionaries.com/wordlists/oxford3000-5000</x:v>
      </x:c>
    </x:row>
    <x:row r="197" ht="26" customHeight="1">
      <x:c r="A197" s="167" t="n">
        <x:v>196</x:v>
      </x:c>
      <x:c r="B197" s="167" t="str">
        <x:v>coalition</x:v>
      </x:c>
      <x:c r="C197" s="167" t="str">
        <x:v>n.</x:v>
      </x:c>
      <x:c r="D197" s="170" t="str">
        <x:v>коаліція</x:v>
      </x:c>
      <x:c r="E197" s="167" t="str">
        <x:v>No</x:v>
      </x:c>
      <x:c r="F197" s="167"/>
      <x:c r="G197" s="167" t="str">
        <x:v>Core</x:v>
      </x:c>
      <x:c r="H197" s="167" t="str">
        <x:v>General</x:v>
      </x:c>
      <x:c r="I197" s="167" t="str">
        <x:v>Not Started</x:v>
      </x:c>
      <x:c r="J197" s="167" t="n">
        <x:v>0</x:v>
      </x:c>
      <x:c r="K197" s="168"/>
      <x:c r="L197" s="168" t="str">
        <x:f>IF(OR(I197="Mastered",K197=""),"",K197+IF(J197&gt;=5,30,IF(J197=4,14,IF(J197=3,7,IF(J197=2,3,1)))))</x:f>
      </x:c>
      <x:c r="M197" s="171" t="str"/>
      <x:c r="N197" s="171" t="str"/>
      <x:c r="O197" s="171" t="str">
        <x:v>Draft — verify in context</x:v>
      </x:c>
      <x:c r="P197" s="167" t="str">
        <x:v>https://www.oxfordlearnersdictionaries.com/wordlists/oxford3000-5000</x:v>
      </x:c>
    </x:row>
    <x:row r="198" ht="26" customHeight="1">
      <x:c r="A198" s="167" t="n">
        <x:v>197</x:v>
      </x:c>
      <x:c r="B198" s="167" t="str">
        <x:v>coastal</x:v>
      </x:c>
      <x:c r="C198" s="167" t="str">
        <x:v>adj.</x:v>
      </x:c>
      <x:c r="D198" s="170" t="str">
        <x:v>прибережний</x:v>
      </x:c>
      <x:c r="E198" s="167" t="str">
        <x:v>No</x:v>
      </x:c>
      <x:c r="F198" s="167"/>
      <x:c r="G198" s="167" t="str">
        <x:v>Core</x:v>
      </x:c>
      <x:c r="H198" s="167" t="str">
        <x:v>General</x:v>
      </x:c>
      <x:c r="I198" s="167" t="str">
        <x:v>Not Started</x:v>
      </x:c>
      <x:c r="J198" s="167" t="n">
        <x:v>0</x:v>
      </x:c>
      <x:c r="K198" s="168"/>
      <x:c r="L198" s="168" t="str">
        <x:f>IF(OR(I198="Mastered",K198=""),"",K198+IF(J198&gt;=5,30,IF(J198=4,14,IF(J198=3,7,IF(J198=2,3,1)))))</x:f>
      </x:c>
      <x:c r="M198" s="171" t="str"/>
      <x:c r="N198" s="171" t="str"/>
      <x:c r="O198" s="171" t="str">
        <x:v>Draft — verify in context</x:v>
      </x:c>
      <x:c r="P198" s="167" t="str">
        <x:v>https://www.oxfordlearnersdictionaries.com/wordlists/oxford3000-5000</x:v>
      </x:c>
    </x:row>
    <x:row r="199" ht="26" customHeight="1">
      <x:c r="A199" s="167" t="n">
        <x:v>198</x:v>
      </x:c>
      <x:c r="B199" s="167" t="str">
        <x:v>cocktail</x:v>
      </x:c>
      <x:c r="C199" s="167" t="str">
        <x:v>n.</x:v>
      </x:c>
      <x:c r="D199" s="170" t="str">
        <x:v>коктейль</x:v>
      </x:c>
      <x:c r="E199" s="167" t="str">
        <x:v>No</x:v>
      </x:c>
      <x:c r="F199" s="167"/>
      <x:c r="G199" s="167" t="str">
        <x:v>Core</x:v>
      </x:c>
      <x:c r="H199" s="167" t="str">
        <x:v>General</x:v>
      </x:c>
      <x:c r="I199" s="167" t="str">
        <x:v>Not Started</x:v>
      </x:c>
      <x:c r="J199" s="167" t="n">
        <x:v>0</x:v>
      </x:c>
      <x:c r="K199" s="168"/>
      <x:c r="L199" s="168" t="str">
        <x:f>IF(OR(I199="Mastered",K199=""),"",K199+IF(J199&gt;=5,30,IF(J199=4,14,IF(J199=3,7,IF(J199=2,3,1)))))</x:f>
      </x:c>
      <x:c r="M199" s="171" t="str"/>
      <x:c r="N199" s="171" t="str"/>
      <x:c r="O199" s="171" t="str">
        <x:v>Draft — verify in context</x:v>
      </x:c>
      <x:c r="P199" s="167" t="str">
        <x:v>https://www.oxfordlearnersdictionaries.com/wordlists/oxford3000-5000</x:v>
      </x:c>
    </x:row>
    <x:row r="200" ht="26" customHeight="1">
      <x:c r="A200" s="167" t="n">
        <x:v>199</x:v>
      </x:c>
      <x:c r="B200" s="167" t="str">
        <x:v>cognitive</x:v>
      </x:c>
      <x:c r="C200" s="167" t="str">
        <x:v>adj.</x:v>
      </x:c>
      <x:c r="D200" s="170" t="str">
        <x:v>когнітивний</x:v>
      </x:c>
      <x:c r="E200" s="167" t="str">
        <x:v>No</x:v>
      </x:c>
      <x:c r="F200" s="167"/>
      <x:c r="G200" s="167" t="str">
        <x:v>Core</x:v>
      </x:c>
      <x:c r="H200" s="167" t="str">
        <x:v>General</x:v>
      </x:c>
      <x:c r="I200" s="167" t="str">
        <x:v>Not Started</x:v>
      </x:c>
      <x:c r="J200" s="167" t="n">
        <x:v>0</x:v>
      </x:c>
      <x:c r="K200" s="168"/>
      <x:c r="L200" s="168" t="str">
        <x:f>IF(OR(I200="Mastered",K200=""),"",K200+IF(J200&gt;=5,30,IF(J200=4,14,IF(J200=3,7,IF(J200=2,3,1)))))</x:f>
      </x:c>
      <x:c r="M200" s="171" t="str"/>
      <x:c r="N200" s="171" t="str"/>
      <x:c r="O200" s="171" t="str">
        <x:v>Draft — verify in context</x:v>
      </x:c>
      <x:c r="P200" s="167" t="str">
        <x:v>https://www.oxfordlearnersdictionaries.com/wordlists/oxford3000-5000</x:v>
      </x:c>
    </x:row>
    <x:row r="201" ht="26" customHeight="1">
      <x:c r="A201" s="167" t="n">
        <x:v>200</x:v>
      </x:c>
      <x:c r="B201" s="167" t="str">
        <x:v>coincide</x:v>
      </x:c>
      <x:c r="C201" s="167" t="str">
        <x:v>v.</x:v>
      </x:c>
      <x:c r="D201" s="170" t="str">
        <x:v>збігатися</x:v>
      </x:c>
      <x:c r="E201" s="167" t="str">
        <x:v>Yes</x:v>
      </x:c>
      <x:c r="F201" s="167" t="n">
        <x:v>9</x:v>
      </x:c>
      <x:c r="G201" s="167" t="str">
        <x:v>High</x:v>
      </x:c>
      <x:c r="H201" s="167" t="str">
        <x:v>General</x:v>
      </x:c>
      <x:c r="I201" s="167" t="str">
        <x:v>Not Started</x:v>
      </x:c>
      <x:c r="J201" s="167" t="n">
        <x:v>0</x:v>
      </x:c>
      <x:c r="K201" s="168"/>
      <x:c r="L201" s="168" t="str">
        <x:f>IF(OR(I201="Mastered",K201=""),"",K201+IF(J201&gt;=5,30,IF(J201=4,14,IF(J201=3,7,IF(J201=2,3,1)))))</x:f>
      </x:c>
      <x:c r="M201" s="171" t="str"/>
      <x:c r="N201" s="171" t="str"/>
      <x:c r="O201" s="171" t="str">
        <x:v>Draft — verify in context</x:v>
      </x:c>
      <x:c r="P201" s="167" t="str">
        <x:v>https://www.oxfordlearnersdictionaries.com/wordlists/oxford3000-5000</x:v>
      </x:c>
    </x:row>
    <x:row r="202" ht="26" customHeight="1">
      <x:c r="A202" s="167" t="n">
        <x:v>201</x:v>
      </x:c>
      <x:c r="B202" s="167" t="str">
        <x:v>collaborate</x:v>
      </x:c>
      <x:c r="C202" s="167" t="str">
        <x:v>v.</x:v>
      </x:c>
      <x:c r="D202" s="170" t="str">
        <x:v>співпрацювати</x:v>
      </x:c>
      <x:c r="E202" s="167" t="str">
        <x:v>No</x:v>
      </x:c>
      <x:c r="F202" s="167"/>
      <x:c r="G202" s="167" t="str">
        <x:v>Core</x:v>
      </x:c>
      <x:c r="H202" s="167" t="str">
        <x:v>General</x:v>
      </x:c>
      <x:c r="I202" s="167" t="str">
        <x:v>Not Started</x:v>
      </x:c>
      <x:c r="J202" s="167" t="n">
        <x:v>0</x:v>
      </x:c>
      <x:c r="K202" s="168"/>
      <x:c r="L202" s="168" t="str">
        <x:f>IF(OR(I202="Mastered",K202=""),"",K202+IF(J202&gt;=5,30,IF(J202=4,14,IF(J202=3,7,IF(J202=2,3,1)))))</x:f>
      </x:c>
      <x:c r="M202" s="171" t="str"/>
      <x:c r="N202" s="171" t="str"/>
      <x:c r="O202" s="171" t="str">
        <x:v>Draft — verify in context</x:v>
      </x:c>
      <x:c r="P202" s="167" t="str">
        <x:v>https://www.oxfordlearnersdictionaries.com/wordlists/oxford3000-5000</x:v>
      </x:c>
    </x:row>
    <x:row r="203" ht="26" customHeight="1">
      <x:c r="A203" s="167" t="n">
        <x:v>202</x:v>
      </x:c>
      <x:c r="B203" s="167" t="str">
        <x:v>collaboration</x:v>
      </x:c>
      <x:c r="C203" s="167" t="str">
        <x:v>n.</x:v>
      </x:c>
      <x:c r="D203" s="170" t="str">
        <x:v>співпраця</x:v>
      </x:c>
      <x:c r="E203" s="167" t="str">
        <x:v>No</x:v>
      </x:c>
      <x:c r="F203" s="167"/>
      <x:c r="G203" s="167" t="str">
        <x:v>Core</x:v>
      </x:c>
      <x:c r="H203" s="167" t="str">
        <x:v>General</x:v>
      </x:c>
      <x:c r="I203" s="167" t="str">
        <x:v>Not Started</x:v>
      </x:c>
      <x:c r="J203" s="167" t="n">
        <x:v>0</x:v>
      </x:c>
      <x:c r="K203" s="168"/>
      <x:c r="L203" s="168" t="str">
        <x:f>IF(OR(I203="Mastered",K203=""),"",K203+IF(J203&gt;=5,30,IF(J203=4,14,IF(J203=3,7,IF(J203=2,3,1)))))</x:f>
      </x:c>
      <x:c r="M203" s="171" t="str"/>
      <x:c r="N203" s="171" t="str"/>
      <x:c r="O203" s="171" t="str">
        <x:v>Draft — verify in context</x:v>
      </x:c>
      <x:c r="P203" s="167" t="str">
        <x:v>https://www.oxfordlearnersdictionaries.com/wordlists/oxford3000-5000</x:v>
      </x:c>
    </x:row>
    <x:row r="204" ht="26" customHeight="1">
      <x:c r="A204" s="167" t="n">
        <x:v>203</x:v>
      </x:c>
      <x:c r="B204" s="167" t="str">
        <x:v>collective</x:v>
      </x:c>
      <x:c r="C204" s="167" t="str">
        <x:v>adj.</x:v>
      </x:c>
      <x:c r="D204" s="170" t="str">
        <x:v>колективний</x:v>
      </x:c>
      <x:c r="E204" s="167" t="str">
        <x:v>No</x:v>
      </x:c>
      <x:c r="F204" s="167"/>
      <x:c r="G204" s="167" t="str">
        <x:v>Core</x:v>
      </x:c>
      <x:c r="H204" s="167" t="str">
        <x:v>General</x:v>
      </x:c>
      <x:c r="I204" s="167" t="str">
        <x:v>Not Started</x:v>
      </x:c>
      <x:c r="J204" s="167" t="n">
        <x:v>0</x:v>
      </x:c>
      <x:c r="K204" s="168"/>
      <x:c r="L204" s="168" t="str">
        <x:f>IF(OR(I204="Mastered",K204=""),"",K204+IF(J204&gt;=5,30,IF(J204=4,14,IF(J204=3,7,IF(J204=2,3,1)))))</x:f>
      </x:c>
      <x:c r="M204" s="171" t="str"/>
      <x:c r="N204" s="171" t="str"/>
      <x:c r="O204" s="171" t="str">
        <x:v>Draft — verify in context</x:v>
      </x:c>
      <x:c r="P204" s="167" t="str">
        <x:v>https://www.oxfordlearnersdictionaries.com/wordlists/oxford3000-5000</x:v>
      </x:c>
    </x:row>
    <x:row r="205" ht="26" customHeight="1">
      <x:c r="A205" s="167" t="n">
        <x:v>204</x:v>
      </x:c>
      <x:c r="B205" s="167" t="str">
        <x:v>collision</x:v>
      </x:c>
      <x:c r="C205" s="167" t="str">
        <x:v>n.</x:v>
      </x:c>
      <x:c r="D205" s="170" t="str">
        <x:v>зіткнення</x:v>
      </x:c>
      <x:c r="E205" s="167" t="str">
        <x:v>No</x:v>
      </x:c>
      <x:c r="F205" s="167"/>
      <x:c r="G205" s="167" t="str">
        <x:v>Core</x:v>
      </x:c>
      <x:c r="H205" s="167" t="str">
        <x:v>General</x:v>
      </x:c>
      <x:c r="I205" s="167" t="str">
        <x:v>Not Started</x:v>
      </x:c>
      <x:c r="J205" s="167" t="n">
        <x:v>0</x:v>
      </x:c>
      <x:c r="K205" s="168"/>
      <x:c r="L205" s="168" t="str">
        <x:f>IF(OR(I205="Mastered",K205=""),"",K205+IF(J205&gt;=5,30,IF(J205=4,14,IF(J205=3,7,IF(J205=2,3,1)))))</x:f>
      </x:c>
      <x:c r="M205" s="171" t="str"/>
      <x:c r="N205" s="171" t="str"/>
      <x:c r="O205" s="171" t="str">
        <x:v>Draft — verify in context</x:v>
      </x:c>
      <x:c r="P205" s="167" t="str">
        <x:v>https://www.oxfordlearnersdictionaries.com/wordlists/oxford3000-5000</x:v>
      </x:c>
    </x:row>
    <x:row r="206" ht="26" customHeight="1">
      <x:c r="A206" s="167" t="n">
        <x:v>205</x:v>
      </x:c>
      <x:c r="B206" s="167" t="str">
        <x:v>colonial</x:v>
      </x:c>
      <x:c r="C206" s="167" t="str">
        <x:v>adj.</x:v>
      </x:c>
      <x:c r="D206" s="170" t="str">
        <x:v>колоніальний</x:v>
      </x:c>
      <x:c r="E206" s="167" t="str">
        <x:v>No</x:v>
      </x:c>
      <x:c r="F206" s="167"/>
      <x:c r="G206" s="167" t="str">
        <x:v>Core</x:v>
      </x:c>
      <x:c r="H206" s="167" t="str">
        <x:v>General</x:v>
      </x:c>
      <x:c r="I206" s="167" t="str">
        <x:v>Not Started</x:v>
      </x:c>
      <x:c r="J206" s="167" t="n">
        <x:v>0</x:v>
      </x:c>
      <x:c r="K206" s="168"/>
      <x:c r="L206" s="168" t="str">
        <x:f>IF(OR(I206="Mastered",K206=""),"",K206+IF(J206&gt;=5,30,IF(J206=4,14,IF(J206=3,7,IF(J206=2,3,1)))))</x:f>
      </x:c>
      <x:c r="M206" s="171" t="str"/>
      <x:c r="N206" s="171" t="str"/>
      <x:c r="O206" s="171" t="str">
        <x:v>Draft — verify in context</x:v>
      </x:c>
      <x:c r="P206" s="167" t="str">
        <x:v>https://www.oxfordlearnersdictionaries.com/wordlists/oxford3000-5000</x:v>
      </x:c>
    </x:row>
    <x:row r="207" ht="26" customHeight="1">
      <x:c r="A207" s="167" t="n">
        <x:v>206</x:v>
      </x:c>
      <x:c r="B207" s="167" t="str">
        <x:v>columnist</x:v>
      </x:c>
      <x:c r="C207" s="167" t="str">
        <x:v>n.</x:v>
      </x:c>
      <x:c r="D207" s="170" t="str">
        <x:v>колумніст</x:v>
      </x:c>
      <x:c r="E207" s="167" t="str">
        <x:v>No</x:v>
      </x:c>
      <x:c r="F207" s="167"/>
      <x:c r="G207" s="167" t="str">
        <x:v>Core</x:v>
      </x:c>
      <x:c r="H207" s="167" t="str">
        <x:v>General</x:v>
      </x:c>
      <x:c r="I207" s="167" t="str">
        <x:v>Not Started</x:v>
      </x:c>
      <x:c r="J207" s="167" t="n">
        <x:v>0</x:v>
      </x:c>
      <x:c r="K207" s="168"/>
      <x:c r="L207" s="168" t="str">
        <x:f>IF(OR(I207="Mastered",K207=""),"",K207+IF(J207&gt;=5,30,IF(J207=4,14,IF(J207=3,7,IF(J207=2,3,1)))))</x:f>
      </x:c>
      <x:c r="M207" s="171" t="str"/>
      <x:c r="N207" s="171" t="str"/>
      <x:c r="O207" s="171" t="str">
        <x:v>Draft — verify in context</x:v>
      </x:c>
      <x:c r="P207" s="167" t="str">
        <x:v>https://www.oxfordlearnersdictionaries.com/wordlists/oxford3000-5000</x:v>
      </x:c>
    </x:row>
    <x:row r="208" ht="26" customHeight="1">
      <x:c r="A208" s="167" t="n">
        <x:v>207</x:v>
      </x:c>
      <x:c r="B208" s="167" t="str">
        <x:v>combat</x:v>
      </x:c>
      <x:c r="C208" s="167" t="str">
        <x:v>n., v.</x:v>
      </x:c>
      <x:c r="D208" s="170" t="str">
        <x:v>бойовий</x:v>
      </x:c>
      <x:c r="E208" s="167" t="str">
        <x:v>No</x:v>
      </x:c>
      <x:c r="F208" s="167"/>
      <x:c r="G208" s="167" t="str">
        <x:v>Core</x:v>
      </x:c>
      <x:c r="H208" s="167" t="str">
        <x:v>General</x:v>
      </x:c>
      <x:c r="I208" s="167" t="str">
        <x:v>Not Started</x:v>
      </x:c>
      <x:c r="J208" s="167" t="n">
        <x:v>0</x:v>
      </x:c>
      <x:c r="K208" s="168"/>
      <x:c r="L208" s="168" t="str">
        <x:f>IF(OR(I208="Mastered",K208=""),"",K208+IF(J208&gt;=5,30,IF(J208=4,14,IF(J208=3,7,IF(J208=2,3,1)))))</x:f>
      </x:c>
      <x:c r="M208" s="171" t="str"/>
      <x:c r="N208" s="171" t="str"/>
      <x:c r="O208" s="171" t="str">
        <x:v>Draft — verify in context</x:v>
      </x:c>
      <x:c r="P208" s="167" t="str">
        <x:v>https://www.oxfordlearnersdictionaries.com/wordlists/oxford3000-5000</x:v>
      </x:c>
    </x:row>
    <x:row r="209" ht="26" customHeight="1">
      <x:c r="A209" s="167" t="n">
        <x:v>208</x:v>
      </x:c>
      <x:c r="B209" s="167" t="str">
        <x:v>commence</x:v>
      </x:c>
      <x:c r="C209" s="167" t="str">
        <x:v>v.</x:v>
      </x:c>
      <x:c r="D209" s="170" t="str">
        <x:v>почати</x:v>
      </x:c>
      <x:c r="E209" s="167" t="str">
        <x:v>No</x:v>
      </x:c>
      <x:c r="F209" s="167"/>
      <x:c r="G209" s="167" t="str">
        <x:v>Core</x:v>
      </x:c>
      <x:c r="H209" s="167" t="str">
        <x:v>General</x:v>
      </x:c>
      <x:c r="I209" s="167" t="str">
        <x:v>Not Started</x:v>
      </x:c>
      <x:c r="J209" s="167" t="n">
        <x:v>0</x:v>
      </x:c>
      <x:c r="K209" s="168"/>
      <x:c r="L209" s="168" t="str">
        <x:f>IF(OR(I209="Mastered",K209=""),"",K209+IF(J209&gt;=5,30,IF(J209=4,14,IF(J209=3,7,IF(J209=2,3,1)))))</x:f>
      </x:c>
      <x:c r="M209" s="171" t="str"/>
      <x:c r="N209" s="171" t="str"/>
      <x:c r="O209" s="171" t="str">
        <x:v>Draft — verify in context</x:v>
      </x:c>
      <x:c r="P209" s="167" t="str">
        <x:v>https://www.oxfordlearnersdictionaries.com/wordlists/oxford3000-5000</x:v>
      </x:c>
    </x:row>
    <x:row r="210" ht="26" customHeight="1">
      <x:c r="A210" s="167" t="n">
        <x:v>209</x:v>
      </x:c>
      <x:c r="B210" s="167" t="str">
        <x:v>commentary</x:v>
      </x:c>
      <x:c r="C210" s="167" t="str">
        <x:v>n.</x:v>
      </x:c>
      <x:c r="D210" s="170" t="str">
        <x:v>коментар</x:v>
      </x:c>
      <x:c r="E210" s="167" t="str">
        <x:v>No</x:v>
      </x:c>
      <x:c r="F210" s="167"/>
      <x:c r="G210" s="167" t="str">
        <x:v>Core</x:v>
      </x:c>
      <x:c r="H210" s="167" t="str">
        <x:v>General</x:v>
      </x:c>
      <x:c r="I210" s="167" t="str">
        <x:v>Not Started</x:v>
      </x:c>
      <x:c r="J210" s="167" t="n">
        <x:v>0</x:v>
      </x:c>
      <x:c r="K210" s="168"/>
      <x:c r="L210" s="168" t="str">
        <x:f>IF(OR(I210="Mastered",K210=""),"",K210+IF(J210&gt;=5,30,IF(J210=4,14,IF(J210=3,7,IF(J210=2,3,1)))))</x:f>
      </x:c>
      <x:c r="M210" s="171" t="str"/>
      <x:c r="N210" s="171" t="str"/>
      <x:c r="O210" s="171" t="str">
        <x:v>Draft — verify in context</x:v>
      </x:c>
      <x:c r="P210" s="167" t="str">
        <x:v>https://www.oxfordlearnersdictionaries.com/wordlists/oxford3000-5000</x:v>
      </x:c>
    </x:row>
    <x:row r="211" ht="26" customHeight="1">
      <x:c r="A211" s="167" t="n">
        <x:v>210</x:v>
      </x:c>
      <x:c r="B211" s="167" t="str">
        <x:v>commentator</x:v>
      </x:c>
      <x:c r="C211" s="167" t="str">
        <x:v>n.</x:v>
      </x:c>
      <x:c r="D211" s="170" t="str">
        <x:v>коментатор</x:v>
      </x:c>
      <x:c r="E211" s="167" t="str">
        <x:v>No</x:v>
      </x:c>
      <x:c r="F211" s="167"/>
      <x:c r="G211" s="167" t="str">
        <x:v>Core</x:v>
      </x:c>
      <x:c r="H211" s="167" t="str">
        <x:v>General</x:v>
      </x:c>
      <x:c r="I211" s="167" t="str">
        <x:v>Not Started</x:v>
      </x:c>
      <x:c r="J211" s="167" t="n">
        <x:v>0</x:v>
      </x:c>
      <x:c r="K211" s="168"/>
      <x:c r="L211" s="168" t="str">
        <x:f>IF(OR(I211="Mastered",K211=""),"",K211+IF(J211&gt;=5,30,IF(J211=4,14,IF(J211=3,7,IF(J211=2,3,1)))))</x:f>
      </x:c>
      <x:c r="M211" s="171" t="str"/>
      <x:c r="N211" s="171" t="str"/>
      <x:c r="O211" s="171" t="str">
        <x:v>Draft — verify in context</x:v>
      </x:c>
      <x:c r="P211" s="167" t="str">
        <x:v>https://www.oxfordlearnersdictionaries.com/wordlists/oxford3000-5000</x:v>
      </x:c>
    </x:row>
    <x:row r="212" ht="26" customHeight="1">
      <x:c r="A212" s="167" t="n">
        <x:v>211</x:v>
      </x:c>
      <x:c r="B212" s="167" t="str">
        <x:v>commerce</x:v>
      </x:c>
      <x:c r="C212" s="167" t="str">
        <x:v>n.</x:v>
      </x:c>
      <x:c r="D212" s="170" t="str">
        <x:v>комерція</x:v>
      </x:c>
      <x:c r="E212" s="167" t="str">
        <x:v>No</x:v>
      </x:c>
      <x:c r="F212" s="167"/>
      <x:c r="G212" s="167" t="str">
        <x:v>High</x:v>
      </x:c>
      <x:c r="H212" s="167" t="str">
        <x:v>Economy &amp; work</x:v>
      </x:c>
      <x:c r="I212" s="167" t="str">
        <x:v>Not Started</x:v>
      </x:c>
      <x:c r="J212" s="167" t="n">
        <x:v>0</x:v>
      </x:c>
      <x:c r="K212" s="168"/>
      <x:c r="L212" s="168" t="str">
        <x:f>IF(OR(I212="Mastered",K212=""),"",K212+IF(J212&gt;=5,30,IF(J212=4,14,IF(J212=3,7,IF(J212=2,3,1)))))</x:f>
      </x:c>
      <x:c r="M212" s="171" t="str"/>
      <x:c r="N212" s="171" t="str"/>
      <x:c r="O212" s="171" t="str">
        <x:v>Draft — verify in context</x:v>
      </x:c>
      <x:c r="P212" s="167" t="str">
        <x:v>https://www.oxfordlearnersdictionaries.com/wordlists/oxford3000-5000</x:v>
      </x:c>
    </x:row>
    <x:row r="213" ht="26" customHeight="1">
      <x:c r="A213" s="167" t="n">
        <x:v>212</x:v>
      </x:c>
      <x:c r="B213" s="167" t="str">
        <x:v>commissioner</x:v>
      </x:c>
      <x:c r="C213" s="167" t="str">
        <x:v>n.</x:v>
      </x:c>
      <x:c r="D213" s="170" t="str">
        <x:v>комісар</x:v>
      </x:c>
      <x:c r="E213" s="167" t="str">
        <x:v>No</x:v>
      </x:c>
      <x:c r="F213" s="167"/>
      <x:c r="G213" s="167" t="str">
        <x:v>Core</x:v>
      </x:c>
      <x:c r="H213" s="167" t="str">
        <x:v>General</x:v>
      </x:c>
      <x:c r="I213" s="167" t="str">
        <x:v>Not Started</x:v>
      </x:c>
      <x:c r="J213" s="167" t="n">
        <x:v>0</x:v>
      </x:c>
      <x:c r="K213" s="168"/>
      <x:c r="L213" s="168" t="str">
        <x:f>IF(OR(I213="Mastered",K213=""),"",K213+IF(J213&gt;=5,30,IF(J213=4,14,IF(J213=3,7,IF(J213=2,3,1)))))</x:f>
      </x:c>
      <x:c r="M213" s="171" t="str"/>
      <x:c r="N213" s="171" t="str"/>
      <x:c r="O213" s="171" t="str">
        <x:v>Draft — verify in context</x:v>
      </x:c>
      <x:c r="P213" s="167" t="str">
        <x:v>https://www.oxfordlearnersdictionaries.com/wordlists/oxford3000-5000</x:v>
      </x:c>
    </x:row>
    <x:row r="214" ht="26" customHeight="1">
      <x:c r="A214" s="167" t="n">
        <x:v>213</x:v>
      </x:c>
      <x:c r="B214" s="167" t="str">
        <x:v>commodity</x:v>
      </x:c>
      <x:c r="C214" s="167" t="str">
        <x:v>n.</x:v>
      </x:c>
      <x:c r="D214" s="170" t="str">
        <x:v>товар</x:v>
      </x:c>
      <x:c r="E214" s="167" t="str">
        <x:v>Yes</x:v>
      </x:c>
      <x:c r="F214" s="167" t="n">
        <x:v>8</x:v>
      </x:c>
      <x:c r="G214" s="167" t="str">
        <x:v>High</x:v>
      </x:c>
      <x:c r="H214" s="167" t="str">
        <x:v>Economy &amp; work</x:v>
      </x:c>
      <x:c r="I214" s="167" t="str">
        <x:v>Not Started</x:v>
      </x:c>
      <x:c r="J214" s="167" t="n">
        <x:v>0</x:v>
      </x:c>
      <x:c r="K214" s="168"/>
      <x:c r="L214" s="168" t="str">
        <x:f>IF(OR(I214="Mastered",K214=""),"",K214+IF(J214&gt;=5,30,IF(J214=4,14,IF(J214=3,7,IF(J214=2,3,1)))))</x:f>
      </x:c>
      <x:c r="M214" s="171" t="str"/>
      <x:c r="N214" s="171" t="str"/>
      <x:c r="O214" s="171" t="str">
        <x:v>Draft — verify in context</x:v>
      </x:c>
      <x:c r="P214" s="167" t="str">
        <x:v>https://www.oxfordlearnersdictionaries.com/wordlists/oxford3000-5000</x:v>
      </x:c>
    </x:row>
    <x:row r="215" ht="26" customHeight="1">
      <x:c r="A215" s="167" t="n">
        <x:v>214</x:v>
      </x:c>
      <x:c r="B215" s="167" t="str">
        <x:v>communist</x:v>
      </x:c>
      <x:c r="C215" s="167" t="str">
        <x:v>adj.</x:v>
      </x:c>
      <x:c r="D215" s="170" t="str">
        <x:v>комуніст</x:v>
      </x:c>
      <x:c r="E215" s="167" t="str">
        <x:v>No</x:v>
      </x:c>
      <x:c r="F215" s="167"/>
      <x:c r="G215" s="167" t="str">
        <x:v>Core</x:v>
      </x:c>
      <x:c r="H215" s="167" t="str">
        <x:v>General</x:v>
      </x:c>
      <x:c r="I215" s="167" t="str">
        <x:v>Not Started</x:v>
      </x:c>
      <x:c r="J215" s="167" t="n">
        <x:v>0</x:v>
      </x:c>
      <x:c r="K215" s="168"/>
      <x:c r="L215" s="168" t="str">
        <x:f>IF(OR(I215="Mastered",K215=""),"",K215+IF(J215&gt;=5,30,IF(J215=4,14,IF(J215=3,7,IF(J215=2,3,1)))))</x:f>
      </x:c>
      <x:c r="M215" s="171" t="str"/>
      <x:c r="N215" s="171" t="str"/>
      <x:c r="O215" s="171" t="str">
        <x:v>Draft — verify in context</x:v>
      </x:c>
      <x:c r="P215" s="167" t="str">
        <x:v>https://www.oxfordlearnersdictionaries.com/wordlists/oxford3000-5000</x:v>
      </x:c>
    </x:row>
    <x:row r="216" ht="26" customHeight="1">
      <x:c r="A216" s="167" t="n">
        <x:v>215</x:v>
      </x:c>
      <x:c r="B216" s="167" t="str">
        <x:v>companion</x:v>
      </x:c>
      <x:c r="C216" s="167" t="str">
        <x:v>n.</x:v>
      </x:c>
      <x:c r="D216" s="170" t="str">
        <x:v>компаньйон</x:v>
      </x:c>
      <x:c r="E216" s="167" t="str">
        <x:v>No</x:v>
      </x:c>
      <x:c r="F216" s="167"/>
      <x:c r="G216" s="167" t="str">
        <x:v>Core</x:v>
      </x:c>
      <x:c r="H216" s="167" t="str">
        <x:v>General</x:v>
      </x:c>
      <x:c r="I216" s="167" t="str">
        <x:v>Not Started</x:v>
      </x:c>
      <x:c r="J216" s="167" t="n">
        <x:v>0</x:v>
      </x:c>
      <x:c r="K216" s="168"/>
      <x:c r="L216" s="168" t="str">
        <x:f>IF(OR(I216="Mastered",K216=""),"",K216+IF(J216&gt;=5,30,IF(J216=4,14,IF(J216=3,7,IF(J216=2,3,1)))))</x:f>
      </x:c>
      <x:c r="M216" s="171" t="str"/>
      <x:c r="N216" s="171" t="str"/>
      <x:c r="O216" s="171" t="str">
        <x:v>Draft — verify in context</x:v>
      </x:c>
      <x:c r="P216" s="167" t="str">
        <x:v>https://www.oxfordlearnersdictionaries.com/wordlists/oxford3000-5000</x:v>
      </x:c>
    </x:row>
    <x:row r="217" ht="26" customHeight="1">
      <x:c r="A217" s="167" t="n">
        <x:v>216</x:v>
      </x:c>
      <x:c r="B217" s="167" t="str">
        <x:v>comparable</x:v>
      </x:c>
      <x:c r="C217" s="167" t="str">
        <x:v>adj.</x:v>
      </x:c>
      <x:c r="D217" s="170" t="str">
        <x:v>порівняльний</x:v>
      </x:c>
      <x:c r="E217" s="167" t="str">
        <x:v>No</x:v>
      </x:c>
      <x:c r="F217" s="167"/>
      <x:c r="G217" s="167" t="str">
        <x:v>Core</x:v>
      </x:c>
      <x:c r="H217" s="167" t="str">
        <x:v>General</x:v>
      </x:c>
      <x:c r="I217" s="167" t="str">
        <x:v>Not Started</x:v>
      </x:c>
      <x:c r="J217" s="167" t="n">
        <x:v>0</x:v>
      </x:c>
      <x:c r="K217" s="168"/>
      <x:c r="L217" s="168" t="str">
        <x:f>IF(OR(I217="Mastered",K217=""),"",K217+IF(J217&gt;=5,30,IF(J217=4,14,IF(J217=3,7,IF(J217=2,3,1)))))</x:f>
      </x:c>
      <x:c r="M217" s="171" t="str"/>
      <x:c r="N217" s="171" t="str"/>
      <x:c r="O217" s="171" t="str">
        <x:v>Draft — verify in context</x:v>
      </x:c>
      <x:c r="P217" s="167" t="str">
        <x:v>https://www.oxfordlearnersdictionaries.com/wordlists/oxford3000-5000</x:v>
      </x:c>
    </x:row>
    <x:row r="218" ht="26" customHeight="1">
      <x:c r="A218" s="167" t="n">
        <x:v>217</x:v>
      </x:c>
      <x:c r="B218" s="167" t="str">
        <x:v>compassion</x:v>
      </x:c>
      <x:c r="C218" s="167" t="str">
        <x:v>n.</x:v>
      </x:c>
      <x:c r="D218" s="170" t="str">
        <x:v>співчуття</x:v>
      </x:c>
      <x:c r="E218" s="167" t="str">
        <x:v>No</x:v>
      </x:c>
      <x:c r="F218" s="167"/>
      <x:c r="G218" s="167" t="str">
        <x:v>Core</x:v>
      </x:c>
      <x:c r="H218" s="167" t="str">
        <x:v>General</x:v>
      </x:c>
      <x:c r="I218" s="167" t="str">
        <x:v>Not Started</x:v>
      </x:c>
      <x:c r="J218" s="167" t="n">
        <x:v>0</x:v>
      </x:c>
      <x:c r="K218" s="168"/>
      <x:c r="L218" s="168" t="str">
        <x:f>IF(OR(I218="Mastered",K218=""),"",K218+IF(J218&gt;=5,30,IF(J218=4,14,IF(J218=3,7,IF(J218=2,3,1)))))</x:f>
      </x:c>
      <x:c r="M218" s="171" t="str"/>
      <x:c r="N218" s="171" t="str"/>
      <x:c r="O218" s="171" t="str">
        <x:v>Draft — verify in context</x:v>
      </x:c>
      <x:c r="P218" s="167" t="str">
        <x:v>https://www.oxfordlearnersdictionaries.com/wordlists/oxford3000-5000</x:v>
      </x:c>
    </x:row>
    <x:row r="219" ht="26" customHeight="1">
      <x:c r="A219" s="167" t="n">
        <x:v>218</x:v>
      </x:c>
      <x:c r="B219" s="167" t="str">
        <x:v>compel</x:v>
      </x:c>
      <x:c r="C219" s="167" t="str">
        <x:v>v.</x:v>
      </x:c>
      <x:c r="D219" s="170" t="str">
        <x:v>змушувати</x:v>
      </x:c>
      <x:c r="E219" s="167" t="str">
        <x:v>No</x:v>
      </x:c>
      <x:c r="F219" s="167"/>
      <x:c r="G219" s="167" t="str">
        <x:v>Core</x:v>
      </x:c>
      <x:c r="H219" s="167" t="str">
        <x:v>General</x:v>
      </x:c>
      <x:c r="I219" s="167" t="str">
        <x:v>Not Started</x:v>
      </x:c>
      <x:c r="J219" s="167" t="n">
        <x:v>0</x:v>
      </x:c>
      <x:c r="K219" s="168"/>
      <x:c r="L219" s="168" t="str">
        <x:f>IF(OR(I219="Mastered",K219=""),"",K219+IF(J219&gt;=5,30,IF(J219=4,14,IF(J219=3,7,IF(J219=2,3,1)))))</x:f>
      </x:c>
      <x:c r="M219" s="171" t="str"/>
      <x:c r="N219" s="171" t="str"/>
      <x:c r="O219" s="171" t="str">
        <x:v>Draft — verify in context</x:v>
      </x:c>
      <x:c r="P219" s="167" t="str">
        <x:v>https://www.oxfordlearnersdictionaries.com/wordlists/oxford3000-5000</x:v>
      </x:c>
    </x:row>
    <x:row r="220" ht="26" customHeight="1">
      <x:c r="A220" s="167" t="n">
        <x:v>219</x:v>
      </x:c>
      <x:c r="B220" s="167" t="str">
        <x:v>compelling</x:v>
      </x:c>
      <x:c r="C220" s="167" t="str">
        <x:v>adj.</x:v>
      </x:c>
      <x:c r="D220" s="170" t="str">
        <x:v>переконливий</x:v>
      </x:c>
      <x:c r="E220" s="167" t="str">
        <x:v>No</x:v>
      </x:c>
      <x:c r="F220" s="167"/>
      <x:c r="G220" s="167" t="str">
        <x:v>Core</x:v>
      </x:c>
      <x:c r="H220" s="167" t="str">
        <x:v>General</x:v>
      </x:c>
      <x:c r="I220" s="167" t="str">
        <x:v>Not Started</x:v>
      </x:c>
      <x:c r="J220" s="167" t="n">
        <x:v>0</x:v>
      </x:c>
      <x:c r="K220" s="168"/>
      <x:c r="L220" s="168" t="str">
        <x:f>IF(OR(I220="Mastered",K220=""),"",K220+IF(J220&gt;=5,30,IF(J220=4,14,IF(J220=3,7,IF(J220=2,3,1)))))</x:f>
      </x:c>
      <x:c r="M220" s="171" t="str"/>
      <x:c r="N220" s="171" t="str"/>
      <x:c r="O220" s="171" t="str">
        <x:v>Draft — verify in context</x:v>
      </x:c>
      <x:c r="P220" s="167" t="str">
        <x:v>https://www.oxfordlearnersdictionaries.com/wordlists/oxford3000-5000</x:v>
      </x:c>
    </x:row>
    <x:row r="221" ht="26" customHeight="1">
      <x:c r="A221" s="167" t="n">
        <x:v>220</x:v>
      </x:c>
      <x:c r="B221" s="167" t="str">
        <x:v>compensate</x:v>
      </x:c>
      <x:c r="C221" s="167" t="str">
        <x:v>v.</x:v>
      </x:c>
      <x:c r="D221" s="170" t="str">
        <x:v>компенсувати</x:v>
      </x:c>
      <x:c r="E221" s="167" t="str">
        <x:v>No</x:v>
      </x:c>
      <x:c r="F221" s="167"/>
      <x:c r="G221" s="167" t="str">
        <x:v>Core</x:v>
      </x:c>
      <x:c r="H221" s="167" t="str">
        <x:v>General</x:v>
      </x:c>
      <x:c r="I221" s="167" t="str">
        <x:v>Not Started</x:v>
      </x:c>
      <x:c r="J221" s="167" t="n">
        <x:v>0</x:v>
      </x:c>
      <x:c r="K221" s="168"/>
      <x:c r="L221" s="168" t="str">
        <x:f>IF(OR(I221="Mastered",K221=""),"",K221+IF(J221&gt;=5,30,IF(J221=4,14,IF(J221=3,7,IF(J221=2,3,1)))))</x:f>
      </x:c>
      <x:c r="M221" s="171" t="str"/>
      <x:c r="N221" s="171" t="str"/>
      <x:c r="O221" s="171" t="str">
        <x:v>Draft — verify in context</x:v>
      </x:c>
      <x:c r="P221" s="167" t="str">
        <x:v>https://www.oxfordlearnersdictionaries.com/wordlists/oxford3000-5000</x:v>
      </x:c>
    </x:row>
    <x:row r="222" ht="26" customHeight="1">
      <x:c r="A222" s="167" t="n">
        <x:v>221</x:v>
      </x:c>
      <x:c r="B222" s="167" t="str">
        <x:v>compensation</x:v>
      </x:c>
      <x:c r="C222" s="167" t="str">
        <x:v>n.</x:v>
      </x:c>
      <x:c r="D222" s="170" t="str">
        <x:v>компенсація</x:v>
      </x:c>
      <x:c r="E222" s="167" t="str">
        <x:v>Yes</x:v>
      </x:c>
      <x:c r="F222" s="167" t="n">
        <x:v>3</x:v>
      </x:c>
      <x:c r="G222" s="167" t="str">
        <x:v>High</x:v>
      </x:c>
      <x:c r="H222" s="167" t="str">
        <x:v>General</x:v>
      </x:c>
      <x:c r="I222" s="167" t="str">
        <x:v>Not Started</x:v>
      </x:c>
      <x:c r="J222" s="167" t="n">
        <x:v>0</x:v>
      </x:c>
      <x:c r="K222" s="168"/>
      <x:c r="L222" s="168" t="str">
        <x:f>IF(OR(I222="Mastered",K222=""),"",K222+IF(J222&gt;=5,30,IF(J222=4,14,IF(J222=3,7,IF(J222=2,3,1)))))</x:f>
      </x:c>
      <x:c r="M222" s="171" t="str"/>
      <x:c r="N222" s="171" t="str"/>
      <x:c r="O222" s="171" t="str">
        <x:v>Draft — verify in context</x:v>
      </x:c>
      <x:c r="P222" s="167" t="str">
        <x:v>https://www.oxfordlearnersdictionaries.com/wordlists/oxford3000-5000</x:v>
      </x:c>
    </x:row>
    <x:row r="223" ht="26" customHeight="1">
      <x:c r="A223" s="167" t="n">
        <x:v>222</x:v>
      </x:c>
      <x:c r="B223" s="167" t="str">
        <x:v>competence</x:v>
      </x:c>
      <x:c r="C223" s="167" t="str">
        <x:v>n.</x:v>
      </x:c>
      <x:c r="D223" s="170" t="str">
        <x:v>компетентність</x:v>
      </x:c>
      <x:c r="E223" s="167" t="str">
        <x:v>No</x:v>
      </x:c>
      <x:c r="F223" s="167"/>
      <x:c r="G223" s="167" t="str">
        <x:v>Core</x:v>
      </x:c>
      <x:c r="H223" s="167" t="str">
        <x:v>General</x:v>
      </x:c>
      <x:c r="I223" s="167" t="str">
        <x:v>Not Started</x:v>
      </x:c>
      <x:c r="J223" s="167" t="n">
        <x:v>0</x:v>
      </x:c>
      <x:c r="K223" s="168"/>
      <x:c r="L223" s="168" t="str">
        <x:f>IF(OR(I223="Mastered",K223=""),"",K223+IF(J223&gt;=5,30,IF(J223=4,14,IF(J223=3,7,IF(J223=2,3,1)))))</x:f>
      </x:c>
      <x:c r="M223" s="171" t="str"/>
      <x:c r="N223" s="171" t="str"/>
      <x:c r="O223" s="171" t="str">
        <x:v>Draft — verify in context</x:v>
      </x:c>
      <x:c r="P223" s="167" t="str">
        <x:v>https://www.oxfordlearnersdictionaries.com/wordlists/oxford3000-5000</x:v>
      </x:c>
    </x:row>
    <x:row r="224" ht="26" customHeight="1">
      <x:c r="A224" s="167" t="n">
        <x:v>223</x:v>
      </x:c>
      <x:c r="B224" s="167" t="str">
        <x:v>competent</x:v>
      </x:c>
      <x:c r="C224" s="167" t="str">
        <x:v>adj.</x:v>
      </x:c>
      <x:c r="D224" s="170" t="str">
        <x:v>компетентний</x:v>
      </x:c>
      <x:c r="E224" s="167" t="str">
        <x:v>No</x:v>
      </x:c>
      <x:c r="F224" s="167"/>
      <x:c r="G224" s="167" t="str">
        <x:v>Core</x:v>
      </x:c>
      <x:c r="H224" s="167" t="str">
        <x:v>General</x:v>
      </x:c>
      <x:c r="I224" s="167" t="str">
        <x:v>Not Started</x:v>
      </x:c>
      <x:c r="J224" s="167" t="n">
        <x:v>0</x:v>
      </x:c>
      <x:c r="K224" s="168"/>
      <x:c r="L224" s="168" t="str">
        <x:f>IF(OR(I224="Mastered",K224=""),"",K224+IF(J224&gt;=5,30,IF(J224=4,14,IF(J224=3,7,IF(J224=2,3,1)))))</x:f>
      </x:c>
      <x:c r="M224" s="171" t="str"/>
      <x:c r="N224" s="171" t="str"/>
      <x:c r="O224" s="171" t="str">
        <x:v>Draft — verify in context</x:v>
      </x:c>
      <x:c r="P224" s="167" t="str">
        <x:v>https://www.oxfordlearnersdictionaries.com/wordlists/oxford3000-5000</x:v>
      </x:c>
    </x:row>
    <x:row r="225" ht="26" customHeight="1">
      <x:c r="A225" s="167" t="n">
        <x:v>224</x:v>
      </x:c>
      <x:c r="B225" s="167" t="str">
        <x:v>compile</x:v>
      </x:c>
      <x:c r="C225" s="167" t="str">
        <x:v>v.</x:v>
      </x:c>
      <x:c r="D225" s="170" t="str">
        <x:v>компілювати</x:v>
      </x:c>
      <x:c r="E225" s="167" t="str">
        <x:v>No</x:v>
      </x:c>
      <x:c r="F225" s="167"/>
      <x:c r="G225" s="167" t="str">
        <x:v>High</x:v>
      </x:c>
      <x:c r="H225" s="167" t="str">
        <x:v>Research &amp; data</x:v>
      </x:c>
      <x:c r="I225" s="167" t="str">
        <x:v>Not Started</x:v>
      </x:c>
      <x:c r="J225" s="167" t="n">
        <x:v>0</x:v>
      </x:c>
      <x:c r="K225" s="168"/>
      <x:c r="L225" s="168" t="str">
        <x:f>IF(OR(I225="Mastered",K225=""),"",K225+IF(J225&gt;=5,30,IF(J225=4,14,IF(J225=3,7,IF(J225=2,3,1)))))</x:f>
      </x:c>
      <x:c r="M225" s="171" t="str"/>
      <x:c r="N225" s="171" t="str"/>
      <x:c r="O225" s="171" t="str">
        <x:v>Draft — verify in context</x:v>
      </x:c>
      <x:c r="P225" s="167" t="str">
        <x:v>https://www.oxfordlearnersdictionaries.com/wordlists/oxford3000-5000</x:v>
      </x:c>
    </x:row>
    <x:row r="226" ht="26" customHeight="1">
      <x:c r="A226" s="167" t="n">
        <x:v>225</x:v>
      </x:c>
      <x:c r="B226" s="167" t="str">
        <x:v>complement</x:v>
      </x:c>
      <x:c r="C226" s="167" t="str">
        <x:v>v.</x:v>
      </x:c>
      <x:c r="D226" s="170" t="str">
        <x:v>доповнення</x:v>
      </x:c>
      <x:c r="E226" s="167" t="str">
        <x:v>Yes</x:v>
      </x:c>
      <x:c r="F226" s="167" t="n">
        <x:v>8</x:v>
      </x:c>
      <x:c r="G226" s="167" t="str">
        <x:v>High</x:v>
      </x:c>
      <x:c r="H226" s="167" t="str">
        <x:v>General</x:v>
      </x:c>
      <x:c r="I226" s="167" t="str">
        <x:v>Not Started</x:v>
      </x:c>
      <x:c r="J226" s="167" t="n">
        <x:v>0</x:v>
      </x:c>
      <x:c r="K226" s="168"/>
      <x:c r="L226" s="168" t="str">
        <x:f>IF(OR(I226="Mastered",K226=""),"",K226+IF(J226&gt;=5,30,IF(J226=4,14,IF(J226=3,7,IF(J226=2,3,1)))))</x:f>
      </x:c>
      <x:c r="M226" s="171" t="str"/>
      <x:c r="N226" s="171" t="str"/>
      <x:c r="O226" s="171" t="str">
        <x:v>Draft — verify in context</x:v>
      </x:c>
      <x:c r="P226" s="167" t="str">
        <x:v>https://www.oxfordlearnersdictionaries.com/wordlists/oxford3000-5000</x:v>
      </x:c>
    </x:row>
    <x:row r="227" ht="26" customHeight="1">
      <x:c r="A227" s="167" t="n">
        <x:v>226</x:v>
      </x:c>
      <x:c r="B227" s="167" t="str">
        <x:v>complexity</x:v>
      </x:c>
      <x:c r="C227" s="167" t="str">
        <x:v>n.</x:v>
      </x:c>
      <x:c r="D227" s="170" t="str">
        <x:v>складність</x:v>
      </x:c>
      <x:c r="E227" s="167" t="str">
        <x:v>No</x:v>
      </x:c>
      <x:c r="F227" s="167"/>
      <x:c r="G227" s="167" t="str">
        <x:v>Core</x:v>
      </x:c>
      <x:c r="H227" s="167" t="str">
        <x:v>General</x:v>
      </x:c>
      <x:c r="I227" s="167" t="str">
        <x:v>Not Started</x:v>
      </x:c>
      <x:c r="J227" s="167" t="n">
        <x:v>0</x:v>
      </x:c>
      <x:c r="K227" s="168"/>
      <x:c r="L227" s="168" t="str">
        <x:f>IF(OR(I227="Mastered",K227=""),"",K227+IF(J227&gt;=5,30,IF(J227=4,14,IF(J227=3,7,IF(J227=2,3,1)))))</x:f>
      </x:c>
      <x:c r="M227" s="171" t="str"/>
      <x:c r="N227" s="171" t="str"/>
      <x:c r="O227" s="171" t="str">
        <x:v>Draft — verify in context</x:v>
      </x:c>
      <x:c r="P227" s="167" t="str">
        <x:v>https://www.oxfordlearnersdictionaries.com/wordlists/oxford3000-5000</x:v>
      </x:c>
    </x:row>
    <x:row r="228" ht="26" customHeight="1">
      <x:c r="A228" s="167" t="n">
        <x:v>227</x:v>
      </x:c>
      <x:c r="B228" s="167" t="str">
        <x:v>compliance</x:v>
      </x:c>
      <x:c r="C228" s="167" t="str">
        <x:v>n.</x:v>
      </x:c>
      <x:c r="D228" s="170" t="str">
        <x:v>відповідність</x:v>
      </x:c>
      <x:c r="E228" s="167" t="str">
        <x:v>No</x:v>
      </x:c>
      <x:c r="F228" s="167"/>
      <x:c r="G228" s="167" t="str">
        <x:v>Core</x:v>
      </x:c>
      <x:c r="H228" s="167" t="str">
        <x:v>General</x:v>
      </x:c>
      <x:c r="I228" s="167" t="str">
        <x:v>Not Started</x:v>
      </x:c>
      <x:c r="J228" s="167" t="n">
        <x:v>0</x:v>
      </x:c>
      <x:c r="K228" s="168"/>
      <x:c r="L228" s="168" t="str">
        <x:f>IF(OR(I228="Mastered",K228=""),"",K228+IF(J228&gt;=5,30,IF(J228=4,14,IF(J228=3,7,IF(J228=2,3,1)))))</x:f>
      </x:c>
      <x:c r="M228" s="171" t="str"/>
      <x:c r="N228" s="171" t="str"/>
      <x:c r="O228" s="171" t="str">
        <x:v>Draft — verify in context</x:v>
      </x:c>
      <x:c r="P228" s="167" t="str">
        <x:v>https://www.oxfordlearnersdictionaries.com/wordlists/oxford3000-5000</x:v>
      </x:c>
    </x:row>
    <x:row r="229" ht="26" customHeight="1">
      <x:c r="A229" s="167" t="n">
        <x:v>228</x:v>
      </x:c>
      <x:c r="B229" s="167" t="str">
        <x:v>complication</x:v>
      </x:c>
      <x:c r="C229" s="167" t="str">
        <x:v>n.</x:v>
      </x:c>
      <x:c r="D229" s="170" t="str">
        <x:v>ускладнення</x:v>
      </x:c>
      <x:c r="E229" s="167" t="str">
        <x:v>No</x:v>
      </x:c>
      <x:c r="F229" s="167"/>
      <x:c r="G229" s="167" t="str">
        <x:v>Core</x:v>
      </x:c>
      <x:c r="H229" s="167" t="str">
        <x:v>General</x:v>
      </x:c>
      <x:c r="I229" s="167" t="str">
        <x:v>Not Started</x:v>
      </x:c>
      <x:c r="J229" s="167" t="n">
        <x:v>0</x:v>
      </x:c>
      <x:c r="K229" s="168"/>
      <x:c r="L229" s="168" t="str">
        <x:f>IF(OR(I229="Mastered",K229=""),"",K229+IF(J229&gt;=5,30,IF(J229=4,14,IF(J229=3,7,IF(J229=2,3,1)))))</x:f>
      </x:c>
      <x:c r="M229" s="171" t="str"/>
      <x:c r="N229" s="171" t="str"/>
      <x:c r="O229" s="171" t="str">
        <x:v>Draft — verify in context</x:v>
      </x:c>
      <x:c r="P229" s="167" t="str">
        <x:v>https://www.oxfordlearnersdictionaries.com/wordlists/oxford3000-5000</x:v>
      </x:c>
    </x:row>
    <x:row r="230" ht="26" customHeight="1">
      <x:c r="A230" s="167" t="n">
        <x:v>229</x:v>
      </x:c>
      <x:c r="B230" s="167" t="str">
        <x:v>comply</x:v>
      </x:c>
      <x:c r="C230" s="167" t="str">
        <x:v>v.</x:v>
      </x:c>
      <x:c r="D230" s="170" t="str">
        <x:v>дотримуватися</x:v>
      </x:c>
      <x:c r="E230" s="167" t="str">
        <x:v>No</x:v>
      </x:c>
      <x:c r="F230" s="167"/>
      <x:c r="G230" s="167" t="str">
        <x:v>Core</x:v>
      </x:c>
      <x:c r="H230" s="167" t="str">
        <x:v>General</x:v>
      </x:c>
      <x:c r="I230" s="167" t="str">
        <x:v>Not Started</x:v>
      </x:c>
      <x:c r="J230" s="167" t="n">
        <x:v>0</x:v>
      </x:c>
      <x:c r="K230" s="168"/>
      <x:c r="L230" s="168" t="str">
        <x:f>IF(OR(I230="Mastered",K230=""),"",K230+IF(J230&gt;=5,30,IF(J230=4,14,IF(J230=3,7,IF(J230=2,3,1)))))</x:f>
      </x:c>
      <x:c r="M230" s="171" t="str"/>
      <x:c r="N230" s="171" t="str"/>
      <x:c r="O230" s="171" t="str">
        <x:v>Draft — verify in context</x:v>
      </x:c>
      <x:c r="P230" s="167" t="str">
        <x:v>https://www.oxfordlearnersdictionaries.com/wordlists/oxford3000-5000</x:v>
      </x:c>
    </x:row>
    <x:row r="231" ht="26" customHeight="1">
      <x:c r="A231" s="167" t="n">
        <x:v>230</x:v>
      </x:c>
      <x:c r="B231" s="167" t="str">
        <x:v>composition</x:v>
      </x:c>
      <x:c r="C231" s="167" t="str">
        <x:v>n.</x:v>
      </x:c>
      <x:c r="D231" s="170" t="str">
        <x:v>склад</x:v>
      </x:c>
      <x:c r="E231" s="167" t="str">
        <x:v>No</x:v>
      </x:c>
      <x:c r="F231" s="167"/>
      <x:c r="G231" s="167" t="str">
        <x:v>Core</x:v>
      </x:c>
      <x:c r="H231" s="167" t="str">
        <x:v>General</x:v>
      </x:c>
      <x:c r="I231" s="167" t="str">
        <x:v>Not Started</x:v>
      </x:c>
      <x:c r="J231" s="167" t="n">
        <x:v>0</x:v>
      </x:c>
      <x:c r="K231" s="168"/>
      <x:c r="L231" s="168" t="str">
        <x:f>IF(OR(I231="Mastered",K231=""),"",K231+IF(J231&gt;=5,30,IF(J231=4,14,IF(J231=3,7,IF(J231=2,3,1)))))</x:f>
      </x:c>
      <x:c r="M231" s="171" t="str"/>
      <x:c r="N231" s="171" t="str"/>
      <x:c r="O231" s="171" t="str">
        <x:v>Draft — verify in context</x:v>
      </x:c>
      <x:c r="P231" s="167" t="str">
        <x:v>https://www.oxfordlearnersdictionaries.com/wordlists/oxford3000-5000</x:v>
      </x:c>
    </x:row>
    <x:row r="232" ht="26" customHeight="1">
      <x:c r="A232" s="167" t="n">
        <x:v>231</x:v>
      </x:c>
      <x:c r="B232" s="167" t="str">
        <x:v>compromise</x:v>
      </x:c>
      <x:c r="C232" s="167" t="str">
        <x:v>n., v.</x:v>
      </x:c>
      <x:c r="D232" s="170" t="str">
        <x:v>компроміс</x:v>
      </x:c>
      <x:c r="E232" s="167" t="str">
        <x:v>No</x:v>
      </x:c>
      <x:c r="F232" s="167"/>
      <x:c r="G232" s="167" t="str">
        <x:v>Core</x:v>
      </x:c>
      <x:c r="H232" s="167" t="str">
        <x:v>General</x:v>
      </x:c>
      <x:c r="I232" s="167" t="str">
        <x:v>Not Started</x:v>
      </x:c>
      <x:c r="J232" s="167" t="n">
        <x:v>0</x:v>
      </x:c>
      <x:c r="K232" s="168"/>
      <x:c r="L232" s="168" t="str">
        <x:f>IF(OR(I232="Mastered",K232=""),"",K232+IF(J232&gt;=5,30,IF(J232=4,14,IF(J232=3,7,IF(J232=2,3,1)))))</x:f>
      </x:c>
      <x:c r="M232" s="171" t="str"/>
      <x:c r="N232" s="171" t="str"/>
      <x:c r="O232" s="171" t="str">
        <x:v>Draft — verify in context</x:v>
      </x:c>
      <x:c r="P232" s="167" t="str">
        <x:v>https://www.oxfordlearnersdictionaries.com/wordlists/oxford3000-5000</x:v>
      </x:c>
    </x:row>
    <x:row r="233" ht="26" customHeight="1">
      <x:c r="A233" s="167" t="n">
        <x:v>232</x:v>
      </x:c>
      <x:c r="B233" s="167" t="str">
        <x:v>compute</x:v>
      </x:c>
      <x:c r="C233" s="167" t="str">
        <x:v>v.</x:v>
      </x:c>
      <x:c r="D233" s="170" t="str">
        <x:v>обчислювати</x:v>
      </x:c>
      <x:c r="E233" s="167" t="str">
        <x:v>No</x:v>
      </x:c>
      <x:c r="F233" s="167"/>
      <x:c r="G233" s="167" t="str">
        <x:v>Core</x:v>
      </x:c>
      <x:c r="H233" s="167" t="str">
        <x:v>General</x:v>
      </x:c>
      <x:c r="I233" s="167" t="str">
        <x:v>Not Started</x:v>
      </x:c>
      <x:c r="J233" s="167" t="n">
        <x:v>0</x:v>
      </x:c>
      <x:c r="K233" s="168"/>
      <x:c r="L233" s="168" t="str">
        <x:f>IF(OR(I233="Mastered",K233=""),"",K233+IF(J233&gt;=5,30,IF(J233=4,14,IF(J233=3,7,IF(J233=2,3,1)))))</x:f>
      </x:c>
      <x:c r="M233" s="171" t="str"/>
      <x:c r="N233" s="171" t="str"/>
      <x:c r="O233" s="171" t="str">
        <x:v>Draft — verify in context</x:v>
      </x:c>
      <x:c r="P233" s="167" t="str">
        <x:v>https://www.oxfordlearnersdictionaries.com/wordlists/oxford3000-5000</x:v>
      </x:c>
    </x:row>
    <x:row r="234" ht="26" customHeight="1">
      <x:c r="A234" s="167" t="n">
        <x:v>233</x:v>
      </x:c>
      <x:c r="B234" s="167" t="str">
        <x:v>conceal</x:v>
      </x:c>
      <x:c r="C234" s="167" t="str">
        <x:v>v.</x:v>
      </x:c>
      <x:c r="D234" s="170" t="str">
        <x:v>приховувати</x:v>
      </x:c>
      <x:c r="E234" s="167" t="str">
        <x:v>No</x:v>
      </x:c>
      <x:c r="F234" s="167"/>
      <x:c r="G234" s="167" t="str">
        <x:v>Core</x:v>
      </x:c>
      <x:c r="H234" s="167" t="str">
        <x:v>General</x:v>
      </x:c>
      <x:c r="I234" s="167" t="str">
        <x:v>Not Started</x:v>
      </x:c>
      <x:c r="J234" s="167" t="n">
        <x:v>0</x:v>
      </x:c>
      <x:c r="K234" s="168"/>
      <x:c r="L234" s="168" t="str">
        <x:f>IF(OR(I234="Mastered",K234=""),"",K234+IF(J234&gt;=5,30,IF(J234=4,14,IF(J234=3,7,IF(J234=2,3,1)))))</x:f>
      </x:c>
      <x:c r="M234" s="171" t="str"/>
      <x:c r="N234" s="171" t="str"/>
      <x:c r="O234" s="171" t="str">
        <x:v>Draft — verify in context</x:v>
      </x:c>
      <x:c r="P234" s="167" t="str">
        <x:v>https://www.oxfordlearnersdictionaries.com/wordlists/oxford3000-5000</x:v>
      </x:c>
    </x:row>
    <x:row r="235" ht="26" customHeight="1">
      <x:c r="A235" s="167" t="n">
        <x:v>234</x:v>
      </x:c>
      <x:c r="B235" s="167" t="str">
        <x:v>concede</x:v>
      </x:c>
      <x:c r="C235" s="167" t="str">
        <x:v>v.</x:v>
      </x:c>
      <x:c r="D235" s="170" t="str">
        <x:v>поступитися</x:v>
      </x:c>
      <x:c r="E235" s="167" t="str">
        <x:v>No</x:v>
      </x:c>
      <x:c r="F235" s="167"/>
      <x:c r="G235" s="167" t="str">
        <x:v>Core</x:v>
      </x:c>
      <x:c r="H235" s="167" t="str">
        <x:v>General</x:v>
      </x:c>
      <x:c r="I235" s="167" t="str">
        <x:v>Not Started</x:v>
      </x:c>
      <x:c r="J235" s="167" t="n">
        <x:v>0</x:v>
      </x:c>
      <x:c r="K235" s="168"/>
      <x:c r="L235" s="168" t="str">
        <x:f>IF(OR(I235="Mastered",K235=""),"",K235+IF(J235&gt;=5,30,IF(J235=4,14,IF(J235=3,7,IF(J235=2,3,1)))))</x:f>
      </x:c>
      <x:c r="M235" s="171" t="str"/>
      <x:c r="N235" s="171" t="str"/>
      <x:c r="O235" s="171" t="str">
        <x:v>Draft — verify in context</x:v>
      </x:c>
      <x:c r="P235" s="167" t="str">
        <x:v>https://www.oxfordlearnersdictionaries.com/wordlists/oxford3000-5000</x:v>
      </x:c>
    </x:row>
    <x:row r="236" ht="26" customHeight="1">
      <x:c r="A236" s="167" t="n">
        <x:v>235</x:v>
      </x:c>
      <x:c r="B236" s="167" t="str">
        <x:v>conceive</x:v>
      </x:c>
      <x:c r="C236" s="167" t="str">
        <x:v>v.</x:v>
      </x:c>
      <x:c r="D236" s="170" t="str">
        <x:v>зачати</x:v>
      </x:c>
      <x:c r="E236" s="167" t="str">
        <x:v>No</x:v>
      </x:c>
      <x:c r="F236" s="167"/>
      <x:c r="G236" s="167" t="str">
        <x:v>Core</x:v>
      </x:c>
      <x:c r="H236" s="167" t="str">
        <x:v>General</x:v>
      </x:c>
      <x:c r="I236" s="167" t="str">
        <x:v>Not Started</x:v>
      </x:c>
      <x:c r="J236" s="167" t="n">
        <x:v>0</x:v>
      </x:c>
      <x:c r="K236" s="168"/>
      <x:c r="L236" s="168" t="str">
        <x:f>IF(OR(I236="Mastered",K236=""),"",K236+IF(J236&gt;=5,30,IF(J236=4,14,IF(J236=3,7,IF(J236=2,3,1)))))</x:f>
      </x:c>
      <x:c r="M236" s="171" t="str"/>
      <x:c r="N236" s="171" t="str"/>
      <x:c r="O236" s="171" t="str">
        <x:v>Draft — verify in context</x:v>
      </x:c>
      <x:c r="P236" s="167" t="str">
        <x:v>https://www.oxfordlearnersdictionaries.com/wordlists/oxford3000-5000</x:v>
      </x:c>
    </x:row>
    <x:row r="237" ht="26" customHeight="1">
      <x:c r="A237" s="167" t="n">
        <x:v>236</x:v>
      </x:c>
      <x:c r="B237" s="167" t="str">
        <x:v>conception</x:v>
      </x:c>
      <x:c r="C237" s="167" t="str">
        <x:v>n.</x:v>
      </x:c>
      <x:c r="D237" s="170" t="str">
        <x:v>концепція</x:v>
      </x:c>
      <x:c r="E237" s="167" t="str">
        <x:v>No</x:v>
      </x:c>
      <x:c r="F237" s="167"/>
      <x:c r="G237" s="167" t="str">
        <x:v>Core</x:v>
      </x:c>
      <x:c r="H237" s="167" t="str">
        <x:v>General</x:v>
      </x:c>
      <x:c r="I237" s="167" t="str">
        <x:v>Not Started</x:v>
      </x:c>
      <x:c r="J237" s="167" t="n">
        <x:v>0</x:v>
      </x:c>
      <x:c r="K237" s="168"/>
      <x:c r="L237" s="168" t="str">
        <x:f>IF(OR(I237="Mastered",K237=""),"",K237+IF(J237&gt;=5,30,IF(J237=4,14,IF(J237=3,7,IF(J237=2,3,1)))))</x:f>
      </x:c>
      <x:c r="M237" s="171" t="str"/>
      <x:c r="N237" s="171" t="str"/>
      <x:c r="O237" s="171" t="str">
        <x:v>Draft — verify in context</x:v>
      </x:c>
      <x:c r="P237" s="167" t="str">
        <x:v>https://www.oxfordlearnersdictionaries.com/wordlists/oxford3000-5000</x:v>
      </x:c>
    </x:row>
    <x:row r="238" ht="26" customHeight="1">
      <x:c r="A238" s="167" t="n">
        <x:v>237</x:v>
      </x:c>
      <x:c r="B238" s="167" t="str">
        <x:v>concession</x:v>
      </x:c>
      <x:c r="C238" s="167" t="str">
        <x:v>n.</x:v>
      </x:c>
      <x:c r="D238" s="170" t="str">
        <x:v>концесія</x:v>
      </x:c>
      <x:c r="E238" s="167" t="str">
        <x:v>No</x:v>
      </x:c>
      <x:c r="F238" s="167"/>
      <x:c r="G238" s="167" t="str">
        <x:v>Core</x:v>
      </x:c>
      <x:c r="H238" s="167" t="str">
        <x:v>General</x:v>
      </x:c>
      <x:c r="I238" s="167" t="str">
        <x:v>Not Started</x:v>
      </x:c>
      <x:c r="J238" s="167" t="n">
        <x:v>0</x:v>
      </x:c>
      <x:c r="K238" s="168"/>
      <x:c r="L238" s="168" t="str">
        <x:f>IF(OR(I238="Mastered",K238=""),"",K238+IF(J238&gt;=5,30,IF(J238=4,14,IF(J238=3,7,IF(J238=2,3,1)))))</x:f>
      </x:c>
      <x:c r="M238" s="171" t="str"/>
      <x:c r="N238" s="171" t="str"/>
      <x:c r="O238" s="171" t="str">
        <x:v>Draft — verify in context</x:v>
      </x:c>
      <x:c r="P238" s="167" t="str">
        <x:v>https://www.oxfordlearnersdictionaries.com/wordlists/oxford3000-5000</x:v>
      </x:c>
    </x:row>
    <x:row r="239" ht="26" customHeight="1">
      <x:c r="A239" s="167" t="n">
        <x:v>238</x:v>
      </x:c>
      <x:c r="B239" s="167" t="str">
        <x:v>condemn</x:v>
      </x:c>
      <x:c r="C239" s="167" t="str">
        <x:v>v.</x:v>
      </x:c>
      <x:c r="D239" s="170" t="str">
        <x:v>засуджувати</x:v>
      </x:c>
      <x:c r="E239" s="167" t="str">
        <x:v>No</x:v>
      </x:c>
      <x:c r="F239" s="167"/>
      <x:c r="G239" s="167" t="str">
        <x:v>Core</x:v>
      </x:c>
      <x:c r="H239" s="167" t="str">
        <x:v>General</x:v>
      </x:c>
      <x:c r="I239" s="167" t="str">
        <x:v>Not Started</x:v>
      </x:c>
      <x:c r="J239" s="167" t="n">
        <x:v>0</x:v>
      </x:c>
      <x:c r="K239" s="168"/>
      <x:c r="L239" s="168" t="str">
        <x:f>IF(OR(I239="Mastered",K239=""),"",K239+IF(J239&gt;=5,30,IF(J239=4,14,IF(J239=3,7,IF(J239=2,3,1)))))</x:f>
      </x:c>
      <x:c r="M239" s="171" t="str"/>
      <x:c r="N239" s="171" t="str"/>
      <x:c r="O239" s="171" t="str">
        <x:v>Draft — verify in context</x:v>
      </x:c>
      <x:c r="P239" s="167" t="str">
        <x:v>https://www.oxfordlearnersdictionaries.com/wordlists/oxford3000-5000</x:v>
      </x:c>
    </x:row>
    <x:row r="240" ht="26" customHeight="1">
      <x:c r="A240" s="167" t="n">
        <x:v>239</x:v>
      </x:c>
      <x:c r="B240" s="167" t="str">
        <x:v>confer</x:v>
      </x:c>
      <x:c r="C240" s="167" t="str">
        <x:v>v.</x:v>
      </x:c>
      <x:c r="D240" s="170" t="str">
        <x:v>надавати</x:v>
      </x:c>
      <x:c r="E240" s="167" t="str">
        <x:v>No</x:v>
      </x:c>
      <x:c r="F240" s="167"/>
      <x:c r="G240" s="167" t="str">
        <x:v>Core</x:v>
      </x:c>
      <x:c r="H240" s="167" t="str">
        <x:v>General</x:v>
      </x:c>
      <x:c r="I240" s="167" t="str">
        <x:v>Not Started</x:v>
      </x:c>
      <x:c r="J240" s="167" t="n">
        <x:v>0</x:v>
      </x:c>
      <x:c r="K240" s="168"/>
      <x:c r="L240" s="168" t="str">
        <x:f>IF(OR(I240="Mastered",K240=""),"",K240+IF(J240&gt;=5,30,IF(J240=4,14,IF(J240=3,7,IF(J240=2,3,1)))))</x:f>
      </x:c>
      <x:c r="M240" s="171" t="str"/>
      <x:c r="N240" s="171" t="str"/>
      <x:c r="O240" s="171" t="str">
        <x:v>Draft — verify in context</x:v>
      </x:c>
      <x:c r="P240" s="167" t="str">
        <x:v>https://www.oxfordlearnersdictionaries.com/wordlists/oxford3000-5000</x:v>
      </x:c>
    </x:row>
    <x:row r="241" ht="26" customHeight="1">
      <x:c r="A241" s="167" t="n">
        <x:v>240</x:v>
      </x:c>
      <x:c r="B241" s="167" t="str">
        <x:v>confession</x:v>
      </x:c>
      <x:c r="C241" s="167" t="str">
        <x:v>n.</x:v>
      </x:c>
      <x:c r="D241" s="170" t="str">
        <x:v>сповідь</x:v>
      </x:c>
      <x:c r="E241" s="167" t="str">
        <x:v>No</x:v>
      </x:c>
      <x:c r="F241" s="167"/>
      <x:c r="G241" s="167" t="str">
        <x:v>Core</x:v>
      </x:c>
      <x:c r="H241" s="167" t="str">
        <x:v>General</x:v>
      </x:c>
      <x:c r="I241" s="167" t="str">
        <x:v>Not Started</x:v>
      </x:c>
      <x:c r="J241" s="167" t="n">
        <x:v>0</x:v>
      </x:c>
      <x:c r="K241" s="168"/>
      <x:c r="L241" s="168" t="str">
        <x:f>IF(OR(I241="Mastered",K241=""),"",K241+IF(J241&gt;=5,30,IF(J241=4,14,IF(J241=3,7,IF(J241=2,3,1)))))</x:f>
      </x:c>
      <x:c r="M241" s="171" t="str"/>
      <x:c r="N241" s="171" t="str"/>
      <x:c r="O241" s="171" t="str">
        <x:v>Draft — verify in context</x:v>
      </x:c>
      <x:c r="P241" s="167" t="str">
        <x:v>https://www.oxfordlearnersdictionaries.com/wordlists/oxford3000-5000</x:v>
      </x:c>
    </x:row>
    <x:row r="242" ht="26" customHeight="1">
      <x:c r="A242" s="167" t="n">
        <x:v>241</x:v>
      </x:c>
      <x:c r="B242" s="167" t="str">
        <x:v>configuration</x:v>
      </x:c>
      <x:c r="C242" s="167" t="str">
        <x:v>n.</x:v>
      </x:c>
      <x:c r="D242" s="170" t="str">
        <x:v>конфігурація</x:v>
      </x:c>
      <x:c r="E242" s="167" t="str">
        <x:v>No</x:v>
      </x:c>
      <x:c r="F242" s="167"/>
      <x:c r="G242" s="167" t="str">
        <x:v>High</x:v>
      </x:c>
      <x:c r="H242" s="167" t="str">
        <x:v>Technology</x:v>
      </x:c>
      <x:c r="I242" s="167" t="str">
        <x:v>Not Started</x:v>
      </x:c>
      <x:c r="J242" s="167" t="n">
        <x:v>0</x:v>
      </x:c>
      <x:c r="K242" s="168"/>
      <x:c r="L242" s="168" t="str">
        <x:f>IF(OR(I242="Mastered",K242=""),"",K242+IF(J242&gt;=5,30,IF(J242=4,14,IF(J242=3,7,IF(J242=2,3,1)))))</x:f>
      </x:c>
      <x:c r="M242" s="171" t="str"/>
      <x:c r="N242" s="171" t="str"/>
      <x:c r="O242" s="171" t="str">
        <x:v>Draft — verify in context</x:v>
      </x:c>
      <x:c r="P242" s="167" t="str">
        <x:v>https://www.oxfordlearnersdictionaries.com/wordlists/oxford3000-5000</x:v>
      </x:c>
    </x:row>
    <x:row r="243" ht="26" customHeight="1">
      <x:c r="A243" s="167" t="n">
        <x:v>242</x:v>
      </x:c>
      <x:c r="B243" s="167" t="str">
        <x:v>confine</x:v>
      </x:c>
      <x:c r="C243" s="167" t="str">
        <x:v>v.</x:v>
      </x:c>
      <x:c r="D243" s="170" t="str">
        <x:v>обмежити</x:v>
      </x:c>
      <x:c r="E243" s="167" t="str">
        <x:v>No</x:v>
      </x:c>
      <x:c r="F243" s="167"/>
      <x:c r="G243" s="167" t="str">
        <x:v>Core</x:v>
      </x:c>
      <x:c r="H243" s="167" t="str">
        <x:v>General</x:v>
      </x:c>
      <x:c r="I243" s="167" t="str">
        <x:v>Not Started</x:v>
      </x:c>
      <x:c r="J243" s="167" t="n">
        <x:v>0</x:v>
      </x:c>
      <x:c r="K243" s="168"/>
      <x:c r="L243" s="168" t="str">
        <x:f>IF(OR(I243="Mastered",K243=""),"",K243+IF(J243&gt;=5,30,IF(J243=4,14,IF(J243=3,7,IF(J243=2,3,1)))))</x:f>
      </x:c>
      <x:c r="M243" s="171" t="str"/>
      <x:c r="N243" s="171" t="str"/>
      <x:c r="O243" s="171" t="str">
        <x:v>Draft — verify in context</x:v>
      </x:c>
      <x:c r="P243" s="167" t="str">
        <x:v>https://www.oxfordlearnersdictionaries.com/wordlists/oxford3000-5000</x:v>
      </x:c>
    </x:row>
    <x:row r="244" ht="26" customHeight="1">
      <x:c r="A244" s="167" t="n">
        <x:v>243</x:v>
      </x:c>
      <x:c r="B244" s="167" t="str">
        <x:v>confirmation</x:v>
      </x:c>
      <x:c r="C244" s="167" t="str">
        <x:v>n.</x:v>
      </x:c>
      <x:c r="D244" s="170" t="str">
        <x:v>підтвердження</x:v>
      </x:c>
      <x:c r="E244" s="167" t="str">
        <x:v>No</x:v>
      </x:c>
      <x:c r="F244" s="167"/>
      <x:c r="G244" s="167" t="str">
        <x:v>Core</x:v>
      </x:c>
      <x:c r="H244" s="167" t="str">
        <x:v>General</x:v>
      </x:c>
      <x:c r="I244" s="167" t="str">
        <x:v>Not Started</x:v>
      </x:c>
      <x:c r="J244" s="167" t="n">
        <x:v>0</x:v>
      </x:c>
      <x:c r="K244" s="168"/>
      <x:c r="L244" s="168" t="str">
        <x:f>IF(OR(I244="Mastered",K244=""),"",K244+IF(J244&gt;=5,30,IF(J244=4,14,IF(J244=3,7,IF(J244=2,3,1)))))</x:f>
      </x:c>
      <x:c r="M244" s="171" t="str"/>
      <x:c r="N244" s="171" t="str"/>
      <x:c r="O244" s="171" t="str">
        <x:v>Draft — verify in context</x:v>
      </x:c>
      <x:c r="P244" s="167" t="str">
        <x:v>https://www.oxfordlearnersdictionaries.com/wordlists/oxford3000-5000</x:v>
      </x:c>
    </x:row>
    <x:row r="245" ht="26" customHeight="1">
      <x:c r="A245" s="167" t="n">
        <x:v>244</x:v>
      </x:c>
      <x:c r="B245" s="167" t="str">
        <x:v>confront</x:v>
      </x:c>
      <x:c r="C245" s="167" t="str">
        <x:v>v.</x:v>
      </x:c>
      <x:c r="D245" s="170" t="str">
        <x:v>конфронтувати</x:v>
      </x:c>
      <x:c r="E245" s="167" t="str">
        <x:v>No</x:v>
      </x:c>
      <x:c r="F245" s="167"/>
      <x:c r="G245" s="167" t="str">
        <x:v>Core</x:v>
      </x:c>
      <x:c r="H245" s="167" t="str">
        <x:v>General</x:v>
      </x:c>
      <x:c r="I245" s="167" t="str">
        <x:v>Not Started</x:v>
      </x:c>
      <x:c r="J245" s="167" t="n">
        <x:v>0</x:v>
      </x:c>
      <x:c r="K245" s="168"/>
      <x:c r="L245" s="168" t="str">
        <x:f>IF(OR(I245="Mastered",K245=""),"",K245+IF(J245&gt;=5,30,IF(J245=4,14,IF(J245=3,7,IF(J245=2,3,1)))))</x:f>
      </x:c>
      <x:c r="M245" s="171" t="str"/>
      <x:c r="N245" s="171" t="str"/>
      <x:c r="O245" s="171" t="str">
        <x:v>Draft — verify in context</x:v>
      </x:c>
      <x:c r="P245" s="167" t="str">
        <x:v>https://www.oxfordlearnersdictionaries.com/wordlists/oxford3000-5000</x:v>
      </x:c>
    </x:row>
    <x:row r="246" ht="26" customHeight="1">
      <x:c r="A246" s="167" t="n">
        <x:v>245</x:v>
      </x:c>
      <x:c r="B246" s="167" t="str">
        <x:v>confrontation</x:v>
      </x:c>
      <x:c r="C246" s="167" t="str">
        <x:v>n.</x:v>
      </x:c>
      <x:c r="D246" s="170" t="str">
        <x:v>конфронтація</x:v>
      </x:c>
      <x:c r="E246" s="167" t="str">
        <x:v>No</x:v>
      </x:c>
      <x:c r="F246" s="167"/>
      <x:c r="G246" s="167" t="str">
        <x:v>Core</x:v>
      </x:c>
      <x:c r="H246" s="167" t="str">
        <x:v>General</x:v>
      </x:c>
      <x:c r="I246" s="167" t="str">
        <x:v>Not Started</x:v>
      </x:c>
      <x:c r="J246" s="167" t="n">
        <x:v>0</x:v>
      </x:c>
      <x:c r="K246" s="168"/>
      <x:c r="L246" s="168" t="str">
        <x:f>IF(OR(I246="Mastered",K246=""),"",K246+IF(J246&gt;=5,30,IF(J246=4,14,IF(J246=3,7,IF(J246=2,3,1)))))</x:f>
      </x:c>
      <x:c r="M246" s="171" t="str"/>
      <x:c r="N246" s="171" t="str"/>
      <x:c r="O246" s="171" t="str">
        <x:v>Draft — verify in context</x:v>
      </x:c>
      <x:c r="P246" s="167" t="str">
        <x:v>https://www.oxfordlearnersdictionaries.com/wordlists/oxford3000-5000</x:v>
      </x:c>
    </x:row>
    <x:row r="247" ht="26" customHeight="1">
      <x:c r="A247" s="167" t="n">
        <x:v>246</x:v>
      </x:c>
      <x:c r="B247" s="167" t="str">
        <x:v>congratulate</x:v>
      </x:c>
      <x:c r="C247" s="167" t="str">
        <x:v>v.</x:v>
      </x:c>
      <x:c r="D247" s="170" t="str">
        <x:v>вітати</x:v>
      </x:c>
      <x:c r="E247" s="167" t="str">
        <x:v>No</x:v>
      </x:c>
      <x:c r="F247" s="167"/>
      <x:c r="G247" s="167" t="str">
        <x:v>Core</x:v>
      </x:c>
      <x:c r="H247" s="167" t="str">
        <x:v>General</x:v>
      </x:c>
      <x:c r="I247" s="167" t="str">
        <x:v>Not Started</x:v>
      </x:c>
      <x:c r="J247" s="167" t="n">
        <x:v>0</x:v>
      </x:c>
      <x:c r="K247" s="168"/>
      <x:c r="L247" s="168" t="str">
        <x:f>IF(OR(I247="Mastered",K247=""),"",K247+IF(J247&gt;=5,30,IF(J247=4,14,IF(J247=3,7,IF(J247=2,3,1)))))</x:f>
      </x:c>
      <x:c r="M247" s="171" t="str"/>
      <x:c r="N247" s="171" t="str"/>
      <x:c r="O247" s="171" t="str">
        <x:v>Draft — verify in context</x:v>
      </x:c>
      <x:c r="P247" s="167" t="str">
        <x:v>https://www.oxfordlearnersdictionaries.com/wordlists/oxford3000-5000</x:v>
      </x:c>
    </x:row>
    <x:row r="248" ht="26" customHeight="1">
      <x:c r="A248" s="167" t="n">
        <x:v>247</x:v>
      </x:c>
      <x:c r="B248" s="167" t="str">
        <x:v>congregation</x:v>
      </x:c>
      <x:c r="C248" s="167" t="str">
        <x:v>n.</x:v>
      </x:c>
      <x:c r="D248" s="170" t="str">
        <x:v>конгрегація</x:v>
      </x:c>
      <x:c r="E248" s="167" t="str">
        <x:v>No</x:v>
      </x:c>
      <x:c r="F248" s="167"/>
      <x:c r="G248" s="167" t="str">
        <x:v>Core</x:v>
      </x:c>
      <x:c r="H248" s="167" t="str">
        <x:v>General</x:v>
      </x:c>
      <x:c r="I248" s="167" t="str">
        <x:v>Not Started</x:v>
      </x:c>
      <x:c r="J248" s="167" t="n">
        <x:v>0</x:v>
      </x:c>
      <x:c r="K248" s="168"/>
      <x:c r="L248" s="168" t="str">
        <x:f>IF(OR(I248="Mastered",K248=""),"",K248+IF(J248&gt;=5,30,IF(J248=4,14,IF(J248=3,7,IF(J248=2,3,1)))))</x:f>
      </x:c>
      <x:c r="M248" s="171" t="str"/>
      <x:c r="N248" s="171" t="str"/>
      <x:c r="O248" s="171" t="str">
        <x:v>Draft — verify in context</x:v>
      </x:c>
      <x:c r="P248" s="167" t="str">
        <x:v>https://www.oxfordlearnersdictionaries.com/wordlists/oxford3000-5000</x:v>
      </x:c>
    </x:row>
    <x:row r="249" ht="26" customHeight="1">
      <x:c r="A249" s="167" t="n">
        <x:v>248</x:v>
      </x:c>
      <x:c r="B249" s="167" t="str">
        <x:v>congressional</x:v>
      </x:c>
      <x:c r="C249" s="167" t="str">
        <x:v>adj.</x:v>
      </x:c>
      <x:c r="D249" s="170" t="str">
        <x:v>конгресовий</x:v>
      </x:c>
      <x:c r="E249" s="167" t="str">
        <x:v>No</x:v>
      </x:c>
      <x:c r="F249" s="167"/>
      <x:c r="G249" s="167" t="str">
        <x:v>Core</x:v>
      </x:c>
      <x:c r="H249" s="167" t="str">
        <x:v>General</x:v>
      </x:c>
      <x:c r="I249" s="167" t="str">
        <x:v>Not Started</x:v>
      </x:c>
      <x:c r="J249" s="167" t="n">
        <x:v>0</x:v>
      </x:c>
      <x:c r="K249" s="168"/>
      <x:c r="L249" s="168" t="str">
        <x:f>IF(OR(I249="Mastered",K249=""),"",K249+IF(J249&gt;=5,30,IF(J249=4,14,IF(J249=3,7,IF(J249=2,3,1)))))</x:f>
      </x:c>
      <x:c r="M249" s="171" t="str"/>
      <x:c r="N249" s="171" t="str"/>
      <x:c r="O249" s="171" t="str">
        <x:v>Draft — verify in context</x:v>
      </x:c>
      <x:c r="P249" s="167" t="str">
        <x:v>https://www.oxfordlearnersdictionaries.com/wordlists/oxford3000-5000</x:v>
      </x:c>
    </x:row>
    <x:row r="250" ht="26" customHeight="1">
      <x:c r="A250" s="167" t="n">
        <x:v>249</x:v>
      </x:c>
      <x:c r="B250" s="167" t="str">
        <x:v>conquer</x:v>
      </x:c>
      <x:c r="C250" s="167" t="str">
        <x:v>v.</x:v>
      </x:c>
      <x:c r="D250" s="170" t="str">
        <x:v>перемогти</x:v>
      </x:c>
      <x:c r="E250" s="167" t="str">
        <x:v>No</x:v>
      </x:c>
      <x:c r="F250" s="167"/>
      <x:c r="G250" s="167" t="str">
        <x:v>Core</x:v>
      </x:c>
      <x:c r="H250" s="167" t="str">
        <x:v>General</x:v>
      </x:c>
      <x:c r="I250" s="167" t="str">
        <x:v>Not Started</x:v>
      </x:c>
      <x:c r="J250" s="167" t="n">
        <x:v>0</x:v>
      </x:c>
      <x:c r="K250" s="168"/>
      <x:c r="L250" s="168" t="str">
        <x:f>IF(OR(I250="Mastered",K250=""),"",K250+IF(J250&gt;=5,30,IF(J250=4,14,IF(J250=3,7,IF(J250=2,3,1)))))</x:f>
      </x:c>
      <x:c r="M250" s="171" t="str"/>
      <x:c r="N250" s="171" t="str"/>
      <x:c r="O250" s="171" t="str">
        <x:v>Draft — verify in context</x:v>
      </x:c>
      <x:c r="P250" s="167" t="str">
        <x:v>https://www.oxfordlearnersdictionaries.com/wordlists/oxford3000-5000</x:v>
      </x:c>
    </x:row>
    <x:row r="251" ht="26" customHeight="1">
      <x:c r="A251" s="167" t="n">
        <x:v>250</x:v>
      </x:c>
      <x:c r="B251" s="167" t="str">
        <x:v>conscience</x:v>
      </x:c>
      <x:c r="C251" s="167" t="str">
        <x:v>n.</x:v>
      </x:c>
      <x:c r="D251" s="170" t="str">
        <x:v>совість</x:v>
      </x:c>
      <x:c r="E251" s="167" t="str">
        <x:v>No</x:v>
      </x:c>
      <x:c r="F251" s="167"/>
      <x:c r="G251" s="167" t="str">
        <x:v>Core</x:v>
      </x:c>
      <x:c r="H251" s="167" t="str">
        <x:v>General</x:v>
      </x:c>
      <x:c r="I251" s="167" t="str">
        <x:v>Not Started</x:v>
      </x:c>
      <x:c r="J251" s="167" t="n">
        <x:v>0</x:v>
      </x:c>
      <x:c r="K251" s="168"/>
      <x:c r="L251" s="168" t="str">
        <x:f>IF(OR(I251="Mastered",K251=""),"",K251+IF(J251&gt;=5,30,IF(J251=4,14,IF(J251=3,7,IF(J251=2,3,1)))))</x:f>
      </x:c>
      <x:c r="M251" s="171" t="str"/>
      <x:c r="N251" s="171" t="str"/>
      <x:c r="O251" s="171" t="str">
        <x:v>Draft — verify in context</x:v>
      </x:c>
      <x:c r="P251" s="167" t="str">
        <x:v>https://www.oxfordlearnersdictionaries.com/wordlists/oxford3000-5000</x:v>
      </x:c>
    </x:row>
    <x:row r="252" ht="26" customHeight="1">
      <x:c r="A252" s="167" t="n">
        <x:v>251</x:v>
      </x:c>
      <x:c r="B252" s="167" t="str">
        <x:v>consciousness</x:v>
      </x:c>
      <x:c r="C252" s="167" t="str">
        <x:v>n.</x:v>
      </x:c>
      <x:c r="D252" s="170" t="str">
        <x:v>свідомість</x:v>
      </x:c>
      <x:c r="E252" s="167" t="str">
        <x:v>No</x:v>
      </x:c>
      <x:c r="F252" s="167"/>
      <x:c r="G252" s="167" t="str">
        <x:v>Core</x:v>
      </x:c>
      <x:c r="H252" s="167" t="str">
        <x:v>General</x:v>
      </x:c>
      <x:c r="I252" s="167" t="str">
        <x:v>Not Started</x:v>
      </x:c>
      <x:c r="J252" s="167" t="n">
        <x:v>0</x:v>
      </x:c>
      <x:c r="K252" s="168"/>
      <x:c r="L252" s="168" t="str">
        <x:f>IF(OR(I252="Mastered",K252=""),"",K252+IF(J252&gt;=5,30,IF(J252=4,14,IF(J252=3,7,IF(J252=2,3,1)))))</x:f>
      </x:c>
      <x:c r="M252" s="171" t="str"/>
      <x:c r="N252" s="171" t="str"/>
      <x:c r="O252" s="171" t="str">
        <x:v>Draft — verify in context</x:v>
      </x:c>
      <x:c r="P252" s="167" t="str">
        <x:v>https://www.oxfordlearnersdictionaries.com/wordlists/oxford3000-5000</x:v>
      </x:c>
    </x:row>
    <x:row r="253" ht="26" customHeight="1">
      <x:c r="A253" s="167" t="n">
        <x:v>252</x:v>
      </x:c>
      <x:c r="B253" s="167" t="str">
        <x:v>consecutive</x:v>
      </x:c>
      <x:c r="C253" s="167" t="str">
        <x:v>adj.</x:v>
      </x:c>
      <x:c r="D253" s="170" t="str">
        <x:v>послідовний</x:v>
      </x:c>
      <x:c r="E253" s="167" t="str">
        <x:v>No</x:v>
      </x:c>
      <x:c r="F253" s="167"/>
      <x:c r="G253" s="167" t="str">
        <x:v>Core</x:v>
      </x:c>
      <x:c r="H253" s="167" t="str">
        <x:v>General</x:v>
      </x:c>
      <x:c r="I253" s="167" t="str">
        <x:v>Not Started</x:v>
      </x:c>
      <x:c r="J253" s="167" t="n">
        <x:v>0</x:v>
      </x:c>
      <x:c r="K253" s="168"/>
      <x:c r="L253" s="168" t="str">
        <x:f>IF(OR(I253="Mastered",K253=""),"",K253+IF(J253&gt;=5,30,IF(J253=4,14,IF(J253=3,7,IF(J253=2,3,1)))))</x:f>
      </x:c>
      <x:c r="M253" s="171" t="str"/>
      <x:c r="N253" s="171" t="str"/>
      <x:c r="O253" s="171" t="str">
        <x:v>Draft — verify in context</x:v>
      </x:c>
      <x:c r="P253" s="167" t="str">
        <x:v>https://www.oxfordlearnersdictionaries.com/wordlists/oxford3000-5000</x:v>
      </x:c>
    </x:row>
    <x:row r="254" ht="26" customHeight="1">
      <x:c r="A254" s="167" t="n">
        <x:v>253</x:v>
      </x:c>
      <x:c r="B254" s="167" t="str">
        <x:v>consensus</x:v>
      </x:c>
      <x:c r="C254" s="167" t="str">
        <x:v>n.</x:v>
      </x:c>
      <x:c r="D254" s="170" t="str">
        <x:v>консенсус</x:v>
      </x:c>
      <x:c r="E254" s="167" t="str">
        <x:v>No</x:v>
      </x:c>
      <x:c r="F254" s="167"/>
      <x:c r="G254" s="167" t="str">
        <x:v>Core</x:v>
      </x:c>
      <x:c r="H254" s="167" t="str">
        <x:v>General</x:v>
      </x:c>
      <x:c r="I254" s="167" t="str">
        <x:v>Not Started</x:v>
      </x:c>
      <x:c r="J254" s="167" t="n">
        <x:v>0</x:v>
      </x:c>
      <x:c r="K254" s="168"/>
      <x:c r="L254" s="168" t="str">
        <x:f>IF(OR(I254="Mastered",K254=""),"",K254+IF(J254&gt;=5,30,IF(J254=4,14,IF(J254=3,7,IF(J254=2,3,1)))))</x:f>
      </x:c>
      <x:c r="M254" s="171" t="str"/>
      <x:c r="N254" s="171" t="str"/>
      <x:c r="O254" s="171" t="str">
        <x:v>Draft — verify in context</x:v>
      </x:c>
      <x:c r="P254" s="167" t="str">
        <x:v>https://www.oxfordlearnersdictionaries.com/wordlists/oxford3000-5000</x:v>
      </x:c>
    </x:row>
    <x:row r="255" ht="26" customHeight="1">
      <x:c r="A255" s="167" t="n">
        <x:v>254</x:v>
      </x:c>
      <x:c r="B255" s="167" t="str">
        <x:v>consent</x:v>
      </x:c>
      <x:c r="C255" s="167" t="str">
        <x:v>n., v.</x:v>
      </x:c>
      <x:c r="D255" s="170" t="str">
        <x:v>згода</x:v>
      </x:c>
      <x:c r="E255" s="167" t="str">
        <x:v>Yes</x:v>
      </x:c>
      <x:c r="F255" s="167" t="n">
        <x:v>3</x:v>
      </x:c>
      <x:c r="G255" s="167" t="str">
        <x:v>High</x:v>
      </x:c>
      <x:c r="H255" s="167" t="str">
        <x:v>General</x:v>
      </x:c>
      <x:c r="I255" s="167" t="str">
        <x:v>Not Started</x:v>
      </x:c>
      <x:c r="J255" s="167" t="n">
        <x:v>0</x:v>
      </x:c>
      <x:c r="K255" s="168"/>
      <x:c r="L255" s="168" t="str">
        <x:f>IF(OR(I255="Mastered",K255=""),"",K255+IF(J255&gt;=5,30,IF(J255=4,14,IF(J255=3,7,IF(J255=2,3,1)))))</x:f>
      </x:c>
      <x:c r="M255" s="171" t="str"/>
      <x:c r="N255" s="171" t="str"/>
      <x:c r="O255" s="171" t="str">
        <x:v>Draft — verify in context</x:v>
      </x:c>
      <x:c r="P255" s="167" t="str">
        <x:v>https://www.oxfordlearnersdictionaries.com/wordlists/oxford3000-5000</x:v>
      </x:c>
    </x:row>
    <x:row r="256" ht="26" customHeight="1">
      <x:c r="A256" s="167" t="n">
        <x:v>255</x:v>
      </x:c>
      <x:c r="B256" s="167" t="str">
        <x:v>conserve</x:v>
      </x:c>
      <x:c r="C256" s="167" t="str">
        <x:v>v.</x:v>
      </x:c>
      <x:c r="D256" s="170" t="str">
        <x:v>зберігати</x:v>
      </x:c>
      <x:c r="E256" s="167" t="str">
        <x:v>No</x:v>
      </x:c>
      <x:c r="F256" s="167"/>
      <x:c r="G256" s="167" t="str">
        <x:v>Core</x:v>
      </x:c>
      <x:c r="H256" s="167" t="str">
        <x:v>General</x:v>
      </x:c>
      <x:c r="I256" s="167" t="str">
        <x:v>Not Started</x:v>
      </x:c>
      <x:c r="J256" s="167" t="n">
        <x:v>0</x:v>
      </x:c>
      <x:c r="K256" s="168"/>
      <x:c r="L256" s="168" t="str">
        <x:f>IF(OR(I256="Mastered",K256=""),"",K256+IF(J256&gt;=5,30,IF(J256=4,14,IF(J256=3,7,IF(J256=2,3,1)))))</x:f>
      </x:c>
      <x:c r="M256" s="171" t="str"/>
      <x:c r="N256" s="171" t="str"/>
      <x:c r="O256" s="171" t="str">
        <x:v>Draft — verify in context</x:v>
      </x:c>
      <x:c r="P256" s="167" t="str">
        <x:v>https://www.oxfordlearnersdictionaries.com/wordlists/oxford3000-5000</x:v>
      </x:c>
    </x:row>
    <x:row r="257" ht="26" customHeight="1">
      <x:c r="A257" s="167" t="n">
        <x:v>256</x:v>
      </x:c>
      <x:c r="B257" s="167" t="str">
        <x:v>consistency</x:v>
      </x:c>
      <x:c r="C257" s="167" t="str">
        <x:v>n.</x:v>
      </x:c>
      <x:c r="D257" s="170" t="str">
        <x:v>консистенція</x:v>
      </x:c>
      <x:c r="E257" s="167" t="str">
        <x:v>No</x:v>
      </x:c>
      <x:c r="F257" s="167"/>
      <x:c r="G257" s="167" t="str">
        <x:v>Core</x:v>
      </x:c>
      <x:c r="H257" s="167" t="str">
        <x:v>General</x:v>
      </x:c>
      <x:c r="I257" s="167" t="str">
        <x:v>Not Started</x:v>
      </x:c>
      <x:c r="J257" s="167" t="n">
        <x:v>0</x:v>
      </x:c>
      <x:c r="K257" s="168"/>
      <x:c r="L257" s="168" t="str">
        <x:f>IF(OR(I257="Mastered",K257=""),"",K257+IF(J257&gt;=5,30,IF(J257=4,14,IF(J257=3,7,IF(J257=2,3,1)))))</x:f>
      </x:c>
      <x:c r="M257" s="171" t="str"/>
      <x:c r="N257" s="171" t="str"/>
      <x:c r="O257" s="171" t="str">
        <x:v>Draft — verify in context</x:v>
      </x:c>
      <x:c r="P257" s="167" t="str">
        <x:v>https://www.oxfordlearnersdictionaries.com/wordlists/oxford3000-5000</x:v>
      </x:c>
    </x:row>
    <x:row r="258" ht="26" customHeight="1">
      <x:c r="A258" s="167" t="n">
        <x:v>257</x:v>
      </x:c>
      <x:c r="B258" s="167" t="str">
        <x:v>consolidate</x:v>
      </x:c>
      <x:c r="C258" s="167" t="str">
        <x:v>v.</x:v>
      </x:c>
      <x:c r="D258" s="170" t="str">
        <x:v>консолідувати</x:v>
      </x:c>
      <x:c r="E258" s="167" t="str">
        <x:v>No</x:v>
      </x:c>
      <x:c r="F258" s="167"/>
      <x:c r="G258" s="167" t="str">
        <x:v>Core</x:v>
      </x:c>
      <x:c r="H258" s="167" t="str">
        <x:v>General</x:v>
      </x:c>
      <x:c r="I258" s="167" t="str">
        <x:v>Not Started</x:v>
      </x:c>
      <x:c r="J258" s="167" t="n">
        <x:v>0</x:v>
      </x:c>
      <x:c r="K258" s="168"/>
      <x:c r="L258" s="168" t="str">
        <x:f>IF(OR(I258="Mastered",K258=""),"",K258+IF(J258&gt;=5,30,IF(J258=4,14,IF(J258=3,7,IF(J258=2,3,1)))))</x:f>
      </x:c>
      <x:c r="M258" s="171" t="str"/>
      <x:c r="N258" s="171" t="str"/>
      <x:c r="O258" s="171" t="str">
        <x:v>Draft — verify in context</x:v>
      </x:c>
      <x:c r="P258" s="167" t="str">
        <x:v>https://www.oxfordlearnersdictionaries.com/wordlists/oxford3000-5000</x:v>
      </x:c>
    </x:row>
    <x:row r="259" ht="26" customHeight="1">
      <x:c r="A259" s="167" t="n">
        <x:v>258</x:v>
      </x:c>
      <x:c r="B259" s="167" t="str">
        <x:v>constituency</x:v>
      </x:c>
      <x:c r="C259" s="167" t="str">
        <x:v>n.</x:v>
      </x:c>
      <x:c r="D259" s="170" t="str">
        <x:v>виборчий округ</x:v>
      </x:c>
      <x:c r="E259" s="167" t="str">
        <x:v>No</x:v>
      </x:c>
      <x:c r="F259" s="167"/>
      <x:c r="G259" s="167" t="str">
        <x:v>Core</x:v>
      </x:c>
      <x:c r="H259" s="167" t="str">
        <x:v>General</x:v>
      </x:c>
      <x:c r="I259" s="167" t="str">
        <x:v>Not Started</x:v>
      </x:c>
      <x:c r="J259" s="167" t="n">
        <x:v>0</x:v>
      </x:c>
      <x:c r="K259" s="168"/>
      <x:c r="L259" s="168" t="str">
        <x:f>IF(OR(I259="Mastered",K259=""),"",K259+IF(J259&gt;=5,30,IF(J259=4,14,IF(J259=3,7,IF(J259=2,3,1)))))</x:f>
      </x:c>
      <x:c r="M259" s="171" t="str"/>
      <x:c r="N259" s="171" t="str"/>
      <x:c r="O259" s="171" t="str">
        <x:v>Draft — verify in context</x:v>
      </x:c>
      <x:c r="P259" s="167" t="str">
        <x:v>https://www.oxfordlearnersdictionaries.com/wordlists/oxford3000-5000</x:v>
      </x:c>
    </x:row>
    <x:row r="260" ht="26" customHeight="1">
      <x:c r="A260" s="167" t="n">
        <x:v>259</x:v>
      </x:c>
      <x:c r="B260" s="167" t="str">
        <x:v>constitute</x:v>
      </x:c>
      <x:c r="C260" s="167" t="str">
        <x:v>v.</x:v>
      </x:c>
      <x:c r="D260" s="170" t="str">
        <x:v>становити</x:v>
      </x:c>
      <x:c r="E260" s="167" t="str">
        <x:v>No</x:v>
      </x:c>
      <x:c r="F260" s="167"/>
      <x:c r="G260" s="167" t="str">
        <x:v>Core</x:v>
      </x:c>
      <x:c r="H260" s="167" t="str">
        <x:v>General</x:v>
      </x:c>
      <x:c r="I260" s="167" t="str">
        <x:v>Not Started</x:v>
      </x:c>
      <x:c r="J260" s="167" t="n">
        <x:v>0</x:v>
      </x:c>
      <x:c r="K260" s="168"/>
      <x:c r="L260" s="168" t="str">
        <x:f>IF(OR(I260="Mastered",K260=""),"",K260+IF(J260&gt;=5,30,IF(J260=4,14,IF(J260=3,7,IF(J260=2,3,1)))))</x:f>
      </x:c>
      <x:c r="M260" s="171" t="str"/>
      <x:c r="N260" s="171" t="str"/>
      <x:c r="O260" s="171" t="str">
        <x:v>Draft — verify in context</x:v>
      </x:c>
      <x:c r="P260" s="167" t="str">
        <x:v>https://www.oxfordlearnersdictionaries.com/wordlists/oxford3000-5000</x:v>
      </x:c>
    </x:row>
    <x:row r="261" ht="26" customHeight="1">
      <x:c r="A261" s="167" t="n">
        <x:v>260</x:v>
      </x:c>
      <x:c r="B261" s="167" t="str">
        <x:v>constitution</x:v>
      </x:c>
      <x:c r="C261" s="167" t="str">
        <x:v>n.</x:v>
      </x:c>
      <x:c r="D261" s="170" t="str">
        <x:v>конституція</x:v>
      </x:c>
      <x:c r="E261" s="167" t="str">
        <x:v>No</x:v>
      </x:c>
      <x:c r="F261" s="167"/>
      <x:c r="G261" s="167" t="str">
        <x:v>High</x:v>
      </x:c>
      <x:c r="H261" s="167" t="str">
        <x:v>Government &amp; law</x:v>
      </x:c>
      <x:c r="I261" s="167" t="str">
        <x:v>Not Started</x:v>
      </x:c>
      <x:c r="J261" s="167" t="n">
        <x:v>0</x:v>
      </x:c>
      <x:c r="K261" s="168"/>
      <x:c r="L261" s="168" t="str">
        <x:f>IF(OR(I261="Mastered",K261=""),"",K261+IF(J261&gt;=5,30,IF(J261=4,14,IF(J261=3,7,IF(J261=2,3,1)))))</x:f>
      </x:c>
      <x:c r="M261" s="171" t="str"/>
      <x:c r="N261" s="171" t="str"/>
      <x:c r="O261" s="171" t="str">
        <x:v>Draft — verify in context</x:v>
      </x:c>
      <x:c r="P261" s="167" t="str">
        <x:v>https://www.oxfordlearnersdictionaries.com/wordlists/oxford3000-5000</x:v>
      </x:c>
    </x:row>
    <x:row r="262" ht="26" customHeight="1">
      <x:c r="A262" s="167" t="n">
        <x:v>261</x:v>
      </x:c>
      <x:c r="B262" s="167" t="str">
        <x:v>constitutional</x:v>
      </x:c>
      <x:c r="C262" s="167" t="str">
        <x:v>adj.</x:v>
      </x:c>
      <x:c r="D262" s="170" t="str">
        <x:v>конституційний</x:v>
      </x:c>
      <x:c r="E262" s="167" t="str">
        <x:v>Yes</x:v>
      </x:c>
      <x:c r="F262" s="167" t="n">
        <x:v>1</x:v>
      </x:c>
      <x:c r="G262" s="167" t="str">
        <x:v>High</x:v>
      </x:c>
      <x:c r="H262" s="167" t="str">
        <x:v>Government &amp; law</x:v>
      </x:c>
      <x:c r="I262" s="167" t="str">
        <x:v>Not Started</x:v>
      </x:c>
      <x:c r="J262" s="167" t="n">
        <x:v>0</x:v>
      </x:c>
      <x:c r="K262" s="168"/>
      <x:c r="L262" s="168" t="str">
        <x:f>IF(OR(I262="Mastered",K262=""),"",K262+IF(J262&gt;=5,30,IF(J262=4,14,IF(J262=3,7,IF(J262=2,3,1)))))</x:f>
      </x:c>
      <x:c r="M262" s="171" t="str"/>
      <x:c r="N262" s="171" t="str"/>
      <x:c r="O262" s="171" t="str">
        <x:v>Draft — verify in context</x:v>
      </x:c>
      <x:c r="P262" s="167" t="str">
        <x:v>https://www.oxfordlearnersdictionaries.com/wordlists/oxford3000-5000</x:v>
      </x:c>
    </x:row>
    <x:row r="263" ht="26" customHeight="1">
      <x:c r="A263" s="167" t="n">
        <x:v>262</x:v>
      </x:c>
      <x:c r="B263" s="167" t="str">
        <x:v>constraint</x:v>
      </x:c>
      <x:c r="C263" s="167" t="str">
        <x:v>n.</x:v>
      </x:c>
      <x:c r="D263" s="170" t="str">
        <x:v>обмеження</x:v>
      </x:c>
      <x:c r="E263" s="167" t="str">
        <x:v>No</x:v>
      </x:c>
      <x:c r="F263" s="167"/>
      <x:c r="G263" s="167" t="str">
        <x:v>Core</x:v>
      </x:c>
      <x:c r="H263" s="167" t="str">
        <x:v>General</x:v>
      </x:c>
      <x:c r="I263" s="167" t="str">
        <x:v>Not Started</x:v>
      </x:c>
      <x:c r="J263" s="167" t="n">
        <x:v>0</x:v>
      </x:c>
      <x:c r="K263" s="168"/>
      <x:c r="L263" s="168" t="str">
        <x:f>IF(OR(I263="Mastered",K263=""),"",K263+IF(J263&gt;=5,30,IF(J263=4,14,IF(J263=3,7,IF(J263=2,3,1)))))</x:f>
      </x:c>
      <x:c r="M263" s="171" t="str"/>
      <x:c r="N263" s="171" t="str"/>
      <x:c r="O263" s="171" t="str">
        <x:v>Draft — verify in context</x:v>
      </x:c>
      <x:c r="P263" s="167" t="str">
        <x:v>https://www.oxfordlearnersdictionaries.com/wordlists/oxford3000-5000</x:v>
      </x:c>
    </x:row>
    <x:row r="264" ht="26" customHeight="1">
      <x:c r="A264" s="167" t="n">
        <x:v>263</x:v>
      </x:c>
      <x:c r="B264" s="167" t="str">
        <x:v>consultation</x:v>
      </x:c>
      <x:c r="C264" s="167" t="str">
        <x:v>n.</x:v>
      </x:c>
      <x:c r="D264" s="170" t="str">
        <x:v>консультація</x:v>
      </x:c>
      <x:c r="E264" s="167" t="str">
        <x:v>Yes</x:v>
      </x:c>
      <x:c r="F264" s="167" t="n">
        <x:v>5</x:v>
      </x:c>
      <x:c r="G264" s="167" t="str">
        <x:v>High</x:v>
      </x:c>
      <x:c r="H264" s="167" t="str">
        <x:v>General</x:v>
      </x:c>
      <x:c r="I264" s="167" t="str">
        <x:v>Not Started</x:v>
      </x:c>
      <x:c r="J264" s="167" t="n">
        <x:v>0</x:v>
      </x:c>
      <x:c r="K264" s="168"/>
      <x:c r="L264" s="168" t="str">
        <x:f>IF(OR(I264="Mastered",K264=""),"",K264+IF(J264&gt;=5,30,IF(J264=4,14,IF(J264=3,7,IF(J264=2,3,1)))))</x:f>
      </x:c>
      <x:c r="M264" s="171" t="str"/>
      <x:c r="N264" s="171" t="str"/>
      <x:c r="O264" s="171" t="str">
        <x:v>Draft — verify in context</x:v>
      </x:c>
      <x:c r="P264" s="167" t="str">
        <x:v>https://www.oxfordlearnersdictionaries.com/wordlists/oxford3000-5000</x:v>
      </x:c>
    </x:row>
    <x:row r="265" ht="26" customHeight="1">
      <x:c r="A265" s="167" t="n">
        <x:v>264</x:v>
      </x:c>
      <x:c r="B265" s="167" t="str">
        <x:v>contemplate</x:v>
      </x:c>
      <x:c r="C265" s="167" t="str">
        <x:v>v.</x:v>
      </x:c>
      <x:c r="D265" s="170" t="str">
        <x:v>споглядати</x:v>
      </x:c>
      <x:c r="E265" s="167" t="str">
        <x:v>No</x:v>
      </x:c>
      <x:c r="F265" s="167"/>
      <x:c r="G265" s="167" t="str">
        <x:v>Core</x:v>
      </x:c>
      <x:c r="H265" s="167" t="str">
        <x:v>General</x:v>
      </x:c>
      <x:c r="I265" s="167" t="str">
        <x:v>Not Started</x:v>
      </x:c>
      <x:c r="J265" s="167" t="n">
        <x:v>0</x:v>
      </x:c>
      <x:c r="K265" s="168"/>
      <x:c r="L265" s="168" t="str">
        <x:f>IF(OR(I265="Mastered",K265=""),"",K265+IF(J265&gt;=5,30,IF(J265=4,14,IF(J265=3,7,IF(J265=2,3,1)))))</x:f>
      </x:c>
      <x:c r="M265" s="171" t="str"/>
      <x:c r="N265" s="171" t="str"/>
      <x:c r="O265" s="171" t="str">
        <x:v>Draft — verify in context</x:v>
      </x:c>
      <x:c r="P265" s="167" t="str">
        <x:v>https://www.oxfordlearnersdictionaries.com/wordlists/oxford3000-5000</x:v>
      </x:c>
    </x:row>
    <x:row r="266" ht="26" customHeight="1">
      <x:c r="A266" s="167" t="n">
        <x:v>265</x:v>
      </x:c>
      <x:c r="B266" s="167" t="str">
        <x:v>contempt</x:v>
      </x:c>
      <x:c r="C266" s="167" t="str">
        <x:v>n.</x:v>
      </x:c>
      <x:c r="D266" s="170" t="str">
        <x:v>презирство</x:v>
      </x:c>
      <x:c r="E266" s="167" t="str">
        <x:v>No</x:v>
      </x:c>
      <x:c r="F266" s="167"/>
      <x:c r="G266" s="167" t="str">
        <x:v>Core</x:v>
      </x:c>
      <x:c r="H266" s="167" t="str">
        <x:v>General</x:v>
      </x:c>
      <x:c r="I266" s="167" t="str">
        <x:v>Not Started</x:v>
      </x:c>
      <x:c r="J266" s="167" t="n">
        <x:v>0</x:v>
      </x:c>
      <x:c r="K266" s="168"/>
      <x:c r="L266" s="168" t="str">
        <x:f>IF(OR(I266="Mastered",K266=""),"",K266+IF(J266&gt;=5,30,IF(J266=4,14,IF(J266=3,7,IF(J266=2,3,1)))))</x:f>
      </x:c>
      <x:c r="M266" s="171" t="str"/>
      <x:c r="N266" s="171" t="str"/>
      <x:c r="O266" s="171" t="str">
        <x:v>Draft — verify in context</x:v>
      </x:c>
      <x:c r="P266" s="167" t="str">
        <x:v>https://www.oxfordlearnersdictionaries.com/wordlists/oxford3000-5000</x:v>
      </x:c>
    </x:row>
    <x:row r="267" ht="26" customHeight="1">
      <x:c r="A267" s="167" t="n">
        <x:v>266</x:v>
      </x:c>
      <x:c r="B267" s="167" t="str">
        <x:v>contend</x:v>
      </x:c>
      <x:c r="C267" s="167" t="str">
        <x:v>v.</x:v>
      </x:c>
      <x:c r="D267" s="170" t="str">
        <x:v>сперечатися</x:v>
      </x:c>
      <x:c r="E267" s="167" t="str">
        <x:v>No</x:v>
      </x:c>
      <x:c r="F267" s="167"/>
      <x:c r="G267" s="167" t="str">
        <x:v>Core</x:v>
      </x:c>
      <x:c r="H267" s="167" t="str">
        <x:v>General</x:v>
      </x:c>
      <x:c r="I267" s="167" t="str">
        <x:v>Not Started</x:v>
      </x:c>
      <x:c r="J267" s="167" t="n">
        <x:v>0</x:v>
      </x:c>
      <x:c r="K267" s="168"/>
      <x:c r="L267" s="168" t="str">
        <x:f>IF(OR(I267="Mastered",K267=""),"",K267+IF(J267&gt;=5,30,IF(J267=4,14,IF(J267=3,7,IF(J267=2,3,1)))))</x:f>
      </x:c>
      <x:c r="M267" s="171" t="str"/>
      <x:c r="N267" s="171" t="str"/>
      <x:c r="O267" s="171" t="str">
        <x:v>Draft — verify in context</x:v>
      </x:c>
      <x:c r="P267" s="167" t="str">
        <x:v>https://www.oxfordlearnersdictionaries.com/wordlists/oxford3000-5000</x:v>
      </x:c>
    </x:row>
    <x:row r="268" ht="26" customHeight="1">
      <x:c r="A268" s="167" t="n">
        <x:v>267</x:v>
      </x:c>
      <x:c r="B268" s="167" t="str">
        <x:v>contender</x:v>
      </x:c>
      <x:c r="C268" s="167" t="str">
        <x:v>n.</x:v>
      </x:c>
      <x:c r="D268" s="170" t="str">
        <x:v>претендент</x:v>
      </x:c>
      <x:c r="E268" s="167" t="str">
        <x:v>No</x:v>
      </x:c>
      <x:c r="F268" s="167"/>
      <x:c r="G268" s="167" t="str">
        <x:v>Core</x:v>
      </x:c>
      <x:c r="H268" s="167" t="str">
        <x:v>General</x:v>
      </x:c>
      <x:c r="I268" s="167" t="str">
        <x:v>Not Started</x:v>
      </x:c>
      <x:c r="J268" s="167" t="n">
        <x:v>0</x:v>
      </x:c>
      <x:c r="K268" s="168"/>
      <x:c r="L268" s="168" t="str">
        <x:f>IF(OR(I268="Mastered",K268=""),"",K268+IF(J268&gt;=5,30,IF(J268=4,14,IF(J268=3,7,IF(J268=2,3,1)))))</x:f>
      </x:c>
      <x:c r="M268" s="171" t="str"/>
      <x:c r="N268" s="171" t="str"/>
      <x:c r="O268" s="171" t="str">
        <x:v>Draft — verify in context</x:v>
      </x:c>
      <x:c r="P268" s="167" t="str">
        <x:v>https://www.oxfordlearnersdictionaries.com/wordlists/oxford3000-5000</x:v>
      </x:c>
    </x:row>
    <x:row r="269" ht="26" customHeight="1">
      <x:c r="A269" s="167" t="n">
        <x:v>268</x:v>
      </x:c>
      <x:c r="B269" s="167" t="str">
        <x:v>content2</x:v>
      </x:c>
      <x:c r="C269" s="167" t="str">
        <x:v>adj.</x:v>
      </x:c>
      <x:c r="D269" s="170" t="str">
        <x:v>задоволений</x:v>
      </x:c>
      <x:c r="E269" s="167" t="str">
        <x:v>No</x:v>
      </x:c>
      <x:c r="F269" s="167"/>
      <x:c r="G269" s="167" t="str">
        <x:v>Core</x:v>
      </x:c>
      <x:c r="H269" s="167" t="str">
        <x:v>General</x:v>
      </x:c>
      <x:c r="I269" s="167" t="str">
        <x:v>Not Started</x:v>
      </x:c>
      <x:c r="J269" s="167" t="n">
        <x:v>0</x:v>
      </x:c>
      <x:c r="K269" s="168"/>
      <x:c r="L269" s="168" t="str">
        <x:f>IF(OR(I269="Mastered",K269=""),"",K269+IF(J269&gt;=5,30,IF(J269=4,14,IF(J269=3,7,IF(J269=2,3,1)))))</x:f>
      </x:c>
      <x:c r="M269" s="171" t="str"/>
      <x:c r="N269" s="171" t="str"/>
      <x:c r="O269" s="171" t="str">
        <x:v>Draft — verify in context</x:v>
      </x:c>
      <x:c r="P269" s="167" t="str">
        <x:v>https://www.oxfordlearnersdictionaries.com/wordlists/oxford3000-5000</x:v>
      </x:c>
    </x:row>
    <x:row r="270" ht="26" customHeight="1">
      <x:c r="A270" s="167" t="n">
        <x:v>269</x:v>
      </x:c>
      <x:c r="B270" s="167" t="str">
        <x:v>contention</x:v>
      </x:c>
      <x:c r="C270" s="167" t="str">
        <x:v>n.</x:v>
      </x:c>
      <x:c r="D270" s="170" t="str">
        <x:v>суперечка</x:v>
      </x:c>
      <x:c r="E270" s="167" t="str">
        <x:v>No</x:v>
      </x:c>
      <x:c r="F270" s="167"/>
      <x:c r="G270" s="167" t="str">
        <x:v>Core</x:v>
      </x:c>
      <x:c r="H270" s="167" t="str">
        <x:v>General</x:v>
      </x:c>
      <x:c r="I270" s="167" t="str">
        <x:v>Not Started</x:v>
      </x:c>
      <x:c r="J270" s="167" t="n">
        <x:v>0</x:v>
      </x:c>
      <x:c r="K270" s="168"/>
      <x:c r="L270" s="168" t="str">
        <x:f>IF(OR(I270="Mastered",K270=""),"",K270+IF(J270&gt;=5,30,IF(J270=4,14,IF(J270=3,7,IF(J270=2,3,1)))))</x:f>
      </x:c>
      <x:c r="M270" s="171" t="str"/>
      <x:c r="N270" s="171" t="str"/>
      <x:c r="O270" s="171" t="str">
        <x:v>Draft — verify in context</x:v>
      </x:c>
      <x:c r="P270" s="167" t="str">
        <x:v>https://www.oxfordlearnersdictionaries.com/wordlists/oxford3000-5000</x:v>
      </x:c>
    </x:row>
    <x:row r="271" ht="26" customHeight="1">
      <x:c r="A271" s="167" t="n">
        <x:v>270</x:v>
      </x:c>
      <x:c r="B271" s="167" t="str">
        <x:v>continually</x:v>
      </x:c>
      <x:c r="C271" s="167" t="str">
        <x:v>adv.</x:v>
      </x:c>
      <x:c r="D271" s="170" t="str">
        <x:v>постійно</x:v>
      </x:c>
      <x:c r="E271" s="167" t="str">
        <x:v>No</x:v>
      </x:c>
      <x:c r="F271" s="167"/>
      <x:c r="G271" s="167" t="str">
        <x:v>Core</x:v>
      </x:c>
      <x:c r="H271" s="167" t="str">
        <x:v>General</x:v>
      </x:c>
      <x:c r="I271" s="167" t="str">
        <x:v>Not Started</x:v>
      </x:c>
      <x:c r="J271" s="167" t="n">
        <x:v>0</x:v>
      </x:c>
      <x:c r="K271" s="168"/>
      <x:c r="L271" s="168" t="str">
        <x:f>IF(OR(I271="Mastered",K271=""),"",K271+IF(J271&gt;=5,30,IF(J271=4,14,IF(J271=3,7,IF(J271=2,3,1)))))</x:f>
      </x:c>
      <x:c r="M271" s="171" t="str"/>
      <x:c r="N271" s="171" t="str"/>
      <x:c r="O271" s="171" t="str">
        <x:v>Draft — verify in context</x:v>
      </x:c>
      <x:c r="P271" s="167" t="str">
        <x:v>https://www.oxfordlearnersdictionaries.com/wordlists/oxford3000-5000</x:v>
      </x:c>
    </x:row>
    <x:row r="272" ht="26" customHeight="1">
      <x:c r="A272" s="167" t="n">
        <x:v>271</x:v>
      </x:c>
      <x:c r="B272" s="167" t="str">
        <x:v>contractor</x:v>
      </x:c>
      <x:c r="C272" s="167" t="str">
        <x:v>n.</x:v>
      </x:c>
      <x:c r="D272" s="170" t="str">
        <x:v>підрядник</x:v>
      </x:c>
      <x:c r="E272" s="167" t="str">
        <x:v>No</x:v>
      </x:c>
      <x:c r="F272" s="167"/>
      <x:c r="G272" s="167" t="str">
        <x:v>Core</x:v>
      </x:c>
      <x:c r="H272" s="167" t="str">
        <x:v>General</x:v>
      </x:c>
      <x:c r="I272" s="167" t="str">
        <x:v>Not Started</x:v>
      </x:c>
      <x:c r="J272" s="167" t="n">
        <x:v>0</x:v>
      </x:c>
      <x:c r="K272" s="168"/>
      <x:c r="L272" s="168" t="str">
        <x:f>IF(OR(I272="Mastered",K272=""),"",K272+IF(J272&gt;=5,30,IF(J272=4,14,IF(J272=3,7,IF(J272=2,3,1)))))</x:f>
      </x:c>
      <x:c r="M272" s="171" t="str"/>
      <x:c r="N272" s="171" t="str"/>
      <x:c r="O272" s="171" t="str">
        <x:v>Draft — verify in context</x:v>
      </x:c>
      <x:c r="P272" s="167" t="str">
        <x:v>https://www.oxfordlearnersdictionaries.com/wordlists/oxford3000-5000</x:v>
      </x:c>
    </x:row>
    <x:row r="273" ht="26" customHeight="1">
      <x:c r="A273" s="167" t="n">
        <x:v>272</x:v>
      </x:c>
      <x:c r="B273" s="167" t="str">
        <x:v>contradiction</x:v>
      </x:c>
      <x:c r="C273" s="167" t="str">
        <x:v>n.</x:v>
      </x:c>
      <x:c r="D273" s="170" t="str">
        <x:v>протиріччя</x:v>
      </x:c>
      <x:c r="E273" s="167" t="str">
        <x:v>Yes</x:v>
      </x:c>
      <x:c r="F273" s="167" t="n">
        <x:v>8</x:v>
      </x:c>
      <x:c r="G273" s="167" t="str">
        <x:v>High</x:v>
      </x:c>
      <x:c r="H273" s="167" t="str">
        <x:v>General</x:v>
      </x:c>
      <x:c r="I273" s="167" t="str">
        <x:v>Not Started</x:v>
      </x:c>
      <x:c r="J273" s="167" t="n">
        <x:v>0</x:v>
      </x:c>
      <x:c r="K273" s="168"/>
      <x:c r="L273" s="168" t="str">
        <x:f>IF(OR(I273="Mastered",K273=""),"",K273+IF(J273&gt;=5,30,IF(J273=4,14,IF(J273=3,7,IF(J273=2,3,1)))))</x:f>
      </x:c>
      <x:c r="M273" s="171" t="str"/>
      <x:c r="N273" s="171" t="str"/>
      <x:c r="O273" s="171" t="str">
        <x:v>Draft — verify in context</x:v>
      </x:c>
      <x:c r="P273" s="167" t="str">
        <x:v>https://www.oxfordlearnersdictionaries.com/wordlists/oxford3000-5000</x:v>
      </x:c>
    </x:row>
    <x:row r="274" ht="26" customHeight="1">
      <x:c r="A274" s="167" t="n">
        <x:v>273</x:v>
      </x:c>
      <x:c r="B274" s="167" t="str">
        <x:v>contrary</x:v>
      </x:c>
      <x:c r="C274" s="167" t="str">
        <x:v>adj., n.</x:v>
      </x:c>
      <x:c r="D274" s="170" t="str">
        <x:v>всупереч</x:v>
      </x:c>
      <x:c r="E274" s="167" t="str">
        <x:v>Yes</x:v>
      </x:c>
      <x:c r="F274" s="167" t="n">
        <x:v>7</x:v>
      </x:c>
      <x:c r="G274" s="167" t="str">
        <x:v>High</x:v>
      </x:c>
      <x:c r="H274" s="167" t="str">
        <x:v>General</x:v>
      </x:c>
      <x:c r="I274" s="167" t="str">
        <x:v>Not Started</x:v>
      </x:c>
      <x:c r="J274" s="167" t="n">
        <x:v>0</x:v>
      </x:c>
      <x:c r="K274" s="168"/>
      <x:c r="L274" s="168" t="str">
        <x:f>IF(OR(I274="Mastered",K274=""),"",K274+IF(J274&gt;=5,30,IF(J274=4,14,IF(J274=3,7,IF(J274=2,3,1)))))</x:f>
      </x:c>
      <x:c r="M274" s="171" t="str"/>
      <x:c r="N274" s="171" t="str"/>
      <x:c r="O274" s="171" t="str">
        <x:v>Draft — verify in context</x:v>
      </x:c>
      <x:c r="P274" s="167" t="str">
        <x:v>https://www.oxfordlearnersdictionaries.com/wordlists/oxford3000-5000</x:v>
      </x:c>
    </x:row>
    <x:row r="275" ht="26" customHeight="1">
      <x:c r="A275" s="167" t="n">
        <x:v>274</x:v>
      </x:c>
      <x:c r="B275" s="167" t="str">
        <x:v>contributor</x:v>
      </x:c>
      <x:c r="C275" s="167" t="str">
        <x:v>n.</x:v>
      </x:c>
      <x:c r="D275" s="170" t="str">
        <x:v>учасник</x:v>
      </x:c>
      <x:c r="E275" s="167" t="str">
        <x:v>No</x:v>
      </x:c>
      <x:c r="F275" s="167"/>
      <x:c r="G275" s="167" t="str">
        <x:v>Core</x:v>
      </x:c>
      <x:c r="H275" s="167" t="str">
        <x:v>General</x:v>
      </x:c>
      <x:c r="I275" s="167" t="str">
        <x:v>Not Started</x:v>
      </x:c>
      <x:c r="J275" s="167" t="n">
        <x:v>0</x:v>
      </x:c>
      <x:c r="K275" s="168"/>
      <x:c r="L275" s="168" t="str">
        <x:f>IF(OR(I275="Mastered",K275=""),"",K275+IF(J275&gt;=5,30,IF(J275=4,14,IF(J275=3,7,IF(J275=2,3,1)))))</x:f>
      </x:c>
      <x:c r="M275" s="171" t="str"/>
      <x:c r="N275" s="171" t="str"/>
      <x:c r="O275" s="171" t="str">
        <x:v>Draft — verify in context</x:v>
      </x:c>
      <x:c r="P275" s="167" t="str">
        <x:v>https://www.oxfordlearnersdictionaries.com/wordlists/oxford3000-5000</x:v>
      </x:c>
    </x:row>
    <x:row r="276" ht="26" customHeight="1">
      <x:c r="A276" s="167" t="n">
        <x:v>275</x:v>
      </x:c>
      <x:c r="B276" s="167" t="str">
        <x:v>conversion</x:v>
      </x:c>
      <x:c r="C276" s="167" t="str">
        <x:v>n.</x:v>
      </x:c>
      <x:c r="D276" s="170" t="str">
        <x:v>перетворення</x:v>
      </x:c>
      <x:c r="E276" s="167" t="str">
        <x:v>No</x:v>
      </x:c>
      <x:c r="F276" s="167"/>
      <x:c r="G276" s="167" t="str">
        <x:v>Core</x:v>
      </x:c>
      <x:c r="H276" s="167" t="str">
        <x:v>General</x:v>
      </x:c>
      <x:c r="I276" s="167" t="str">
        <x:v>Not Started</x:v>
      </x:c>
      <x:c r="J276" s="167" t="n">
        <x:v>0</x:v>
      </x:c>
      <x:c r="K276" s="168"/>
      <x:c r="L276" s="168" t="str">
        <x:f>IF(OR(I276="Mastered",K276=""),"",K276+IF(J276&gt;=5,30,IF(J276=4,14,IF(J276=3,7,IF(J276=2,3,1)))))</x:f>
      </x:c>
      <x:c r="M276" s="171" t="str"/>
      <x:c r="N276" s="171" t="str"/>
      <x:c r="O276" s="171" t="str">
        <x:v>Draft — verify in context</x:v>
      </x:c>
      <x:c r="P276" s="167" t="str">
        <x:v>https://www.oxfordlearnersdictionaries.com/wordlists/oxford3000-5000</x:v>
      </x:c>
    </x:row>
    <x:row r="277" ht="26" customHeight="1">
      <x:c r="A277" s="167" t="n">
        <x:v>276</x:v>
      </x:c>
      <x:c r="B277" s="167" t="str">
        <x:v>convict</x:v>
      </x:c>
      <x:c r="C277" s="167" t="str">
        <x:v>v.</x:v>
      </x:c>
      <x:c r="D277" s="170" t="str">
        <x:v>засуджувати</x:v>
      </x:c>
      <x:c r="E277" s="167" t="str">
        <x:v>No</x:v>
      </x:c>
      <x:c r="F277" s="167"/>
      <x:c r="G277" s="167" t="str">
        <x:v>Core</x:v>
      </x:c>
      <x:c r="H277" s="167" t="str">
        <x:v>General</x:v>
      </x:c>
      <x:c r="I277" s="167" t="str">
        <x:v>Not Started</x:v>
      </x:c>
      <x:c r="J277" s="167" t="n">
        <x:v>0</x:v>
      </x:c>
      <x:c r="K277" s="168"/>
      <x:c r="L277" s="168" t="str">
        <x:f>IF(OR(I277="Mastered",K277=""),"",K277+IF(J277&gt;=5,30,IF(J277=4,14,IF(J277=3,7,IF(J277=2,3,1)))))</x:f>
      </x:c>
      <x:c r="M277" s="171" t="str"/>
      <x:c r="N277" s="171" t="str"/>
      <x:c r="O277" s="171" t="str">
        <x:v>Draft — verify in context</x:v>
      </x:c>
      <x:c r="P277" s="167" t="str">
        <x:v>https://www.oxfordlearnersdictionaries.com/wordlists/oxford3000-5000</x:v>
      </x:c>
    </x:row>
    <x:row r="278" ht="26" customHeight="1">
      <x:c r="A278" s="167" t="n">
        <x:v>277</x:v>
      </x:c>
      <x:c r="B278" s="167" t="str">
        <x:v>conviction</x:v>
      </x:c>
      <x:c r="C278" s="167" t="str">
        <x:v>n.</x:v>
      </x:c>
      <x:c r="D278" s="170" t="str">
        <x:v>переконання</x:v>
      </x:c>
      <x:c r="E278" s="167" t="str">
        <x:v>No</x:v>
      </x:c>
      <x:c r="F278" s="167"/>
      <x:c r="G278" s="167" t="str">
        <x:v>High</x:v>
      </x:c>
      <x:c r="H278" s="167" t="str">
        <x:v>Government &amp; law</x:v>
      </x:c>
      <x:c r="I278" s="167" t="str">
        <x:v>Not Started</x:v>
      </x:c>
      <x:c r="J278" s="167" t="n">
        <x:v>0</x:v>
      </x:c>
      <x:c r="K278" s="168"/>
      <x:c r="L278" s="168" t="str">
        <x:f>IF(OR(I278="Mastered",K278=""),"",K278+IF(J278&gt;=5,30,IF(J278=4,14,IF(J278=3,7,IF(J278=2,3,1)))))</x:f>
      </x:c>
      <x:c r="M278" s="171" t="str"/>
      <x:c r="N278" s="171" t="str"/>
      <x:c r="O278" s="171" t="str">
        <x:v>Draft — verify in context</x:v>
      </x:c>
      <x:c r="P278" s="167" t="str">
        <x:v>https://www.oxfordlearnersdictionaries.com/wordlists/oxford3000-5000</x:v>
      </x:c>
    </x:row>
    <x:row r="279" ht="26" customHeight="1">
      <x:c r="A279" s="167" t="n">
        <x:v>278</x:v>
      </x:c>
      <x:c r="B279" s="167" t="str">
        <x:v>cooperate</x:v>
      </x:c>
      <x:c r="C279" s="167" t="str">
        <x:v>v.</x:v>
      </x:c>
      <x:c r="D279" s="170" t="str">
        <x:v>співпрацювати</x:v>
      </x:c>
      <x:c r="E279" s="167" t="str">
        <x:v>No</x:v>
      </x:c>
      <x:c r="F279" s="167"/>
      <x:c r="G279" s="167" t="str">
        <x:v>Core</x:v>
      </x:c>
      <x:c r="H279" s="167" t="str">
        <x:v>General</x:v>
      </x:c>
      <x:c r="I279" s="167" t="str">
        <x:v>Not Started</x:v>
      </x:c>
      <x:c r="J279" s="167" t="n">
        <x:v>0</x:v>
      </x:c>
      <x:c r="K279" s="168"/>
      <x:c r="L279" s="168" t="str">
        <x:f>IF(OR(I279="Mastered",K279=""),"",K279+IF(J279&gt;=5,30,IF(J279=4,14,IF(J279=3,7,IF(J279=2,3,1)))))</x:f>
      </x:c>
      <x:c r="M279" s="171" t="str"/>
      <x:c r="N279" s="171" t="str"/>
      <x:c r="O279" s="171" t="str">
        <x:v>Draft — verify in context</x:v>
      </x:c>
      <x:c r="P279" s="167" t="str">
        <x:v>https://www.oxfordlearnersdictionaries.com/wordlists/oxford3000-5000</x:v>
      </x:c>
    </x:row>
    <x:row r="280" ht="26" customHeight="1">
      <x:c r="A280" s="167" t="n">
        <x:v>279</x:v>
      </x:c>
      <x:c r="B280" s="167" t="str">
        <x:v>cooperative</x:v>
      </x:c>
      <x:c r="C280" s="167" t="str">
        <x:v>adj.</x:v>
      </x:c>
      <x:c r="D280" s="170" t="str">
        <x:v>кооперативний</x:v>
      </x:c>
      <x:c r="E280" s="167" t="str">
        <x:v>Yes</x:v>
      </x:c>
      <x:c r="F280" s="167" t="n">
        <x:v>6</x:v>
      </x:c>
      <x:c r="G280" s="167" t="str">
        <x:v>High</x:v>
      </x:c>
      <x:c r="H280" s="167" t="str">
        <x:v>General</x:v>
      </x:c>
      <x:c r="I280" s="167" t="str">
        <x:v>Not Started</x:v>
      </x:c>
      <x:c r="J280" s="167" t="n">
        <x:v>0</x:v>
      </x:c>
      <x:c r="K280" s="168"/>
      <x:c r="L280" s="168" t="str">
        <x:f>IF(OR(I280="Mastered",K280=""),"",K280+IF(J280&gt;=5,30,IF(J280=4,14,IF(J280=3,7,IF(J280=2,3,1)))))</x:f>
      </x:c>
      <x:c r="M280" s="171" t="str"/>
      <x:c r="N280" s="171" t="str"/>
      <x:c r="O280" s="171" t="str">
        <x:v>Draft — verify in context</x:v>
      </x:c>
      <x:c r="P280" s="167" t="str">
        <x:v>https://www.oxfordlearnersdictionaries.com/wordlists/oxford3000-5000</x:v>
      </x:c>
    </x:row>
    <x:row r="281" ht="26" customHeight="1">
      <x:c r="A281" s="167" t="n">
        <x:v>280</x:v>
      </x:c>
      <x:c r="B281" s="167" t="str">
        <x:v>coordinate</x:v>
      </x:c>
      <x:c r="C281" s="167" t="str">
        <x:v>v.</x:v>
      </x:c>
      <x:c r="D281" s="170" t="str">
        <x:v>координувати</x:v>
      </x:c>
      <x:c r="E281" s="167" t="str">
        <x:v>No</x:v>
      </x:c>
      <x:c r="F281" s="167"/>
      <x:c r="G281" s="167" t="str">
        <x:v>Core</x:v>
      </x:c>
      <x:c r="H281" s="167" t="str">
        <x:v>General</x:v>
      </x:c>
      <x:c r="I281" s="167" t="str">
        <x:v>Not Started</x:v>
      </x:c>
      <x:c r="J281" s="167" t="n">
        <x:v>0</x:v>
      </x:c>
      <x:c r="K281" s="168"/>
      <x:c r="L281" s="168" t="str">
        <x:f>IF(OR(I281="Mastered",K281=""),"",K281+IF(J281&gt;=5,30,IF(J281=4,14,IF(J281=3,7,IF(J281=2,3,1)))))</x:f>
      </x:c>
      <x:c r="M281" s="171" t="str"/>
      <x:c r="N281" s="171" t="str"/>
      <x:c r="O281" s="171" t="str">
        <x:v>Draft — verify in context</x:v>
      </x:c>
      <x:c r="P281" s="167" t="str">
        <x:v>https://www.oxfordlearnersdictionaries.com/wordlists/oxford3000-5000</x:v>
      </x:c>
    </x:row>
    <x:row r="282" ht="26" customHeight="1">
      <x:c r="A282" s="167" t="n">
        <x:v>281</x:v>
      </x:c>
      <x:c r="B282" s="167" t="str">
        <x:v>coordination</x:v>
      </x:c>
      <x:c r="C282" s="167" t="str">
        <x:v>n.</x:v>
      </x:c>
      <x:c r="D282" s="170" t="str">
        <x:v>координація</x:v>
      </x:c>
      <x:c r="E282" s="167" t="str">
        <x:v>Yes</x:v>
      </x:c>
      <x:c r="F282" s="167" t="n">
        <x:v>3</x:v>
      </x:c>
      <x:c r="G282" s="167" t="str">
        <x:v>High</x:v>
      </x:c>
      <x:c r="H282" s="167" t="str">
        <x:v>General</x:v>
      </x:c>
      <x:c r="I282" s="167" t="str">
        <x:v>Not Started</x:v>
      </x:c>
      <x:c r="J282" s="167" t="n">
        <x:v>0</x:v>
      </x:c>
      <x:c r="K282" s="168"/>
      <x:c r="L282" s="168" t="str">
        <x:f>IF(OR(I282="Mastered",K282=""),"",K282+IF(J282&gt;=5,30,IF(J282=4,14,IF(J282=3,7,IF(J282=2,3,1)))))</x:f>
      </x:c>
      <x:c r="M282" s="171" t="str"/>
      <x:c r="N282" s="171" t="str"/>
      <x:c r="O282" s="171" t="str">
        <x:v>Draft — verify in context</x:v>
      </x:c>
      <x:c r="P282" s="167" t="str">
        <x:v>https://www.oxfordlearnersdictionaries.com/wordlists/oxford3000-5000</x:v>
      </x:c>
    </x:row>
    <x:row r="283" ht="26" customHeight="1">
      <x:c r="A283" s="167" t="n">
        <x:v>282</x:v>
      </x:c>
      <x:c r="B283" s="167" t="str">
        <x:v>coordinator</x:v>
      </x:c>
      <x:c r="C283" s="167" t="str">
        <x:v>n.</x:v>
      </x:c>
      <x:c r="D283" s="170" t="str">
        <x:v>координатор</x:v>
      </x:c>
      <x:c r="E283" s="167" t="str">
        <x:v>No</x:v>
      </x:c>
      <x:c r="F283" s="167"/>
      <x:c r="G283" s="167" t="str">
        <x:v>Core</x:v>
      </x:c>
      <x:c r="H283" s="167" t="str">
        <x:v>General</x:v>
      </x:c>
      <x:c r="I283" s="167" t="str">
        <x:v>Not Started</x:v>
      </x:c>
      <x:c r="J283" s="167" t="n">
        <x:v>0</x:v>
      </x:c>
      <x:c r="K283" s="168"/>
      <x:c r="L283" s="168" t="str">
        <x:f>IF(OR(I283="Mastered",K283=""),"",K283+IF(J283&gt;=5,30,IF(J283=4,14,IF(J283=3,7,IF(J283=2,3,1)))))</x:f>
      </x:c>
      <x:c r="M283" s="171" t="str"/>
      <x:c r="N283" s="171" t="str"/>
      <x:c r="O283" s="171" t="str">
        <x:v>Draft — verify in context</x:v>
      </x:c>
      <x:c r="P283" s="167" t="str">
        <x:v>https://www.oxfordlearnersdictionaries.com/wordlists/oxford3000-5000</x:v>
      </x:c>
    </x:row>
    <x:row r="284" ht="26" customHeight="1">
      <x:c r="A284" s="167" t="n">
        <x:v>283</x:v>
      </x:c>
      <x:c r="B284" s="167" t="str">
        <x:v>cop</x:v>
      </x:c>
      <x:c r="C284" s="167" t="str">
        <x:v>n.</x:v>
      </x:c>
      <x:c r="D284" s="170" t="str">
        <x:v>коп</x:v>
      </x:c>
      <x:c r="E284" s="167" t="str">
        <x:v>No</x:v>
      </x:c>
      <x:c r="F284" s="167"/>
      <x:c r="G284" s="167" t="str">
        <x:v>Core</x:v>
      </x:c>
      <x:c r="H284" s="167" t="str">
        <x:v>General</x:v>
      </x:c>
      <x:c r="I284" s="167" t="str">
        <x:v>Not Started</x:v>
      </x:c>
      <x:c r="J284" s="167" t="n">
        <x:v>0</x:v>
      </x:c>
      <x:c r="K284" s="168"/>
      <x:c r="L284" s="168" t="str">
        <x:f>IF(OR(I284="Mastered",K284=""),"",K284+IF(J284&gt;=5,30,IF(J284=4,14,IF(J284=3,7,IF(J284=2,3,1)))))</x:f>
      </x:c>
      <x:c r="M284" s="171" t="str"/>
      <x:c r="N284" s="171" t="str"/>
      <x:c r="O284" s="171" t="str">
        <x:v>Draft — verify in context</x:v>
      </x:c>
      <x:c r="P284" s="167" t="str">
        <x:v>https://www.oxfordlearnersdictionaries.com/wordlists/oxford3000-5000</x:v>
      </x:c>
    </x:row>
    <x:row r="285" ht="26" customHeight="1">
      <x:c r="A285" s="167" t="n">
        <x:v>284</x:v>
      </x:c>
      <x:c r="B285" s="167" t="str">
        <x:v>copper</x:v>
      </x:c>
      <x:c r="C285" s="167" t="str">
        <x:v>n.</x:v>
      </x:c>
      <x:c r="D285" s="170" t="str">
        <x:v>мідь</x:v>
      </x:c>
      <x:c r="E285" s="167" t="str">
        <x:v>No</x:v>
      </x:c>
      <x:c r="F285" s="167"/>
      <x:c r="G285" s="167" t="str">
        <x:v>Core</x:v>
      </x:c>
      <x:c r="H285" s="167" t="str">
        <x:v>General</x:v>
      </x:c>
      <x:c r="I285" s="167" t="str">
        <x:v>Not Started</x:v>
      </x:c>
      <x:c r="J285" s="167" t="n">
        <x:v>0</x:v>
      </x:c>
      <x:c r="K285" s="168"/>
      <x:c r="L285" s="168" t="str">
        <x:f>IF(OR(I285="Mastered",K285=""),"",K285+IF(J285&gt;=5,30,IF(J285=4,14,IF(J285=3,7,IF(J285=2,3,1)))))</x:f>
      </x:c>
      <x:c r="M285" s="171" t="str"/>
      <x:c r="N285" s="171" t="str"/>
      <x:c r="O285" s="171" t="str">
        <x:v>Draft — verify in context</x:v>
      </x:c>
      <x:c r="P285" s="167" t="str">
        <x:v>https://www.oxfordlearnersdictionaries.com/wordlists/oxford3000-5000</x:v>
      </x:c>
    </x:row>
    <x:row r="286" ht="26" customHeight="1">
      <x:c r="A286" s="167" t="n">
        <x:v>285</x:v>
      </x:c>
      <x:c r="B286" s="167" t="str">
        <x:v>copyright</x:v>
      </x:c>
      <x:c r="C286" s="167" t="str">
        <x:v>n.</x:v>
      </x:c>
      <x:c r="D286" s="170" t="str">
        <x:v>авторське право</x:v>
      </x:c>
      <x:c r="E286" s="167" t="str">
        <x:v>No</x:v>
      </x:c>
      <x:c r="F286" s="167"/>
      <x:c r="G286" s="167" t="str">
        <x:v>Core</x:v>
      </x:c>
      <x:c r="H286" s="167" t="str">
        <x:v>General</x:v>
      </x:c>
      <x:c r="I286" s="167" t="str">
        <x:v>Not Started</x:v>
      </x:c>
      <x:c r="J286" s="167" t="n">
        <x:v>0</x:v>
      </x:c>
      <x:c r="K286" s="168"/>
      <x:c r="L286" s="168" t="str">
        <x:f>IF(OR(I286="Mastered",K286=""),"",K286+IF(J286&gt;=5,30,IF(J286=4,14,IF(J286=3,7,IF(J286=2,3,1)))))</x:f>
      </x:c>
      <x:c r="M286" s="171" t="str"/>
      <x:c r="N286" s="171" t="str"/>
      <x:c r="O286" s="171" t="str">
        <x:v>Draft — verify in context</x:v>
      </x:c>
      <x:c r="P286" s="167" t="str">
        <x:v>https://www.oxfordlearnersdictionaries.com/wordlists/oxford3000-5000</x:v>
      </x:c>
    </x:row>
    <x:row r="287" ht="26" customHeight="1">
      <x:c r="A287" s="167" t="n">
        <x:v>286</x:v>
      </x:c>
      <x:c r="B287" s="167" t="str">
        <x:v>correction</x:v>
      </x:c>
      <x:c r="C287" s="167" t="str">
        <x:v>n.</x:v>
      </x:c>
      <x:c r="D287" s="170" t="str">
        <x:v>виправлення</x:v>
      </x:c>
      <x:c r="E287" s="167" t="str">
        <x:v>No</x:v>
      </x:c>
      <x:c r="F287" s="167"/>
      <x:c r="G287" s="167" t="str">
        <x:v>Core</x:v>
      </x:c>
      <x:c r="H287" s="167" t="str">
        <x:v>General</x:v>
      </x:c>
      <x:c r="I287" s="167" t="str">
        <x:v>Not Started</x:v>
      </x:c>
      <x:c r="J287" s="167" t="n">
        <x:v>0</x:v>
      </x:c>
      <x:c r="K287" s="168"/>
      <x:c r="L287" s="168" t="str">
        <x:f>IF(OR(I287="Mastered",K287=""),"",K287+IF(J287&gt;=5,30,IF(J287=4,14,IF(J287=3,7,IF(J287=2,3,1)))))</x:f>
      </x:c>
      <x:c r="M287" s="171" t="str"/>
      <x:c r="N287" s="171" t="str"/>
      <x:c r="O287" s="171" t="str">
        <x:v>Draft — verify in context</x:v>
      </x:c>
      <x:c r="P287" s="167" t="str">
        <x:v>https://www.oxfordlearnersdictionaries.com/wordlists/oxford3000-5000</x:v>
      </x:c>
    </x:row>
    <x:row r="288" ht="26" customHeight="1">
      <x:c r="A288" s="167" t="n">
        <x:v>287</x:v>
      </x:c>
      <x:c r="B288" s="167" t="str">
        <x:v>correlate</x:v>
      </x:c>
      <x:c r="C288" s="167" t="str">
        <x:v>v.</x:v>
      </x:c>
      <x:c r="D288" s="170" t="str">
        <x:v>співвідносити</x:v>
      </x:c>
      <x:c r="E288" s="167" t="str">
        <x:v>No</x:v>
      </x:c>
      <x:c r="F288" s="167"/>
      <x:c r="G288" s="167" t="str">
        <x:v>High</x:v>
      </x:c>
      <x:c r="H288" s="167" t="str">
        <x:v>Research &amp; data</x:v>
      </x:c>
      <x:c r="I288" s="167" t="str">
        <x:v>Not Started</x:v>
      </x:c>
      <x:c r="J288" s="167" t="n">
        <x:v>0</x:v>
      </x:c>
      <x:c r="K288" s="168"/>
      <x:c r="L288" s="168" t="str">
        <x:f>IF(OR(I288="Mastered",K288=""),"",K288+IF(J288&gt;=5,30,IF(J288=4,14,IF(J288=3,7,IF(J288=2,3,1)))))</x:f>
      </x:c>
      <x:c r="M288" s="171" t="str"/>
      <x:c r="N288" s="171" t="str"/>
      <x:c r="O288" s="171" t="str">
        <x:v>Draft — verify in context</x:v>
      </x:c>
      <x:c r="P288" s="167" t="str">
        <x:v>https://www.oxfordlearnersdictionaries.com/wordlists/oxford3000-5000</x:v>
      </x:c>
    </x:row>
    <x:row r="289" ht="26" customHeight="1">
      <x:c r="A289" s="167" t="n">
        <x:v>288</x:v>
      </x:c>
      <x:c r="B289" s="167" t="str">
        <x:v>correlation</x:v>
      </x:c>
      <x:c r="C289" s="167" t="str">
        <x:v>n.</x:v>
      </x:c>
      <x:c r="D289" s="170" t="str">
        <x:v>кореляція</x:v>
      </x:c>
      <x:c r="E289" s="167" t="str">
        <x:v>No</x:v>
      </x:c>
      <x:c r="F289" s="167"/>
      <x:c r="G289" s="167" t="str">
        <x:v>High</x:v>
      </x:c>
      <x:c r="H289" s="167" t="str">
        <x:v>Research &amp; data</x:v>
      </x:c>
      <x:c r="I289" s="167" t="str">
        <x:v>Not Started</x:v>
      </x:c>
      <x:c r="J289" s="167" t="n">
        <x:v>0</x:v>
      </x:c>
      <x:c r="K289" s="168"/>
      <x:c r="L289" s="168" t="str">
        <x:f>IF(OR(I289="Mastered",K289=""),"",K289+IF(J289&gt;=5,30,IF(J289=4,14,IF(J289=3,7,IF(J289=2,3,1)))))</x:f>
      </x:c>
      <x:c r="M289" s="171" t="str"/>
      <x:c r="N289" s="171" t="str"/>
      <x:c r="O289" s="171" t="str">
        <x:v>Draft — verify in context</x:v>
      </x:c>
      <x:c r="P289" s="167" t="str">
        <x:v>https://www.oxfordlearnersdictionaries.com/wordlists/oxford3000-5000</x:v>
      </x:c>
    </x:row>
    <x:row r="290" ht="26" customHeight="1">
      <x:c r="A290" s="167" t="n">
        <x:v>289</x:v>
      </x:c>
      <x:c r="B290" s="167" t="str">
        <x:v>correspond</x:v>
      </x:c>
      <x:c r="C290" s="167" t="str">
        <x:v>v.</x:v>
      </x:c>
      <x:c r="D290" s="170" t="str">
        <x:v>відповідати</x:v>
      </x:c>
      <x:c r="E290" s="167" t="str">
        <x:v>No</x:v>
      </x:c>
      <x:c r="F290" s="167"/>
      <x:c r="G290" s="167" t="str">
        <x:v>Core</x:v>
      </x:c>
      <x:c r="H290" s="167" t="str">
        <x:v>General</x:v>
      </x:c>
      <x:c r="I290" s="167" t="str">
        <x:v>Not Started</x:v>
      </x:c>
      <x:c r="J290" s="167" t="n">
        <x:v>0</x:v>
      </x:c>
      <x:c r="K290" s="168"/>
      <x:c r="L290" s="168" t="str">
        <x:f>IF(OR(I290="Mastered",K290=""),"",K290+IF(J290&gt;=5,30,IF(J290=4,14,IF(J290=3,7,IF(J290=2,3,1)))))</x:f>
      </x:c>
      <x:c r="M290" s="171" t="str"/>
      <x:c r="N290" s="171" t="str"/>
      <x:c r="O290" s="171" t="str">
        <x:v>Draft — verify in context</x:v>
      </x:c>
      <x:c r="P290" s="167" t="str">
        <x:v>https://www.oxfordlearnersdictionaries.com/wordlists/oxford3000-5000</x:v>
      </x:c>
    </x:row>
    <x:row r="291" ht="26" customHeight="1">
      <x:c r="A291" s="167" t="n">
        <x:v>290</x:v>
      </x:c>
      <x:c r="B291" s="167" t="str">
        <x:v>correspondence</x:v>
      </x:c>
      <x:c r="C291" s="167" t="str">
        <x:v>n.</x:v>
      </x:c>
      <x:c r="D291" s="170" t="str">
        <x:v>листування</x:v>
      </x:c>
      <x:c r="E291" s="167" t="str">
        <x:v>No</x:v>
      </x:c>
      <x:c r="F291" s="167"/>
      <x:c r="G291" s="167" t="str">
        <x:v>Core</x:v>
      </x:c>
      <x:c r="H291" s="167" t="str">
        <x:v>General</x:v>
      </x:c>
      <x:c r="I291" s="167" t="str">
        <x:v>Not Started</x:v>
      </x:c>
      <x:c r="J291" s="167" t="n">
        <x:v>0</x:v>
      </x:c>
      <x:c r="K291" s="168"/>
      <x:c r="L291" s="168" t="str">
        <x:f>IF(OR(I291="Mastered",K291=""),"",K291+IF(J291&gt;=5,30,IF(J291=4,14,IF(J291=3,7,IF(J291=2,3,1)))))</x:f>
      </x:c>
      <x:c r="M291" s="171" t="str"/>
      <x:c r="N291" s="171" t="str"/>
      <x:c r="O291" s="171" t="str">
        <x:v>Draft — verify in context</x:v>
      </x:c>
      <x:c r="P291" s="167" t="str">
        <x:v>https://www.oxfordlearnersdictionaries.com/wordlists/oxford3000-5000</x:v>
      </x:c>
    </x:row>
    <x:row r="292" ht="26" customHeight="1">
      <x:c r="A292" s="167" t="n">
        <x:v>291</x:v>
      </x:c>
      <x:c r="B292" s="167" t="str">
        <x:v>correspondent</x:v>
      </x:c>
      <x:c r="C292" s="167" t="str">
        <x:v>n.</x:v>
      </x:c>
      <x:c r="D292" s="170" t="str">
        <x:v>кореспондент</x:v>
      </x:c>
      <x:c r="E292" s="167" t="str">
        <x:v>No</x:v>
      </x:c>
      <x:c r="F292" s="167"/>
      <x:c r="G292" s="167" t="str">
        <x:v>Core</x:v>
      </x:c>
      <x:c r="H292" s="167" t="str">
        <x:v>General</x:v>
      </x:c>
      <x:c r="I292" s="167" t="str">
        <x:v>Not Started</x:v>
      </x:c>
      <x:c r="J292" s="167" t="n">
        <x:v>0</x:v>
      </x:c>
      <x:c r="K292" s="168"/>
      <x:c r="L292" s="168" t="str">
        <x:f>IF(OR(I292="Mastered",K292=""),"",K292+IF(J292&gt;=5,30,IF(J292=4,14,IF(J292=3,7,IF(J292=2,3,1)))))</x:f>
      </x:c>
      <x:c r="M292" s="171" t="str"/>
      <x:c r="N292" s="171" t="str"/>
      <x:c r="O292" s="171" t="str">
        <x:v>Draft — verify in context</x:v>
      </x:c>
      <x:c r="P292" s="167" t="str">
        <x:v>https://www.oxfordlearnersdictionaries.com/wordlists/oxford3000-5000</x:v>
      </x:c>
    </x:row>
    <x:row r="293" ht="26" customHeight="1">
      <x:c r="A293" s="167" t="n">
        <x:v>292</x:v>
      </x:c>
      <x:c r="B293" s="167" t="str">
        <x:v>corresponding</x:v>
      </x:c>
      <x:c r="C293" s="167" t="str">
        <x:v>adj.</x:v>
      </x:c>
      <x:c r="D293" s="170" t="str">
        <x:v>відповідний</x:v>
      </x:c>
      <x:c r="E293" s="167" t="str">
        <x:v>Yes</x:v>
      </x:c>
      <x:c r="F293" s="167" t="n">
        <x:v>3</x:v>
      </x:c>
      <x:c r="G293" s="167" t="str">
        <x:v>High</x:v>
      </x:c>
      <x:c r="H293" s="167" t="str">
        <x:v>General</x:v>
      </x:c>
      <x:c r="I293" s="167" t="str">
        <x:v>Not Started</x:v>
      </x:c>
      <x:c r="J293" s="167" t="n">
        <x:v>0</x:v>
      </x:c>
      <x:c r="K293" s="168"/>
      <x:c r="L293" s="168" t="str">
        <x:f>IF(OR(I293="Mastered",K293=""),"",K293+IF(J293&gt;=5,30,IF(J293=4,14,IF(J293=3,7,IF(J293=2,3,1)))))</x:f>
      </x:c>
      <x:c r="M293" s="171" t="str"/>
      <x:c r="N293" s="171" t="str"/>
      <x:c r="O293" s="171" t="str">
        <x:v>Draft — verify in context</x:v>
      </x:c>
      <x:c r="P293" s="167" t="str">
        <x:v>https://www.oxfordlearnersdictionaries.com/wordlists/oxford3000-5000</x:v>
      </x:c>
    </x:row>
    <x:row r="294" ht="26" customHeight="1">
      <x:c r="A294" s="167" t="n">
        <x:v>293</x:v>
      </x:c>
      <x:c r="B294" s="167" t="str">
        <x:v>corrupt</x:v>
      </x:c>
      <x:c r="C294" s="167" t="str">
        <x:v>adj.</x:v>
      </x:c>
      <x:c r="D294" s="170" t="str">
        <x:v>корумпований</x:v>
      </x:c>
      <x:c r="E294" s="167" t="str">
        <x:v>No</x:v>
      </x:c>
      <x:c r="F294" s="167"/>
      <x:c r="G294" s="167" t="str">
        <x:v>Core</x:v>
      </x:c>
      <x:c r="H294" s="167" t="str">
        <x:v>General</x:v>
      </x:c>
      <x:c r="I294" s="167" t="str">
        <x:v>Not Started</x:v>
      </x:c>
      <x:c r="J294" s="167" t="n">
        <x:v>0</x:v>
      </x:c>
      <x:c r="K294" s="168"/>
      <x:c r="L294" s="168" t="str">
        <x:f>IF(OR(I294="Mastered",K294=""),"",K294+IF(J294&gt;=5,30,IF(J294=4,14,IF(J294=3,7,IF(J294=2,3,1)))))</x:f>
      </x:c>
      <x:c r="M294" s="171" t="str"/>
      <x:c r="N294" s="171" t="str"/>
      <x:c r="O294" s="171" t="str">
        <x:v>Draft — verify in context</x:v>
      </x:c>
      <x:c r="P294" s="167" t="str">
        <x:v>https://www.oxfordlearnersdictionaries.com/wordlists/oxford3000-5000</x:v>
      </x:c>
    </x:row>
    <x:row r="295" ht="26" customHeight="1">
      <x:c r="A295" s="167" t="n">
        <x:v>294</x:v>
      </x:c>
      <x:c r="B295" s="167" t="str">
        <x:v>corruption</x:v>
      </x:c>
      <x:c r="C295" s="167" t="str">
        <x:v>n.</x:v>
      </x:c>
      <x:c r="D295" s="170" t="str">
        <x:v>корупція</x:v>
      </x:c>
      <x:c r="E295" s="167" t="str">
        <x:v>No</x:v>
      </x:c>
      <x:c r="F295" s="167"/>
      <x:c r="G295" s="167" t="str">
        <x:v>Core</x:v>
      </x:c>
      <x:c r="H295" s="167" t="str">
        <x:v>General</x:v>
      </x:c>
      <x:c r="I295" s="167" t="str">
        <x:v>Not Started</x:v>
      </x:c>
      <x:c r="J295" s="167" t="n">
        <x:v>0</x:v>
      </x:c>
      <x:c r="K295" s="168"/>
      <x:c r="L295" s="168" t="str">
        <x:f>IF(OR(I295="Mastered",K295=""),"",K295+IF(J295&gt;=5,30,IF(J295=4,14,IF(J295=3,7,IF(J295=2,3,1)))))</x:f>
      </x:c>
      <x:c r="M295" s="171" t="str"/>
      <x:c r="N295" s="171" t="str"/>
      <x:c r="O295" s="171" t="str">
        <x:v>Draft — verify in context</x:v>
      </x:c>
      <x:c r="P295" s="167" t="str">
        <x:v>https://www.oxfordlearnersdictionaries.com/wordlists/oxford3000-5000</x:v>
      </x:c>
    </x:row>
    <x:row r="296" ht="26" customHeight="1">
      <x:c r="A296" s="167" t="n">
        <x:v>295</x:v>
      </x:c>
      <x:c r="B296" s="167" t="str">
        <x:v>costly</x:v>
      </x:c>
      <x:c r="C296" s="167" t="str">
        <x:v>adj.</x:v>
      </x:c>
      <x:c r="D296" s="170" t="str">
        <x:v>дорогий</x:v>
      </x:c>
      <x:c r="E296" s="167" t="str">
        <x:v>No</x:v>
      </x:c>
      <x:c r="F296" s="167"/>
      <x:c r="G296" s="167" t="str">
        <x:v>Core</x:v>
      </x:c>
      <x:c r="H296" s="167" t="str">
        <x:v>General</x:v>
      </x:c>
      <x:c r="I296" s="167" t="str">
        <x:v>Not Started</x:v>
      </x:c>
      <x:c r="J296" s="167" t="n">
        <x:v>0</x:v>
      </x:c>
      <x:c r="K296" s="168"/>
      <x:c r="L296" s="168" t="str">
        <x:f>IF(OR(I296="Mastered",K296=""),"",K296+IF(J296&gt;=5,30,IF(J296=4,14,IF(J296=3,7,IF(J296=2,3,1)))))</x:f>
      </x:c>
      <x:c r="M296" s="171" t="str"/>
      <x:c r="N296" s="171" t="str"/>
      <x:c r="O296" s="171" t="str">
        <x:v>Draft — verify in context</x:v>
      </x:c>
      <x:c r="P296" s="167" t="str">
        <x:v>https://www.oxfordlearnersdictionaries.com/wordlists/oxford3000-5000</x:v>
      </x:c>
    </x:row>
    <x:row r="297" ht="26" customHeight="1">
      <x:c r="A297" s="167" t="n">
        <x:v>296</x:v>
      </x:c>
      <x:c r="B297" s="167" t="str">
        <x:v>councillor</x:v>
      </x:c>
      <x:c r="C297" s="167" t="str">
        <x:v>n.</x:v>
      </x:c>
      <x:c r="D297" s="170" t="str">
        <x:v>радник</x:v>
      </x:c>
      <x:c r="E297" s="167" t="str">
        <x:v>No</x:v>
      </x:c>
      <x:c r="F297" s="167"/>
      <x:c r="G297" s="167" t="str">
        <x:v>Core</x:v>
      </x:c>
      <x:c r="H297" s="167" t="str">
        <x:v>General</x:v>
      </x:c>
      <x:c r="I297" s="167" t="str">
        <x:v>Not Started</x:v>
      </x:c>
      <x:c r="J297" s="167" t="n">
        <x:v>0</x:v>
      </x:c>
      <x:c r="K297" s="168"/>
      <x:c r="L297" s="168" t="str">
        <x:f>IF(OR(I297="Mastered",K297=""),"",K297+IF(J297&gt;=5,30,IF(J297=4,14,IF(J297=3,7,IF(J297=2,3,1)))))</x:f>
      </x:c>
      <x:c r="M297" s="171" t="str"/>
      <x:c r="N297" s="171" t="str"/>
      <x:c r="O297" s="171" t="str">
        <x:v>Draft — verify in context</x:v>
      </x:c>
      <x:c r="P297" s="167" t="str">
        <x:v>https://www.oxfordlearnersdictionaries.com/wordlists/oxford3000-5000</x:v>
      </x:c>
    </x:row>
    <x:row r="298" ht="26" customHeight="1">
      <x:c r="A298" s="167" t="n">
        <x:v>297</x:v>
      </x:c>
      <x:c r="B298" s="167" t="str">
        <x:v>counselling</x:v>
      </x:c>
      <x:c r="C298" s="167" t="str">
        <x:v>n.</x:v>
      </x:c>
      <x:c r="D298" s="170" t="str">
        <x:v>консультування</x:v>
      </x:c>
      <x:c r="E298" s="167" t="str">
        <x:v>No</x:v>
      </x:c>
      <x:c r="F298" s="167"/>
      <x:c r="G298" s="167" t="str">
        <x:v>Core</x:v>
      </x:c>
      <x:c r="H298" s="167" t="str">
        <x:v>General</x:v>
      </x:c>
      <x:c r="I298" s="167" t="str">
        <x:v>Not Started</x:v>
      </x:c>
      <x:c r="J298" s="167" t="n">
        <x:v>0</x:v>
      </x:c>
      <x:c r="K298" s="168"/>
      <x:c r="L298" s="168" t="str">
        <x:f>IF(OR(I298="Mastered",K298=""),"",K298+IF(J298&gt;=5,30,IF(J298=4,14,IF(J298=3,7,IF(J298=2,3,1)))))</x:f>
      </x:c>
      <x:c r="M298" s="171" t="str"/>
      <x:c r="N298" s="171" t="str"/>
      <x:c r="O298" s="171" t="str">
        <x:v>Draft — verify in context</x:v>
      </x:c>
      <x:c r="P298" s="167" t="str">
        <x:v>https://www.oxfordlearnersdictionaries.com/wordlists/oxford3000-5000</x:v>
      </x:c>
    </x:row>
    <x:row r="299" ht="26" customHeight="1">
      <x:c r="A299" s="167" t="n">
        <x:v>298</x:v>
      </x:c>
      <x:c r="B299" s="167" t="str">
        <x:v>counsellor</x:v>
      </x:c>
      <x:c r="C299" s="167" t="str">
        <x:v>n.</x:v>
      </x:c>
      <x:c r="D299" s="170" t="str">
        <x:v>радник</x:v>
      </x:c>
      <x:c r="E299" s="167" t="str">
        <x:v>No</x:v>
      </x:c>
      <x:c r="F299" s="167"/>
      <x:c r="G299" s="167" t="str">
        <x:v>Core</x:v>
      </x:c>
      <x:c r="H299" s="167" t="str">
        <x:v>General</x:v>
      </x:c>
      <x:c r="I299" s="167" t="str">
        <x:v>Not Started</x:v>
      </x:c>
      <x:c r="J299" s="167" t="n">
        <x:v>0</x:v>
      </x:c>
      <x:c r="K299" s="168"/>
      <x:c r="L299" s="168" t="str">
        <x:f>IF(OR(I299="Mastered",K299=""),"",K299+IF(J299&gt;=5,30,IF(J299=4,14,IF(J299=3,7,IF(J299=2,3,1)))))</x:f>
      </x:c>
      <x:c r="M299" s="171" t="str"/>
      <x:c r="N299" s="171" t="str"/>
      <x:c r="O299" s="171" t="str">
        <x:v>Draft — verify in context</x:v>
      </x:c>
      <x:c r="P299" s="167" t="str">
        <x:v>https://www.oxfordlearnersdictionaries.com/wordlists/oxford3000-5000</x:v>
      </x:c>
    </x:row>
    <x:row r="300" ht="26" customHeight="1">
      <x:c r="A300" s="167" t="n">
        <x:v>299</x:v>
      </x:c>
      <x:c r="B300" s="167" t="str">
        <x:v>counter (argue against)</x:v>
      </x:c>
      <x:c r="C300" s="167" t="str">
        <x:v>v.</x:v>
      </x:c>
      <x:c r="D300" s="170" t="str">
        <x:v>заперечувати; протиставляти аргумент</x:v>
      </x:c>
      <x:c r="E300" s="167" t="str">
        <x:v>No</x:v>
      </x:c>
      <x:c r="F300" s="167"/>
      <x:c r="G300" s="167" t="str">
        <x:v>Core</x:v>
      </x:c>
      <x:c r="H300" s="167" t="str">
        <x:v>General</x:v>
      </x:c>
      <x:c r="I300" s="167" t="str">
        <x:v>Not Started</x:v>
      </x:c>
      <x:c r="J300" s="167" t="n">
        <x:v>0</x:v>
      </x:c>
      <x:c r="K300" s="168"/>
      <x:c r="L300" s="168" t="str">
        <x:f>IF(OR(I300="Mastered",K300=""),"",K300+IF(J300&gt;=5,30,IF(J300=4,14,IF(J300=3,7,IF(J300=2,3,1)))))</x:f>
      </x:c>
      <x:c r="M300" s="171" t="str"/>
      <x:c r="N300" s="171" t="str"/>
      <x:c r="O300" s="171" t="str">
        <x:v>Draft — verify in context</x:v>
      </x:c>
      <x:c r="P300" s="167" t="str">
        <x:v>https://www.oxfordlearnersdictionaries.com/wordlists/oxford3000-5000</x:v>
      </x:c>
    </x:row>
    <x:row r="301" ht="26" customHeight="1">
      <x:c r="A301" s="167" t="n">
        <x:v>300</x:v>
      </x:c>
      <x:c r="B301" s="167" t="str">
        <x:v>counterpart</x:v>
      </x:c>
      <x:c r="C301" s="167" t="str">
        <x:v>n.</x:v>
      </x:c>
      <x:c r="D301" s="170" t="str">
        <x:v>аналог</x:v>
      </x:c>
      <x:c r="E301" s="167" t="str">
        <x:v>No</x:v>
      </x:c>
      <x:c r="F301" s="167"/>
      <x:c r="G301" s="167" t="str">
        <x:v>Core</x:v>
      </x:c>
      <x:c r="H301" s="167" t="str">
        <x:v>General</x:v>
      </x:c>
      <x:c r="I301" s="167" t="str">
        <x:v>Not Started</x:v>
      </x:c>
      <x:c r="J301" s="167" t="n">
        <x:v>0</x:v>
      </x:c>
      <x:c r="K301" s="168"/>
      <x:c r="L301" s="168" t="str">
        <x:f>IF(OR(I301="Mastered",K301=""),"",K301+IF(J301&gt;=5,30,IF(J301=4,14,IF(J301=3,7,IF(J301=2,3,1)))))</x:f>
      </x:c>
      <x:c r="M301" s="171" t="str"/>
      <x:c r="N301" s="171" t="str"/>
      <x:c r="O301" s="171" t="str">
        <x:v>Draft — verify in context</x:v>
      </x:c>
      <x:c r="P301" s="167" t="str">
        <x:v>https://www.oxfordlearnersdictionaries.com/wordlists/oxford3000-5000</x:v>
      </x:c>
    </x:row>
    <x:row r="302" ht="26" customHeight="1">
      <x:c r="A302" s="167" t="n">
        <x:v>301</x:v>
      </x:c>
      <x:c r="B302" s="167" t="str">
        <x:v>countless</x:v>
      </x:c>
      <x:c r="C302" s="167" t="str">
        <x:v>adj.</x:v>
      </x:c>
      <x:c r="D302" s="170" t="str">
        <x:v>незліченні</x:v>
      </x:c>
      <x:c r="E302" s="167" t="str">
        <x:v>No</x:v>
      </x:c>
      <x:c r="F302" s="167"/>
      <x:c r="G302" s="167" t="str">
        <x:v>Core</x:v>
      </x:c>
      <x:c r="H302" s="167" t="str">
        <x:v>General</x:v>
      </x:c>
      <x:c r="I302" s="167" t="str">
        <x:v>Not Started</x:v>
      </x:c>
      <x:c r="J302" s="167" t="n">
        <x:v>0</x:v>
      </x:c>
      <x:c r="K302" s="168"/>
      <x:c r="L302" s="168" t="str">
        <x:f>IF(OR(I302="Mastered",K302=""),"",K302+IF(J302&gt;=5,30,IF(J302=4,14,IF(J302=3,7,IF(J302=2,3,1)))))</x:f>
      </x:c>
      <x:c r="M302" s="171" t="str"/>
      <x:c r="N302" s="171" t="str"/>
      <x:c r="O302" s="171" t="str">
        <x:v>Draft — verify in context</x:v>
      </x:c>
      <x:c r="P302" s="167" t="str">
        <x:v>https://www.oxfordlearnersdictionaries.com/wordlists/oxford3000-5000</x:v>
      </x:c>
    </x:row>
    <x:row r="303" ht="26" customHeight="1">
      <x:c r="A303" s="167" t="n">
        <x:v>302</x:v>
      </x:c>
      <x:c r="B303" s="167" t="str">
        <x:v>coup</x:v>
      </x:c>
      <x:c r="C303" s="167" t="str">
        <x:v>n.</x:v>
      </x:c>
      <x:c r="D303" s="170" t="str">
        <x:v>переворот</x:v>
      </x:c>
      <x:c r="E303" s="167" t="str">
        <x:v>No</x:v>
      </x:c>
      <x:c r="F303" s="167"/>
      <x:c r="G303" s="167" t="str">
        <x:v>Core</x:v>
      </x:c>
      <x:c r="H303" s="167" t="str">
        <x:v>General</x:v>
      </x:c>
      <x:c r="I303" s="167" t="str">
        <x:v>Not Started</x:v>
      </x:c>
      <x:c r="J303" s="167" t="n">
        <x:v>0</x:v>
      </x:c>
      <x:c r="K303" s="168"/>
      <x:c r="L303" s="168" t="str">
        <x:f>IF(OR(I303="Mastered",K303=""),"",K303+IF(J303&gt;=5,30,IF(J303=4,14,IF(J303=3,7,IF(J303=2,3,1)))))</x:f>
      </x:c>
      <x:c r="M303" s="171" t="str"/>
      <x:c r="N303" s="171" t="str"/>
      <x:c r="O303" s="171" t="str">
        <x:v>Draft — verify in context</x:v>
      </x:c>
      <x:c r="P303" s="167" t="str">
        <x:v>https://www.oxfordlearnersdictionaries.com/wordlists/oxford3000-5000</x:v>
      </x:c>
    </x:row>
    <x:row r="304" ht="26" customHeight="1">
      <x:c r="A304" s="167" t="n">
        <x:v>303</x:v>
      </x:c>
      <x:c r="B304" s="167" t="str">
        <x:v>courtesy</x:v>
      </x:c>
      <x:c r="C304" s="167" t="str">
        <x:v>n.</x:v>
      </x:c>
      <x:c r="D304" s="170" t="str">
        <x:v>ввічливість</x:v>
      </x:c>
      <x:c r="E304" s="167" t="str">
        <x:v>No</x:v>
      </x:c>
      <x:c r="F304" s="167"/>
      <x:c r="G304" s="167" t="str">
        <x:v>Core</x:v>
      </x:c>
      <x:c r="H304" s="167" t="str">
        <x:v>General</x:v>
      </x:c>
      <x:c r="I304" s="167" t="str">
        <x:v>Not Started</x:v>
      </x:c>
      <x:c r="J304" s="167" t="n">
        <x:v>0</x:v>
      </x:c>
      <x:c r="K304" s="168"/>
      <x:c r="L304" s="168" t="str">
        <x:f>IF(OR(I304="Mastered",K304=""),"",K304+IF(J304&gt;=5,30,IF(J304=4,14,IF(J304=3,7,IF(J304=2,3,1)))))</x:f>
      </x:c>
      <x:c r="M304" s="171" t="str"/>
      <x:c r="N304" s="171" t="str"/>
      <x:c r="O304" s="171" t="str">
        <x:v>Draft — verify in context</x:v>
      </x:c>
      <x:c r="P304" s="167" t="str">
        <x:v>https://www.oxfordlearnersdictionaries.com/wordlists/oxford3000-5000</x:v>
      </x:c>
    </x:row>
    <x:row r="305" ht="26" customHeight="1">
      <x:c r="A305" s="167" t="n">
        <x:v>304</x:v>
      </x:c>
      <x:c r="B305" s="167" t="str">
        <x:v>craft</x:v>
      </x:c>
      <x:c r="C305" s="167" t="str">
        <x:v>v.</x:v>
      </x:c>
      <x:c r="D305" s="170" t="str">
        <x:v>ремесло</x:v>
      </x:c>
      <x:c r="E305" s="167" t="str">
        <x:v>No</x:v>
      </x:c>
      <x:c r="F305" s="167"/>
      <x:c r="G305" s="167" t="str">
        <x:v>Core</x:v>
      </x:c>
      <x:c r="H305" s="167" t="str">
        <x:v>General</x:v>
      </x:c>
      <x:c r="I305" s="167" t="str">
        <x:v>Not Started</x:v>
      </x:c>
      <x:c r="J305" s="167" t="n">
        <x:v>0</x:v>
      </x:c>
      <x:c r="K305" s="168"/>
      <x:c r="L305" s="168" t="str">
        <x:f>IF(OR(I305="Mastered",K305=""),"",K305+IF(J305&gt;=5,30,IF(J305=4,14,IF(J305=3,7,IF(J305=2,3,1)))))</x:f>
      </x:c>
      <x:c r="M305" s="171" t="str"/>
      <x:c r="N305" s="171" t="str"/>
      <x:c r="O305" s="171" t="str">
        <x:v>Draft — verify in context</x:v>
      </x:c>
      <x:c r="P305" s="167" t="str">
        <x:v>https://www.oxfordlearnersdictionaries.com/wordlists/oxford3000-5000</x:v>
      </x:c>
    </x:row>
    <x:row r="306" ht="26" customHeight="1">
      <x:c r="A306" s="167" t="n">
        <x:v>305</x:v>
      </x:c>
      <x:c r="B306" s="167" t="str">
        <x:v>crawl</x:v>
      </x:c>
      <x:c r="C306" s="167" t="str">
        <x:v>v.</x:v>
      </x:c>
      <x:c r="D306" s="170" t="str">
        <x:v>повзати</x:v>
      </x:c>
      <x:c r="E306" s="167" t="str">
        <x:v>No</x:v>
      </x:c>
      <x:c r="F306" s="167"/>
      <x:c r="G306" s="167" t="str">
        <x:v>Core</x:v>
      </x:c>
      <x:c r="H306" s="167" t="str">
        <x:v>General</x:v>
      </x:c>
      <x:c r="I306" s="167" t="str">
        <x:v>Not Started</x:v>
      </x:c>
      <x:c r="J306" s="167" t="n">
        <x:v>0</x:v>
      </x:c>
      <x:c r="K306" s="168"/>
      <x:c r="L306" s="168" t="str">
        <x:f>IF(OR(I306="Mastered",K306=""),"",K306+IF(J306&gt;=5,30,IF(J306=4,14,IF(J306=3,7,IF(J306=2,3,1)))))</x:f>
      </x:c>
      <x:c r="M306" s="171" t="str"/>
      <x:c r="N306" s="171" t="str"/>
      <x:c r="O306" s="171" t="str">
        <x:v>Draft — verify in context</x:v>
      </x:c>
      <x:c r="P306" s="167" t="str">
        <x:v>https://www.oxfordlearnersdictionaries.com/wordlists/oxford3000-5000</x:v>
      </x:c>
    </x:row>
    <x:row r="307" ht="26" customHeight="1">
      <x:c r="A307" s="167" t="n">
        <x:v>306</x:v>
      </x:c>
      <x:c r="B307" s="167" t="str">
        <x:v>creator</x:v>
      </x:c>
      <x:c r="C307" s="167" t="str">
        <x:v>n.</x:v>
      </x:c>
      <x:c r="D307" s="170" t="str">
        <x:v>творець</x:v>
      </x:c>
      <x:c r="E307" s="167" t="str">
        <x:v>No</x:v>
      </x:c>
      <x:c r="F307" s="167"/>
      <x:c r="G307" s="167" t="str">
        <x:v>Core</x:v>
      </x:c>
      <x:c r="H307" s="167" t="str">
        <x:v>General</x:v>
      </x:c>
      <x:c r="I307" s="167" t="str">
        <x:v>Not Started</x:v>
      </x:c>
      <x:c r="J307" s="167" t="n">
        <x:v>0</x:v>
      </x:c>
      <x:c r="K307" s="168"/>
      <x:c r="L307" s="168" t="str">
        <x:f>IF(OR(I307="Mastered",K307=""),"",K307+IF(J307&gt;=5,30,IF(J307=4,14,IF(J307=3,7,IF(J307=2,3,1)))))</x:f>
      </x:c>
      <x:c r="M307" s="171" t="str"/>
      <x:c r="N307" s="171" t="str"/>
      <x:c r="O307" s="171" t="str">
        <x:v>Draft — verify in context</x:v>
      </x:c>
      <x:c r="P307" s="167" t="str">
        <x:v>https://www.oxfordlearnersdictionaries.com/wordlists/oxford3000-5000</x:v>
      </x:c>
    </x:row>
    <x:row r="308" ht="26" customHeight="1">
      <x:c r="A308" s="167" t="n">
        <x:v>307</x:v>
      </x:c>
      <x:c r="B308" s="167" t="str">
        <x:v>credibility</x:v>
      </x:c>
      <x:c r="C308" s="167" t="str">
        <x:v>n.</x:v>
      </x:c>
      <x:c r="D308" s="170" t="str">
        <x:v>довіра</x:v>
      </x:c>
      <x:c r="E308" s="167" t="str">
        <x:v>No</x:v>
      </x:c>
      <x:c r="F308" s="167"/>
      <x:c r="G308" s="167" t="str">
        <x:v>Core</x:v>
      </x:c>
      <x:c r="H308" s="167" t="str">
        <x:v>General</x:v>
      </x:c>
      <x:c r="I308" s="167" t="str">
        <x:v>Not Started</x:v>
      </x:c>
      <x:c r="J308" s="167" t="n">
        <x:v>0</x:v>
      </x:c>
      <x:c r="K308" s="168"/>
      <x:c r="L308" s="168" t="str">
        <x:f>IF(OR(I308="Mastered",K308=""),"",K308+IF(J308&gt;=5,30,IF(J308=4,14,IF(J308=3,7,IF(J308=2,3,1)))))</x:f>
      </x:c>
      <x:c r="M308" s="171" t="str"/>
      <x:c r="N308" s="171" t="str"/>
      <x:c r="O308" s="171" t="str">
        <x:v>Draft — verify in context</x:v>
      </x:c>
      <x:c r="P308" s="167" t="str">
        <x:v>https://www.oxfordlearnersdictionaries.com/wordlists/oxford3000-5000</x:v>
      </x:c>
    </x:row>
    <x:row r="309" ht="26" customHeight="1">
      <x:c r="A309" s="167" t="n">
        <x:v>308</x:v>
      </x:c>
      <x:c r="B309" s="167" t="str">
        <x:v>credible</x:v>
      </x:c>
      <x:c r="C309" s="167" t="str">
        <x:v>adj.</x:v>
      </x:c>
      <x:c r="D309" s="170" t="str">
        <x:v>надійний</x:v>
      </x:c>
      <x:c r="E309" s="167" t="str">
        <x:v>No</x:v>
      </x:c>
      <x:c r="F309" s="167"/>
      <x:c r="G309" s="167" t="str">
        <x:v>Core</x:v>
      </x:c>
      <x:c r="H309" s="167" t="str">
        <x:v>General</x:v>
      </x:c>
      <x:c r="I309" s="167" t="str">
        <x:v>Not Started</x:v>
      </x:c>
      <x:c r="J309" s="167" t="n">
        <x:v>0</x:v>
      </x:c>
      <x:c r="K309" s="168"/>
      <x:c r="L309" s="168" t="str">
        <x:f>IF(OR(I309="Mastered",K309=""),"",K309+IF(J309&gt;=5,30,IF(J309=4,14,IF(J309=3,7,IF(J309=2,3,1)))))</x:f>
      </x:c>
      <x:c r="M309" s="171" t="str"/>
      <x:c r="N309" s="171" t="str"/>
      <x:c r="O309" s="171" t="str">
        <x:v>Draft — verify in context</x:v>
      </x:c>
      <x:c r="P309" s="167" t="str">
        <x:v>https://www.oxfordlearnersdictionaries.com/wordlists/oxford3000-5000</x:v>
      </x:c>
    </x:row>
    <x:row r="310" ht="26" customHeight="1">
      <x:c r="A310" s="167" t="n">
        <x:v>309</x:v>
      </x:c>
      <x:c r="B310" s="167" t="str">
        <x:v>creep</x:v>
      </x:c>
      <x:c r="C310" s="167" t="str">
        <x:v>v.</x:v>
      </x:c>
      <x:c r="D310" s="170" t="str">
        <x:v>повзати</x:v>
      </x:c>
      <x:c r="E310" s="167" t="str">
        <x:v>No</x:v>
      </x:c>
      <x:c r="F310" s="167"/>
      <x:c r="G310" s="167" t="str">
        <x:v>Core</x:v>
      </x:c>
      <x:c r="H310" s="167" t="str">
        <x:v>General</x:v>
      </x:c>
      <x:c r="I310" s="167" t="str">
        <x:v>Not Started</x:v>
      </x:c>
      <x:c r="J310" s="167" t="n">
        <x:v>0</x:v>
      </x:c>
      <x:c r="K310" s="168"/>
      <x:c r="L310" s="168" t="str">
        <x:f>IF(OR(I310="Mastered",K310=""),"",K310+IF(J310&gt;=5,30,IF(J310=4,14,IF(J310=3,7,IF(J310=2,3,1)))))</x:f>
      </x:c>
      <x:c r="M310" s="171" t="str"/>
      <x:c r="N310" s="171" t="str"/>
      <x:c r="O310" s="171" t="str">
        <x:v>Draft — verify in context</x:v>
      </x:c>
      <x:c r="P310" s="167" t="str">
        <x:v>https://www.oxfordlearnersdictionaries.com/wordlists/oxford3000-5000</x:v>
      </x:c>
    </x:row>
    <x:row r="311" ht="26" customHeight="1">
      <x:c r="A311" s="167" t="n">
        <x:v>310</x:v>
      </x:c>
      <x:c r="B311" s="167" t="str">
        <x:v>critique</x:v>
      </x:c>
      <x:c r="C311" s="167" t="str">
        <x:v>n.</x:v>
      </x:c>
      <x:c r="D311" s="170" t="str">
        <x:v>критика</x:v>
      </x:c>
      <x:c r="E311" s="167" t="str">
        <x:v>No</x:v>
      </x:c>
      <x:c r="F311" s="167"/>
      <x:c r="G311" s="167" t="str">
        <x:v>Core</x:v>
      </x:c>
      <x:c r="H311" s="167" t="str">
        <x:v>General</x:v>
      </x:c>
      <x:c r="I311" s="167" t="str">
        <x:v>Not Started</x:v>
      </x:c>
      <x:c r="J311" s="167" t="n">
        <x:v>0</x:v>
      </x:c>
      <x:c r="K311" s="168"/>
      <x:c r="L311" s="168" t="str">
        <x:f>IF(OR(I311="Mastered",K311=""),"",K311+IF(J311&gt;=5,30,IF(J311=4,14,IF(J311=3,7,IF(J311=2,3,1)))))</x:f>
      </x:c>
      <x:c r="M311" s="171" t="str"/>
      <x:c r="N311" s="171" t="str"/>
      <x:c r="O311" s="171" t="str">
        <x:v>Draft — verify in context</x:v>
      </x:c>
      <x:c r="P311" s="167" t="str">
        <x:v>https://www.oxfordlearnersdictionaries.com/wordlists/oxford3000-5000</x:v>
      </x:c>
    </x:row>
    <x:row r="312" ht="26" customHeight="1">
      <x:c r="A312" s="167" t="n">
        <x:v>311</x:v>
      </x:c>
      <x:c r="B312" s="167" t="str">
        <x:v>crown</x:v>
      </x:c>
      <x:c r="C312" s="167" t="str">
        <x:v>n.</x:v>
      </x:c>
      <x:c r="D312" s="170" t="str">
        <x:v>корона</x:v>
      </x:c>
      <x:c r="E312" s="167" t="str">
        <x:v>No</x:v>
      </x:c>
      <x:c r="F312" s="167"/>
      <x:c r="G312" s="167" t="str">
        <x:v>Core</x:v>
      </x:c>
      <x:c r="H312" s="167" t="str">
        <x:v>General</x:v>
      </x:c>
      <x:c r="I312" s="167" t="str">
        <x:v>Not Started</x:v>
      </x:c>
      <x:c r="J312" s="167" t="n">
        <x:v>0</x:v>
      </x:c>
      <x:c r="K312" s="168"/>
      <x:c r="L312" s="168" t="str">
        <x:f>IF(OR(I312="Mastered",K312=""),"",K312+IF(J312&gt;=5,30,IF(J312=4,14,IF(J312=3,7,IF(J312=2,3,1)))))</x:f>
      </x:c>
      <x:c r="M312" s="171" t="str"/>
      <x:c r="N312" s="171" t="str"/>
      <x:c r="O312" s="171" t="str">
        <x:v>Draft — verify in context</x:v>
      </x:c>
      <x:c r="P312" s="167" t="str">
        <x:v>https://www.oxfordlearnersdictionaries.com/wordlists/oxford3000-5000</x:v>
      </x:c>
    </x:row>
    <x:row r="313" ht="26" customHeight="1">
      <x:c r="A313" s="167" t="n">
        <x:v>312</x:v>
      </x:c>
      <x:c r="B313" s="167" t="str">
        <x:v>crude</x:v>
      </x:c>
      <x:c r="C313" s="167" t="str">
        <x:v>adj.</x:v>
      </x:c>
      <x:c r="D313" s="170" t="str">
        <x:v>сирий</x:v>
      </x:c>
      <x:c r="E313" s="167" t="str">
        <x:v>No</x:v>
      </x:c>
      <x:c r="F313" s="167"/>
      <x:c r="G313" s="167" t="str">
        <x:v>Core</x:v>
      </x:c>
      <x:c r="H313" s="167" t="str">
        <x:v>General</x:v>
      </x:c>
      <x:c r="I313" s="167" t="str">
        <x:v>Not Started</x:v>
      </x:c>
      <x:c r="J313" s="167" t="n">
        <x:v>0</x:v>
      </x:c>
      <x:c r="K313" s="168"/>
      <x:c r="L313" s="168" t="str">
        <x:f>IF(OR(I313="Mastered",K313=""),"",K313+IF(J313&gt;=5,30,IF(J313=4,14,IF(J313=3,7,IF(J313=2,3,1)))))</x:f>
      </x:c>
      <x:c r="M313" s="171" t="str"/>
      <x:c r="N313" s="171" t="str"/>
      <x:c r="O313" s="171" t="str">
        <x:v>Draft — verify in context</x:v>
      </x:c>
      <x:c r="P313" s="167" t="str">
        <x:v>https://www.oxfordlearnersdictionaries.com/wordlists/oxford3000-5000</x:v>
      </x:c>
    </x:row>
    <x:row r="314" ht="26" customHeight="1">
      <x:c r="A314" s="167" t="n">
        <x:v>313</x:v>
      </x:c>
      <x:c r="B314" s="167" t="str">
        <x:v>crush</x:v>
      </x:c>
      <x:c r="C314" s="167" t="str">
        <x:v>v.</x:v>
      </x:c>
      <x:c r="D314" s="170" t="str">
        <x:v>розчавити</x:v>
      </x:c>
      <x:c r="E314" s="167" t="str">
        <x:v>No</x:v>
      </x:c>
      <x:c r="F314" s="167"/>
      <x:c r="G314" s="167" t="str">
        <x:v>Core</x:v>
      </x:c>
      <x:c r="H314" s="167" t="str">
        <x:v>General</x:v>
      </x:c>
      <x:c r="I314" s="167" t="str">
        <x:v>Not Started</x:v>
      </x:c>
      <x:c r="J314" s="167" t="n">
        <x:v>0</x:v>
      </x:c>
      <x:c r="K314" s="168"/>
      <x:c r="L314" s="168" t="str">
        <x:f>IF(OR(I314="Mastered",K314=""),"",K314+IF(J314&gt;=5,30,IF(J314=4,14,IF(J314=3,7,IF(J314=2,3,1)))))</x:f>
      </x:c>
      <x:c r="M314" s="171" t="str"/>
      <x:c r="N314" s="171" t="str"/>
      <x:c r="O314" s="171" t="str">
        <x:v>Draft — verify in context</x:v>
      </x:c>
      <x:c r="P314" s="167" t="str">
        <x:v>https://www.oxfordlearnersdictionaries.com/wordlists/oxford3000-5000</x:v>
      </x:c>
    </x:row>
    <x:row r="315" ht="26" customHeight="1">
      <x:c r="A315" s="167" t="n">
        <x:v>314</x:v>
      </x:c>
      <x:c r="B315" s="167" t="str">
        <x:v>crystal</x:v>
      </x:c>
      <x:c r="C315" s="167" t="str">
        <x:v>n.</x:v>
      </x:c>
      <x:c r="D315" s="170" t="str">
        <x:v>кристал</x:v>
      </x:c>
      <x:c r="E315" s="167" t="str">
        <x:v>No</x:v>
      </x:c>
      <x:c r="F315" s="167"/>
      <x:c r="G315" s="167" t="str">
        <x:v>Core</x:v>
      </x:c>
      <x:c r="H315" s="167" t="str">
        <x:v>General</x:v>
      </x:c>
      <x:c r="I315" s="167" t="str">
        <x:v>Not Started</x:v>
      </x:c>
      <x:c r="J315" s="167" t="n">
        <x:v>0</x:v>
      </x:c>
      <x:c r="K315" s="168"/>
      <x:c r="L315" s="168" t="str">
        <x:f>IF(OR(I315="Mastered",K315=""),"",K315+IF(J315&gt;=5,30,IF(J315=4,14,IF(J315=3,7,IF(J315=2,3,1)))))</x:f>
      </x:c>
      <x:c r="M315" s="171" t="str"/>
      <x:c r="N315" s="171" t="str"/>
      <x:c r="O315" s="171" t="str">
        <x:v>Draft — verify in context</x:v>
      </x:c>
      <x:c r="P315" s="167" t="str">
        <x:v>https://www.oxfordlearnersdictionaries.com/wordlists/oxford3000-5000</x:v>
      </x:c>
    </x:row>
    <x:row r="316" ht="26" customHeight="1">
      <x:c r="A316" s="167" t="n">
        <x:v>315</x:v>
      </x:c>
      <x:c r="B316" s="167" t="str">
        <x:v>cult</x:v>
      </x:c>
      <x:c r="C316" s="167" t="str">
        <x:v>n., adj.</x:v>
      </x:c>
      <x:c r="D316" s="170" t="str">
        <x:v>культ</x:v>
      </x:c>
      <x:c r="E316" s="167" t="str">
        <x:v>No</x:v>
      </x:c>
      <x:c r="F316" s="167"/>
      <x:c r="G316" s="167" t="str">
        <x:v>Core</x:v>
      </x:c>
      <x:c r="H316" s="167" t="str">
        <x:v>General</x:v>
      </x:c>
      <x:c r="I316" s="167" t="str">
        <x:v>Not Started</x:v>
      </x:c>
      <x:c r="J316" s="167" t="n">
        <x:v>0</x:v>
      </x:c>
      <x:c r="K316" s="168"/>
      <x:c r="L316" s="168" t="str">
        <x:f>IF(OR(I316="Mastered",K316=""),"",K316+IF(J316&gt;=5,30,IF(J316=4,14,IF(J316=3,7,IF(J316=2,3,1)))))</x:f>
      </x:c>
      <x:c r="M316" s="171" t="str"/>
      <x:c r="N316" s="171" t="str"/>
      <x:c r="O316" s="171" t="str">
        <x:v>Draft — verify in context</x:v>
      </x:c>
      <x:c r="P316" s="167" t="str">
        <x:v>https://www.oxfordlearnersdictionaries.com/wordlists/oxford3000-5000</x:v>
      </x:c>
    </x:row>
    <x:row r="317" ht="26" customHeight="1">
      <x:c r="A317" s="167" t="n">
        <x:v>316</x:v>
      </x:c>
      <x:c r="B317" s="167" t="str">
        <x:v>cultivate</x:v>
      </x:c>
      <x:c r="C317" s="167" t="str">
        <x:v>v.</x:v>
      </x:c>
      <x:c r="D317" s="170" t="str">
        <x:v>вирощувати</x:v>
      </x:c>
      <x:c r="E317" s="167" t="str">
        <x:v>No</x:v>
      </x:c>
      <x:c r="F317" s="167"/>
      <x:c r="G317" s="167" t="str">
        <x:v>Core</x:v>
      </x:c>
      <x:c r="H317" s="167" t="str">
        <x:v>General</x:v>
      </x:c>
      <x:c r="I317" s="167" t="str">
        <x:v>Not Started</x:v>
      </x:c>
      <x:c r="J317" s="167" t="n">
        <x:v>0</x:v>
      </x:c>
      <x:c r="K317" s="168"/>
      <x:c r="L317" s="168" t="str">
        <x:f>IF(OR(I317="Mastered",K317=""),"",K317+IF(J317&gt;=5,30,IF(J317=4,14,IF(J317=3,7,IF(J317=2,3,1)))))</x:f>
      </x:c>
      <x:c r="M317" s="171" t="str"/>
      <x:c r="N317" s="171" t="str"/>
      <x:c r="O317" s="171" t="str">
        <x:v>Draft — verify in context</x:v>
      </x:c>
      <x:c r="P317" s="167" t="str">
        <x:v>https://www.oxfordlearnersdictionaries.com/wordlists/oxford3000-5000</x:v>
      </x:c>
    </x:row>
    <x:row r="318" ht="26" customHeight="1">
      <x:c r="A318" s="167" t="n">
        <x:v>317</x:v>
      </x:c>
      <x:c r="B318" s="167" t="str">
        <x:v>curiosity</x:v>
      </x:c>
      <x:c r="C318" s="167" t="str">
        <x:v>n.</x:v>
      </x:c>
      <x:c r="D318" s="170" t="str">
        <x:v>допитливість</x:v>
      </x:c>
      <x:c r="E318" s="167" t="str">
        <x:v>No</x:v>
      </x:c>
      <x:c r="F318" s="167"/>
      <x:c r="G318" s="167" t="str">
        <x:v>Core</x:v>
      </x:c>
      <x:c r="H318" s="167" t="str">
        <x:v>General</x:v>
      </x:c>
      <x:c r="I318" s="167" t="str">
        <x:v>Not Started</x:v>
      </x:c>
      <x:c r="J318" s="167" t="n">
        <x:v>0</x:v>
      </x:c>
      <x:c r="K318" s="168"/>
      <x:c r="L318" s="168" t="str">
        <x:f>IF(OR(I318="Mastered",K318=""),"",K318+IF(J318&gt;=5,30,IF(J318=4,14,IF(J318=3,7,IF(J318=2,3,1)))))</x:f>
      </x:c>
      <x:c r="M318" s="171" t="str"/>
      <x:c r="N318" s="171" t="str"/>
      <x:c r="O318" s="171" t="str">
        <x:v>Draft — verify in context</x:v>
      </x:c>
      <x:c r="P318" s="167" t="str">
        <x:v>https://www.oxfordlearnersdictionaries.com/wordlists/oxford3000-5000</x:v>
      </x:c>
    </x:row>
    <x:row r="319" ht="26" customHeight="1">
      <x:c r="A319" s="167" t="n">
        <x:v>318</x:v>
      </x:c>
      <x:c r="B319" s="167" t="str">
        <x:v>custody</x:v>
      </x:c>
      <x:c r="C319" s="167" t="str">
        <x:v>n.</x:v>
      </x:c>
      <x:c r="D319" s="170" t="str">
        <x:v>опіка</x:v>
      </x:c>
      <x:c r="E319" s="167" t="str">
        <x:v>No</x:v>
      </x:c>
      <x:c r="F319" s="167"/>
      <x:c r="G319" s="167" t="str">
        <x:v>Core</x:v>
      </x:c>
      <x:c r="H319" s="167" t="str">
        <x:v>General</x:v>
      </x:c>
      <x:c r="I319" s="167" t="str">
        <x:v>Not Started</x:v>
      </x:c>
      <x:c r="J319" s="167" t="n">
        <x:v>0</x:v>
      </x:c>
      <x:c r="K319" s="168"/>
      <x:c r="L319" s="168" t="str">
        <x:f>IF(OR(I319="Mastered",K319=""),"",K319+IF(J319&gt;=5,30,IF(J319=4,14,IF(J319=3,7,IF(J319=2,3,1)))))</x:f>
      </x:c>
      <x:c r="M319" s="171" t="str"/>
      <x:c r="N319" s="171" t="str"/>
      <x:c r="O319" s="171" t="str">
        <x:v>Draft — verify in context</x:v>
      </x:c>
      <x:c r="P319" s="167" t="str">
        <x:v>https://www.oxfordlearnersdictionaries.com/wordlists/oxford3000-5000</x:v>
      </x:c>
    </x:row>
    <x:row r="320" ht="26" customHeight="1">
      <x:c r="A320" s="167" t="n">
        <x:v>319</x:v>
      </x:c>
      <x:c r="B320" s="167" t="str">
        <x:v>cutting</x:v>
      </x:c>
      <x:c r="C320" s="167" t="str">
        <x:v>n.</x:v>
      </x:c>
      <x:c r="D320" s="170" t="str">
        <x:v>різання</x:v>
      </x:c>
      <x:c r="E320" s="167" t="str">
        <x:v>No</x:v>
      </x:c>
      <x:c r="F320" s="167"/>
      <x:c r="G320" s="167" t="str">
        <x:v>Core</x:v>
      </x:c>
      <x:c r="H320" s="167" t="str">
        <x:v>General</x:v>
      </x:c>
      <x:c r="I320" s="167" t="str">
        <x:v>Not Started</x:v>
      </x:c>
      <x:c r="J320" s="167" t="n">
        <x:v>0</x:v>
      </x:c>
      <x:c r="K320" s="168"/>
      <x:c r="L320" s="168" t="str">
        <x:f>IF(OR(I320="Mastered",K320=""),"",K320+IF(J320&gt;=5,30,IF(J320=4,14,IF(J320=3,7,IF(J320=2,3,1)))))</x:f>
      </x:c>
      <x:c r="M320" s="171" t="str"/>
      <x:c r="N320" s="171" t="str"/>
      <x:c r="O320" s="171" t="str">
        <x:v>Draft — verify in context</x:v>
      </x:c>
      <x:c r="P320" s="167" t="str">
        <x:v>https://www.oxfordlearnersdictionaries.com/wordlists/oxford3000-5000</x:v>
      </x:c>
    </x:row>
    <x:row r="321" ht="26" customHeight="1">
      <x:c r="A321" s="167" t="n">
        <x:v>320</x:v>
      </x:c>
      <x:c r="B321" s="167" t="str">
        <x:v>cynical</x:v>
      </x:c>
      <x:c r="C321" s="167" t="str">
        <x:v>adj.</x:v>
      </x:c>
      <x:c r="D321" s="170" t="str">
        <x:v>цинічний</x:v>
      </x:c>
      <x:c r="E321" s="167" t="str">
        <x:v>No</x:v>
      </x:c>
      <x:c r="F321" s="167"/>
      <x:c r="G321" s="167" t="str">
        <x:v>Core</x:v>
      </x:c>
      <x:c r="H321" s="167" t="str">
        <x:v>General</x:v>
      </x:c>
      <x:c r="I321" s="167" t="str">
        <x:v>Not Started</x:v>
      </x:c>
      <x:c r="J321" s="167" t="n">
        <x:v>0</x:v>
      </x:c>
      <x:c r="K321" s="168"/>
      <x:c r="L321" s="168" t="str">
        <x:f>IF(OR(I321="Mastered",K321=""),"",K321+IF(J321&gt;=5,30,IF(J321=4,14,IF(J321=3,7,IF(J321=2,3,1)))))</x:f>
      </x:c>
      <x:c r="M321" s="171" t="str"/>
      <x:c r="N321" s="171" t="str"/>
      <x:c r="O321" s="171" t="str">
        <x:v>Draft — verify in context</x:v>
      </x:c>
      <x:c r="P321" s="167" t="str">
        <x:v>https://www.oxfordlearnersdictionaries.com/wordlists/oxford3000-5000</x:v>
      </x:c>
    </x:row>
    <x:row r="322" ht="26" customHeight="1">
      <x:c r="A322" s="167" t="n">
        <x:v>321</x:v>
      </x:c>
      <x:c r="B322" s="167" t="str">
        <x:v>dam</x:v>
      </x:c>
      <x:c r="C322" s="167" t="str">
        <x:v>n.</x:v>
      </x:c>
      <x:c r="D322" s="170" t="str">
        <x:v>дамба</x:v>
      </x:c>
      <x:c r="E322" s="167" t="str">
        <x:v>No</x:v>
      </x:c>
      <x:c r="F322" s="167"/>
      <x:c r="G322" s="167" t="str">
        <x:v>Core</x:v>
      </x:c>
      <x:c r="H322" s="167" t="str">
        <x:v>General</x:v>
      </x:c>
      <x:c r="I322" s="167" t="str">
        <x:v>Not Started</x:v>
      </x:c>
      <x:c r="J322" s="167" t="n">
        <x:v>0</x:v>
      </x:c>
      <x:c r="K322" s="168"/>
      <x:c r="L322" s="168" t="str">
        <x:f>IF(OR(I322="Mastered",K322=""),"",K322+IF(J322&gt;=5,30,IF(J322=4,14,IF(J322=3,7,IF(J322=2,3,1)))))</x:f>
      </x:c>
      <x:c r="M322" s="171" t="str"/>
      <x:c r="N322" s="171" t="str"/>
      <x:c r="O322" s="171" t="str">
        <x:v>Draft — verify in context</x:v>
      </x:c>
      <x:c r="P322" s="167" t="str">
        <x:v>https://www.oxfordlearnersdictionaries.com/wordlists/oxford3000-5000</x:v>
      </x:c>
    </x:row>
    <x:row r="323" ht="26" customHeight="1">
      <x:c r="A323" s="167" t="n">
        <x:v>322</x:v>
      </x:c>
      <x:c r="B323" s="167" t="str">
        <x:v>damaging</x:v>
      </x:c>
      <x:c r="C323" s="167" t="str">
        <x:v>adj.</x:v>
      </x:c>
      <x:c r="D323" s="170" t="str">
        <x:v>шкідливий</x:v>
      </x:c>
      <x:c r="E323" s="167" t="str">
        <x:v>No</x:v>
      </x:c>
      <x:c r="F323" s="167"/>
      <x:c r="G323" s="167" t="str">
        <x:v>Core</x:v>
      </x:c>
      <x:c r="H323" s="167" t="str">
        <x:v>General</x:v>
      </x:c>
      <x:c r="I323" s="167" t="str">
        <x:v>Not Started</x:v>
      </x:c>
      <x:c r="J323" s="167" t="n">
        <x:v>0</x:v>
      </x:c>
      <x:c r="K323" s="168"/>
      <x:c r="L323" s="168" t="str">
        <x:f>IF(OR(I323="Mastered",K323=""),"",K323+IF(J323&gt;=5,30,IF(J323=4,14,IF(J323=3,7,IF(J323=2,3,1)))))</x:f>
      </x:c>
      <x:c r="M323" s="171" t="str"/>
      <x:c r="N323" s="171" t="str"/>
      <x:c r="O323" s="171" t="str">
        <x:v>Draft — verify in context</x:v>
      </x:c>
      <x:c r="P323" s="167" t="str">
        <x:v>https://www.oxfordlearnersdictionaries.com/wordlists/oxford3000-5000</x:v>
      </x:c>
    </x:row>
    <x:row r="324" ht="26" customHeight="1">
      <x:c r="A324" s="167" t="n">
        <x:v>323</x:v>
      </x:c>
      <x:c r="B324" s="167" t="str">
        <x:v>dawn</x:v>
      </x:c>
      <x:c r="C324" s="167" t="str">
        <x:v>n.</x:v>
      </x:c>
      <x:c r="D324" s="170" t="str">
        <x:v>світанок</x:v>
      </x:c>
      <x:c r="E324" s="167" t="str">
        <x:v>No</x:v>
      </x:c>
      <x:c r="F324" s="167"/>
      <x:c r="G324" s="167" t="str">
        <x:v>Core</x:v>
      </x:c>
      <x:c r="H324" s="167" t="str">
        <x:v>General</x:v>
      </x:c>
      <x:c r="I324" s="167" t="str">
        <x:v>Not Started</x:v>
      </x:c>
      <x:c r="J324" s="167" t="n">
        <x:v>0</x:v>
      </x:c>
      <x:c r="K324" s="168"/>
      <x:c r="L324" s="168" t="str">
        <x:f>IF(OR(I324="Mastered",K324=""),"",K324+IF(J324&gt;=5,30,IF(J324=4,14,IF(J324=3,7,IF(J324=2,3,1)))))</x:f>
      </x:c>
      <x:c r="M324" s="171" t="str"/>
      <x:c r="N324" s="171" t="str"/>
      <x:c r="O324" s="171" t="str">
        <x:v>Draft — verify in context</x:v>
      </x:c>
      <x:c r="P324" s="167" t="str">
        <x:v>https://www.oxfordlearnersdictionaries.com/wordlists/oxford3000-5000</x:v>
      </x:c>
    </x:row>
    <x:row r="325" ht="26" customHeight="1">
      <x:c r="A325" s="167" t="n">
        <x:v>324</x:v>
      </x:c>
      <x:c r="B325" s="167" t="str">
        <x:v>debris</x:v>
      </x:c>
      <x:c r="C325" s="167" t="str">
        <x:v>n.</x:v>
      </x:c>
      <x:c r="D325" s="170" t="str">
        <x:v>сміття</x:v>
      </x:c>
      <x:c r="E325" s="167" t="str">
        <x:v>No</x:v>
      </x:c>
      <x:c r="F325" s="167"/>
      <x:c r="G325" s="167" t="str">
        <x:v>Core</x:v>
      </x:c>
      <x:c r="H325" s="167" t="str">
        <x:v>General</x:v>
      </x:c>
      <x:c r="I325" s="167" t="str">
        <x:v>Not Started</x:v>
      </x:c>
      <x:c r="J325" s="167" t="n">
        <x:v>0</x:v>
      </x:c>
      <x:c r="K325" s="168"/>
      <x:c r="L325" s="168" t="str">
        <x:f>IF(OR(I325="Mastered",K325=""),"",K325+IF(J325&gt;=5,30,IF(J325=4,14,IF(J325=3,7,IF(J325=2,3,1)))))</x:f>
      </x:c>
      <x:c r="M325" s="171" t="str"/>
      <x:c r="N325" s="171" t="str"/>
      <x:c r="O325" s="171" t="str">
        <x:v>Draft — verify in context</x:v>
      </x:c>
      <x:c r="P325" s="167" t="str">
        <x:v>https://www.oxfordlearnersdictionaries.com/wordlists/oxford3000-5000</x:v>
      </x:c>
    </x:row>
    <x:row r="326" ht="26" customHeight="1">
      <x:c r="A326" s="167" t="n">
        <x:v>325</x:v>
      </x:c>
      <x:c r="B326" s="167" t="str">
        <x:v>debut</x:v>
      </x:c>
      <x:c r="C326" s="167" t="str">
        <x:v>n.</x:v>
      </x:c>
      <x:c r="D326" s="170" t="str">
        <x:v>дебют</x:v>
      </x:c>
      <x:c r="E326" s="167" t="str">
        <x:v>No</x:v>
      </x:c>
      <x:c r="F326" s="167"/>
      <x:c r="G326" s="167" t="str">
        <x:v>Core</x:v>
      </x:c>
      <x:c r="H326" s="167" t="str">
        <x:v>General</x:v>
      </x:c>
      <x:c r="I326" s="167" t="str">
        <x:v>Not Started</x:v>
      </x:c>
      <x:c r="J326" s="167" t="n">
        <x:v>0</x:v>
      </x:c>
      <x:c r="K326" s="168"/>
      <x:c r="L326" s="168" t="str">
        <x:f>IF(OR(I326="Mastered",K326=""),"",K326+IF(J326&gt;=5,30,IF(J326=4,14,IF(J326=3,7,IF(J326=2,3,1)))))</x:f>
      </x:c>
      <x:c r="M326" s="171" t="str"/>
      <x:c r="N326" s="171" t="str"/>
      <x:c r="O326" s="171" t="str">
        <x:v>Draft — verify in context</x:v>
      </x:c>
      <x:c r="P326" s="167" t="str">
        <x:v>https://www.oxfordlearnersdictionaries.com/wordlists/oxford3000-5000</x:v>
      </x:c>
    </x:row>
    <x:row r="327" ht="26" customHeight="1">
      <x:c r="A327" s="167" t="n">
        <x:v>326</x:v>
      </x:c>
      <x:c r="B327" s="167" t="str">
        <x:v>decision-making</x:v>
      </x:c>
      <x:c r="C327" s="167" t="str">
        <x:v>n.</x:v>
      </x:c>
      <x:c r="D327" s="170" t="str">
        <x:v>прийняття рішень</x:v>
      </x:c>
      <x:c r="E327" s="167" t="str">
        <x:v>No</x:v>
      </x:c>
      <x:c r="F327" s="167"/>
      <x:c r="G327" s="167" t="str">
        <x:v>Core</x:v>
      </x:c>
      <x:c r="H327" s="167" t="str">
        <x:v>General</x:v>
      </x:c>
      <x:c r="I327" s="167" t="str">
        <x:v>Not Started</x:v>
      </x:c>
      <x:c r="J327" s="167" t="n">
        <x:v>0</x:v>
      </x:c>
      <x:c r="K327" s="168"/>
      <x:c r="L327" s="168" t="str">
        <x:f>IF(OR(I327="Mastered",K327=""),"",K327+IF(J327&gt;=5,30,IF(J327=4,14,IF(J327=3,7,IF(J327=2,3,1)))))</x:f>
      </x:c>
      <x:c r="M327" s="171" t="str"/>
      <x:c r="N327" s="171" t="str"/>
      <x:c r="O327" s="171" t="str">
        <x:v>Draft — verify in context</x:v>
      </x:c>
      <x:c r="P327" s="167" t="str">
        <x:v>https://www.oxfordlearnersdictionaries.com/wordlists/oxford3000-5000</x:v>
      </x:c>
    </x:row>
    <x:row r="328" ht="26" customHeight="1">
      <x:c r="A328" s="167" t="n">
        <x:v>327</x:v>
      </x:c>
      <x:c r="B328" s="167" t="str">
        <x:v>decisive</x:v>
      </x:c>
      <x:c r="C328" s="167" t="str">
        <x:v>adj.</x:v>
      </x:c>
      <x:c r="D328" s="170" t="str">
        <x:v>вирішальний</x:v>
      </x:c>
      <x:c r="E328" s="167" t="str">
        <x:v>No</x:v>
      </x:c>
      <x:c r="F328" s="167"/>
      <x:c r="G328" s="167" t="str">
        <x:v>Core</x:v>
      </x:c>
      <x:c r="H328" s="167" t="str">
        <x:v>General</x:v>
      </x:c>
      <x:c r="I328" s="167" t="str">
        <x:v>Not Started</x:v>
      </x:c>
      <x:c r="J328" s="167" t="n">
        <x:v>0</x:v>
      </x:c>
      <x:c r="K328" s="168"/>
      <x:c r="L328" s="168" t="str">
        <x:f>IF(OR(I328="Mastered",K328=""),"",K328+IF(J328&gt;=5,30,IF(J328=4,14,IF(J328=3,7,IF(J328=2,3,1)))))</x:f>
      </x:c>
      <x:c r="M328" s="171" t="str"/>
      <x:c r="N328" s="171" t="str"/>
      <x:c r="O328" s="171" t="str">
        <x:v>Draft — verify in context</x:v>
      </x:c>
      <x:c r="P328" s="167" t="str">
        <x:v>https://www.oxfordlearnersdictionaries.com/wordlists/oxford3000-5000</x:v>
      </x:c>
    </x:row>
    <x:row r="329" ht="26" customHeight="1">
      <x:c r="A329" s="167" t="n">
        <x:v>328</x:v>
      </x:c>
      <x:c r="B329" s="167" t="str">
        <x:v>declaration</x:v>
      </x:c>
      <x:c r="C329" s="167" t="str">
        <x:v>n.</x:v>
      </x:c>
      <x:c r="D329" s="170" t="str">
        <x:v>декларація</x:v>
      </x:c>
      <x:c r="E329" s="167" t="str">
        <x:v>No</x:v>
      </x:c>
      <x:c r="F329" s="167"/>
      <x:c r="G329" s="167" t="str">
        <x:v>Core</x:v>
      </x:c>
      <x:c r="H329" s="167" t="str">
        <x:v>General</x:v>
      </x:c>
      <x:c r="I329" s="167" t="str">
        <x:v>Not Started</x:v>
      </x:c>
      <x:c r="J329" s="167" t="n">
        <x:v>0</x:v>
      </x:c>
      <x:c r="K329" s="168"/>
      <x:c r="L329" s="168" t="str">
        <x:f>IF(OR(I329="Mastered",K329=""),"",K329+IF(J329&gt;=5,30,IF(J329=4,14,IF(J329=3,7,IF(J329=2,3,1)))))</x:f>
      </x:c>
      <x:c r="M329" s="171" t="str"/>
      <x:c r="N329" s="171" t="str"/>
      <x:c r="O329" s="171" t="str">
        <x:v>Draft — verify in context</x:v>
      </x:c>
      <x:c r="P329" s="167" t="str">
        <x:v>https://www.oxfordlearnersdictionaries.com/wordlists/oxford3000-5000</x:v>
      </x:c>
    </x:row>
    <x:row r="330" ht="26" customHeight="1">
      <x:c r="A330" s="167" t="n">
        <x:v>329</x:v>
      </x:c>
      <x:c r="B330" s="167" t="str">
        <x:v>dedicated</x:v>
      </x:c>
      <x:c r="C330" s="167" t="str">
        <x:v>adj.</x:v>
      </x:c>
      <x:c r="D330" s="170" t="str">
        <x:v>присвячений</x:v>
      </x:c>
      <x:c r="E330" s="167" t="str">
        <x:v>No</x:v>
      </x:c>
      <x:c r="F330" s="167"/>
      <x:c r="G330" s="167" t="str">
        <x:v>Core</x:v>
      </x:c>
      <x:c r="H330" s="167" t="str">
        <x:v>General</x:v>
      </x:c>
      <x:c r="I330" s="167" t="str">
        <x:v>Not Started</x:v>
      </x:c>
      <x:c r="J330" s="167" t="n">
        <x:v>0</x:v>
      </x:c>
      <x:c r="K330" s="168"/>
      <x:c r="L330" s="168" t="str">
        <x:f>IF(OR(I330="Mastered",K330=""),"",K330+IF(J330&gt;=5,30,IF(J330=4,14,IF(J330=3,7,IF(J330=2,3,1)))))</x:f>
      </x:c>
      <x:c r="M330" s="171" t="str"/>
      <x:c r="N330" s="171" t="str"/>
      <x:c r="O330" s="171" t="str">
        <x:v>Draft — verify in context</x:v>
      </x:c>
      <x:c r="P330" s="167" t="str">
        <x:v>https://www.oxfordlearnersdictionaries.com/wordlists/oxford3000-5000</x:v>
      </x:c>
    </x:row>
    <x:row r="331" ht="26" customHeight="1">
      <x:c r="A331" s="167" t="n">
        <x:v>330</x:v>
      </x:c>
      <x:c r="B331" s="167" t="str">
        <x:v>dedication</x:v>
      </x:c>
      <x:c r="C331" s="167" t="str">
        <x:v>n.</x:v>
      </x:c>
      <x:c r="D331" s="170" t="str">
        <x:v>присвята</x:v>
      </x:c>
      <x:c r="E331" s="167" t="str">
        <x:v>No</x:v>
      </x:c>
      <x:c r="F331" s="167"/>
      <x:c r="G331" s="167" t="str">
        <x:v>Core</x:v>
      </x:c>
      <x:c r="H331" s="167" t="str">
        <x:v>General</x:v>
      </x:c>
      <x:c r="I331" s="167" t="str">
        <x:v>Not Started</x:v>
      </x:c>
      <x:c r="J331" s="167" t="n">
        <x:v>0</x:v>
      </x:c>
      <x:c r="K331" s="168"/>
      <x:c r="L331" s="168" t="str">
        <x:f>IF(OR(I331="Mastered",K331=""),"",K331+IF(J331&gt;=5,30,IF(J331=4,14,IF(J331=3,7,IF(J331=2,3,1)))))</x:f>
      </x:c>
      <x:c r="M331" s="171" t="str"/>
      <x:c r="N331" s="171" t="str"/>
      <x:c r="O331" s="171" t="str">
        <x:v>Draft — verify in context</x:v>
      </x:c>
      <x:c r="P331" s="167" t="str">
        <x:v>https://www.oxfordlearnersdictionaries.com/wordlists/oxford3000-5000</x:v>
      </x:c>
    </x:row>
    <x:row r="332" ht="26" customHeight="1">
      <x:c r="A332" s="167" t="n">
        <x:v>331</x:v>
      </x:c>
      <x:c r="B332" s="167" t="str">
        <x:v>deed</x:v>
      </x:c>
      <x:c r="C332" s="167" t="str">
        <x:v>n.</x:v>
      </x:c>
      <x:c r="D332" s="170" t="str">
        <x:v>справа</x:v>
      </x:c>
      <x:c r="E332" s="167" t="str">
        <x:v>No</x:v>
      </x:c>
      <x:c r="F332" s="167"/>
      <x:c r="G332" s="167" t="str">
        <x:v>Core</x:v>
      </x:c>
      <x:c r="H332" s="167" t="str">
        <x:v>General</x:v>
      </x:c>
      <x:c r="I332" s="167" t="str">
        <x:v>Not Started</x:v>
      </x:c>
      <x:c r="J332" s="167" t="n">
        <x:v>0</x:v>
      </x:c>
      <x:c r="K332" s="168"/>
      <x:c r="L332" s="168" t="str">
        <x:f>IF(OR(I332="Mastered",K332=""),"",K332+IF(J332&gt;=5,30,IF(J332=4,14,IF(J332=3,7,IF(J332=2,3,1)))))</x:f>
      </x:c>
      <x:c r="M332" s="171" t="str"/>
      <x:c r="N332" s="171" t="str"/>
      <x:c r="O332" s="171" t="str">
        <x:v>Draft — verify in context</x:v>
      </x:c>
      <x:c r="P332" s="167" t="str">
        <x:v>https://www.oxfordlearnersdictionaries.com/wordlists/oxford3000-5000</x:v>
      </x:c>
    </x:row>
    <x:row r="333" ht="26" customHeight="1">
      <x:c r="A333" s="167" t="n">
        <x:v>332</x:v>
      </x:c>
      <x:c r="B333" s="167" t="str">
        <x:v>deem</x:v>
      </x:c>
      <x:c r="C333" s="167" t="str">
        <x:v>v.</x:v>
      </x:c>
      <x:c r="D333" s="170" t="str">
        <x:v>вважати</x:v>
      </x:c>
      <x:c r="E333" s="167" t="str">
        <x:v>No</x:v>
      </x:c>
      <x:c r="F333" s="167"/>
      <x:c r="G333" s="167" t="str">
        <x:v>Core</x:v>
      </x:c>
      <x:c r="H333" s="167" t="str">
        <x:v>General</x:v>
      </x:c>
      <x:c r="I333" s="167" t="str">
        <x:v>Not Started</x:v>
      </x:c>
      <x:c r="J333" s="167" t="n">
        <x:v>0</x:v>
      </x:c>
      <x:c r="K333" s="168"/>
      <x:c r="L333" s="168" t="str">
        <x:f>IF(OR(I333="Mastered",K333=""),"",K333+IF(J333&gt;=5,30,IF(J333=4,14,IF(J333=3,7,IF(J333=2,3,1)))))</x:f>
      </x:c>
      <x:c r="M333" s="171" t="str"/>
      <x:c r="N333" s="171" t="str"/>
      <x:c r="O333" s="171" t="str">
        <x:v>Draft — verify in context</x:v>
      </x:c>
      <x:c r="P333" s="167" t="str">
        <x:v>https://www.oxfordlearnersdictionaries.com/wordlists/oxford3000-5000</x:v>
      </x:c>
    </x:row>
    <x:row r="334" ht="26" customHeight="1">
      <x:c r="A334" s="167" t="n">
        <x:v>333</x:v>
      </x:c>
      <x:c r="B334" s="167" t="str">
        <x:v>default</x:v>
      </x:c>
      <x:c r="C334" s="167" t="str">
        <x:v>n.</x:v>
      </x:c>
      <x:c r="D334" s="170" t="str">
        <x:v>замовчування</x:v>
      </x:c>
      <x:c r="E334" s="167" t="str">
        <x:v>No</x:v>
      </x:c>
      <x:c r="F334" s="167"/>
      <x:c r="G334" s="167" t="str">
        <x:v>Core</x:v>
      </x:c>
      <x:c r="H334" s="167" t="str">
        <x:v>General</x:v>
      </x:c>
      <x:c r="I334" s="167" t="str">
        <x:v>Not Started</x:v>
      </x:c>
      <x:c r="J334" s="167" t="n">
        <x:v>0</x:v>
      </x:c>
      <x:c r="K334" s="168"/>
      <x:c r="L334" s="168" t="str">
        <x:f>IF(OR(I334="Mastered",K334=""),"",K334+IF(J334&gt;=5,30,IF(J334=4,14,IF(J334=3,7,IF(J334=2,3,1)))))</x:f>
      </x:c>
      <x:c r="M334" s="171" t="str"/>
      <x:c r="N334" s="171" t="str"/>
      <x:c r="O334" s="171" t="str">
        <x:v>Draft — verify in context</x:v>
      </x:c>
      <x:c r="P334" s="167" t="str">
        <x:v>https://www.oxfordlearnersdictionaries.com/wordlists/oxford3000-5000</x:v>
      </x:c>
    </x:row>
    <x:row r="335" ht="26" customHeight="1">
      <x:c r="A335" s="167" t="n">
        <x:v>334</x:v>
      </x:c>
      <x:c r="B335" s="167" t="str">
        <x:v>defect</x:v>
      </x:c>
      <x:c r="C335" s="167" t="str">
        <x:v>n.</x:v>
      </x:c>
      <x:c r="D335" s="170" t="str">
        <x:v>дефект</x:v>
      </x:c>
      <x:c r="E335" s="167" t="str">
        <x:v>No</x:v>
      </x:c>
      <x:c r="F335" s="167"/>
      <x:c r="G335" s="167" t="str">
        <x:v>Core</x:v>
      </x:c>
      <x:c r="H335" s="167" t="str">
        <x:v>General</x:v>
      </x:c>
      <x:c r="I335" s="167" t="str">
        <x:v>Not Started</x:v>
      </x:c>
      <x:c r="J335" s="167" t="n">
        <x:v>0</x:v>
      </x:c>
      <x:c r="K335" s="168"/>
      <x:c r="L335" s="168" t="str">
        <x:f>IF(OR(I335="Mastered",K335=""),"",K335+IF(J335&gt;=5,30,IF(J335=4,14,IF(J335=3,7,IF(J335=2,3,1)))))</x:f>
      </x:c>
      <x:c r="M335" s="171" t="str"/>
      <x:c r="N335" s="171" t="str"/>
      <x:c r="O335" s="171" t="str">
        <x:v>Draft — verify in context</x:v>
      </x:c>
      <x:c r="P335" s="167" t="str">
        <x:v>https://www.oxfordlearnersdictionaries.com/wordlists/oxford3000-5000</x:v>
      </x:c>
    </x:row>
    <x:row r="336" ht="26" customHeight="1">
      <x:c r="A336" s="167" t="n">
        <x:v>335</x:v>
      </x:c>
      <x:c r="B336" s="167" t="str">
        <x:v>defensive</x:v>
      </x:c>
      <x:c r="C336" s="167" t="str">
        <x:v>adj.</x:v>
      </x:c>
      <x:c r="D336" s="170" t="str">
        <x:v>оборонний</x:v>
      </x:c>
      <x:c r="E336" s="167" t="str">
        <x:v>No</x:v>
      </x:c>
      <x:c r="F336" s="167"/>
      <x:c r="G336" s="167" t="str">
        <x:v>Core</x:v>
      </x:c>
      <x:c r="H336" s="167" t="str">
        <x:v>General</x:v>
      </x:c>
      <x:c r="I336" s="167" t="str">
        <x:v>Not Started</x:v>
      </x:c>
      <x:c r="J336" s="167" t="n">
        <x:v>0</x:v>
      </x:c>
      <x:c r="K336" s="168"/>
      <x:c r="L336" s="168" t="str">
        <x:f>IF(OR(I336="Mastered",K336=""),"",K336+IF(J336&gt;=5,30,IF(J336=4,14,IF(J336=3,7,IF(J336=2,3,1)))))</x:f>
      </x:c>
      <x:c r="M336" s="171" t="str"/>
      <x:c r="N336" s="171" t="str"/>
      <x:c r="O336" s="171" t="str">
        <x:v>Draft — verify in context</x:v>
      </x:c>
      <x:c r="P336" s="167" t="str">
        <x:v>https://www.oxfordlearnersdictionaries.com/wordlists/oxford3000-5000</x:v>
      </x:c>
    </x:row>
    <x:row r="337" ht="26" customHeight="1">
      <x:c r="A337" s="167" t="n">
        <x:v>336</x:v>
      </x:c>
      <x:c r="B337" s="167" t="str">
        <x:v>deficiency</x:v>
      </x:c>
      <x:c r="C337" s="167" t="str">
        <x:v>n.</x:v>
      </x:c>
      <x:c r="D337" s="170" t="str">
        <x:v>недолік</x:v>
      </x:c>
      <x:c r="E337" s="167" t="str">
        <x:v>No</x:v>
      </x:c>
      <x:c r="F337" s="167"/>
      <x:c r="G337" s="167" t="str">
        <x:v>Core</x:v>
      </x:c>
      <x:c r="H337" s="167" t="str">
        <x:v>General</x:v>
      </x:c>
      <x:c r="I337" s="167" t="str">
        <x:v>Not Started</x:v>
      </x:c>
      <x:c r="J337" s="167" t="n">
        <x:v>0</x:v>
      </x:c>
      <x:c r="K337" s="168"/>
      <x:c r="L337" s="168" t="str">
        <x:f>IF(OR(I337="Mastered",K337=""),"",K337+IF(J337&gt;=5,30,IF(J337=4,14,IF(J337=3,7,IF(J337=2,3,1)))))</x:f>
      </x:c>
      <x:c r="M337" s="171" t="str"/>
      <x:c r="N337" s="171" t="str"/>
      <x:c r="O337" s="171" t="str">
        <x:v>Draft — verify in context</x:v>
      </x:c>
      <x:c r="P337" s="167" t="str">
        <x:v>https://www.oxfordlearnersdictionaries.com/wordlists/oxford3000-5000</x:v>
      </x:c>
    </x:row>
    <x:row r="338" ht="26" customHeight="1">
      <x:c r="A338" s="167" t="n">
        <x:v>337</x:v>
      </x:c>
      <x:c r="B338" s="167" t="str">
        <x:v>deficit</x:v>
      </x:c>
      <x:c r="C338" s="167" t="str">
        <x:v>n.</x:v>
      </x:c>
      <x:c r="D338" s="170" t="str">
        <x:v>дефіцит</x:v>
      </x:c>
      <x:c r="E338" s="167" t="str">
        <x:v>No</x:v>
      </x:c>
      <x:c r="F338" s="167"/>
      <x:c r="G338" s="167" t="str">
        <x:v>Core</x:v>
      </x:c>
      <x:c r="H338" s="167" t="str">
        <x:v>General</x:v>
      </x:c>
      <x:c r="I338" s="167" t="str">
        <x:v>Not Started</x:v>
      </x:c>
      <x:c r="J338" s="167" t="n">
        <x:v>0</x:v>
      </x:c>
      <x:c r="K338" s="168"/>
      <x:c r="L338" s="168" t="str">
        <x:f>IF(OR(I338="Mastered",K338=""),"",K338+IF(J338&gt;=5,30,IF(J338=4,14,IF(J338=3,7,IF(J338=2,3,1)))))</x:f>
      </x:c>
      <x:c r="M338" s="171" t="str"/>
      <x:c r="N338" s="171" t="str"/>
      <x:c r="O338" s="171" t="str">
        <x:v>Draft — verify in context</x:v>
      </x:c>
      <x:c r="P338" s="167" t="str">
        <x:v>https://www.oxfordlearnersdictionaries.com/wordlists/oxford3000-5000</x:v>
      </x:c>
    </x:row>
    <x:row r="339" ht="26" customHeight="1">
      <x:c r="A339" s="167" t="n">
        <x:v>338</x:v>
      </x:c>
      <x:c r="B339" s="167" t="str">
        <x:v>defy</x:v>
      </x:c>
      <x:c r="C339" s="167" t="str">
        <x:v>v.</x:v>
      </x:c>
      <x:c r="D339" s="170" t="str">
        <x:v>кинути виклик</x:v>
      </x:c>
      <x:c r="E339" s="167" t="str">
        <x:v>No</x:v>
      </x:c>
      <x:c r="F339" s="167"/>
      <x:c r="G339" s="167" t="str">
        <x:v>Core</x:v>
      </x:c>
      <x:c r="H339" s="167" t="str">
        <x:v>General</x:v>
      </x:c>
      <x:c r="I339" s="167" t="str">
        <x:v>Not Started</x:v>
      </x:c>
      <x:c r="J339" s="167" t="n">
        <x:v>0</x:v>
      </x:c>
      <x:c r="K339" s="168"/>
      <x:c r="L339" s="168" t="str">
        <x:f>IF(OR(I339="Mastered",K339=""),"",K339+IF(J339&gt;=5,30,IF(J339=4,14,IF(J339=3,7,IF(J339=2,3,1)))))</x:f>
      </x:c>
      <x:c r="M339" s="171" t="str"/>
      <x:c r="N339" s="171" t="str"/>
      <x:c r="O339" s="171" t="str">
        <x:v>Draft — verify in context</x:v>
      </x:c>
      <x:c r="P339" s="167" t="str">
        <x:v>https://www.oxfordlearnersdictionaries.com/wordlists/oxford3000-5000</x:v>
      </x:c>
    </x:row>
    <x:row r="340" ht="26" customHeight="1">
      <x:c r="A340" s="167" t="n">
        <x:v>339</x:v>
      </x:c>
      <x:c r="B340" s="167" t="str">
        <x:v>delegate</x:v>
      </x:c>
      <x:c r="C340" s="167" t="str">
        <x:v>n.</x:v>
      </x:c>
      <x:c r="D340" s="170" t="str">
        <x:v>делегат</x:v>
      </x:c>
      <x:c r="E340" s="167" t="str">
        <x:v>No</x:v>
      </x:c>
      <x:c r="F340" s="167"/>
      <x:c r="G340" s="167" t="str">
        <x:v>Core</x:v>
      </x:c>
      <x:c r="H340" s="167" t="str">
        <x:v>General</x:v>
      </x:c>
      <x:c r="I340" s="167" t="str">
        <x:v>Not Started</x:v>
      </x:c>
      <x:c r="J340" s="167" t="n">
        <x:v>0</x:v>
      </x:c>
      <x:c r="K340" s="168"/>
      <x:c r="L340" s="168" t="str">
        <x:f>IF(OR(I340="Mastered",K340=""),"",K340+IF(J340&gt;=5,30,IF(J340=4,14,IF(J340=3,7,IF(J340=2,3,1)))))</x:f>
      </x:c>
      <x:c r="M340" s="171" t="str"/>
      <x:c r="N340" s="171" t="str"/>
      <x:c r="O340" s="171" t="str">
        <x:v>Draft — verify in context</x:v>
      </x:c>
      <x:c r="P340" s="167" t="str">
        <x:v>https://www.oxfordlearnersdictionaries.com/wordlists/oxford3000-5000</x:v>
      </x:c>
    </x:row>
    <x:row r="341" ht="26" customHeight="1">
      <x:c r="A341" s="167" t="n">
        <x:v>340</x:v>
      </x:c>
      <x:c r="B341" s="167" t="str">
        <x:v>delegation</x:v>
      </x:c>
      <x:c r="C341" s="167" t="str">
        <x:v>n.</x:v>
      </x:c>
      <x:c r="D341" s="170" t="str">
        <x:v>делегація</x:v>
      </x:c>
      <x:c r="E341" s="167" t="str">
        <x:v>No</x:v>
      </x:c>
      <x:c r="F341" s="167"/>
      <x:c r="G341" s="167" t="str">
        <x:v>Core</x:v>
      </x:c>
      <x:c r="H341" s="167" t="str">
        <x:v>General</x:v>
      </x:c>
      <x:c r="I341" s="167" t="str">
        <x:v>Not Started</x:v>
      </x:c>
      <x:c r="J341" s="167" t="n">
        <x:v>0</x:v>
      </x:c>
      <x:c r="K341" s="168"/>
      <x:c r="L341" s="168" t="str">
        <x:f>IF(OR(I341="Mastered",K341=""),"",K341+IF(J341&gt;=5,30,IF(J341=4,14,IF(J341=3,7,IF(J341=2,3,1)))))</x:f>
      </x:c>
      <x:c r="M341" s="171" t="str"/>
      <x:c r="N341" s="171" t="str"/>
      <x:c r="O341" s="171" t="str">
        <x:v>Draft — verify in context</x:v>
      </x:c>
      <x:c r="P341" s="167" t="str">
        <x:v>https://www.oxfordlearnersdictionaries.com/wordlists/oxford3000-5000</x:v>
      </x:c>
    </x:row>
    <x:row r="342" ht="26" customHeight="1">
      <x:c r="A342" s="167" t="n">
        <x:v>341</x:v>
      </x:c>
      <x:c r="B342" s="167" t="str">
        <x:v>delicate</x:v>
      </x:c>
      <x:c r="C342" s="167" t="str">
        <x:v>adj.</x:v>
      </x:c>
      <x:c r="D342" s="170" t="str">
        <x:v>делікатний</x:v>
      </x:c>
      <x:c r="E342" s="167" t="str">
        <x:v>No</x:v>
      </x:c>
      <x:c r="F342" s="167"/>
      <x:c r="G342" s="167" t="str">
        <x:v>Core</x:v>
      </x:c>
      <x:c r="H342" s="167" t="str">
        <x:v>General</x:v>
      </x:c>
      <x:c r="I342" s="167" t="str">
        <x:v>Not Started</x:v>
      </x:c>
      <x:c r="J342" s="167" t="n">
        <x:v>0</x:v>
      </x:c>
      <x:c r="K342" s="168"/>
      <x:c r="L342" s="168" t="str">
        <x:f>IF(OR(I342="Mastered",K342=""),"",K342+IF(J342&gt;=5,30,IF(J342=4,14,IF(J342=3,7,IF(J342=2,3,1)))))</x:f>
      </x:c>
      <x:c r="M342" s="171" t="str"/>
      <x:c r="N342" s="171" t="str"/>
      <x:c r="O342" s="171" t="str">
        <x:v>Draft — verify in context</x:v>
      </x:c>
      <x:c r="P342" s="167" t="str">
        <x:v>https://www.oxfordlearnersdictionaries.com/wordlists/oxford3000-5000</x:v>
      </x:c>
    </x:row>
    <x:row r="343" ht="26" customHeight="1">
      <x:c r="A343" s="167" t="n">
        <x:v>342</x:v>
      </x:c>
      <x:c r="B343" s="167" t="str">
        <x:v>demon</x:v>
      </x:c>
      <x:c r="C343" s="167" t="str">
        <x:v>n.</x:v>
      </x:c>
      <x:c r="D343" s="170" t="str">
        <x:v>демон</x:v>
      </x:c>
      <x:c r="E343" s="167" t="str">
        <x:v>No</x:v>
      </x:c>
      <x:c r="F343" s="167"/>
      <x:c r="G343" s="167" t="str">
        <x:v>Core</x:v>
      </x:c>
      <x:c r="H343" s="167" t="str">
        <x:v>General</x:v>
      </x:c>
      <x:c r="I343" s="167" t="str">
        <x:v>Not Started</x:v>
      </x:c>
      <x:c r="J343" s="167" t="n">
        <x:v>0</x:v>
      </x:c>
      <x:c r="K343" s="168"/>
      <x:c r="L343" s="168" t="str">
        <x:f>IF(OR(I343="Mastered",K343=""),"",K343+IF(J343&gt;=5,30,IF(J343=4,14,IF(J343=3,7,IF(J343=2,3,1)))))</x:f>
      </x:c>
      <x:c r="M343" s="171" t="str"/>
      <x:c r="N343" s="171" t="str"/>
      <x:c r="O343" s="171" t="str">
        <x:v>Draft — verify in context</x:v>
      </x:c>
      <x:c r="P343" s="167" t="str">
        <x:v>https://www.oxfordlearnersdictionaries.com/wordlists/oxford3000-5000</x:v>
      </x:c>
    </x:row>
    <x:row r="344" ht="26" customHeight="1">
      <x:c r="A344" s="167" t="n">
        <x:v>343</x:v>
      </x:c>
      <x:c r="B344" s="167" t="str">
        <x:v>denial</x:v>
      </x:c>
      <x:c r="C344" s="167" t="str">
        <x:v>n.</x:v>
      </x:c>
      <x:c r="D344" s="170" t="str">
        <x:v>заперечення</x:v>
      </x:c>
      <x:c r="E344" s="167" t="str">
        <x:v>No</x:v>
      </x:c>
      <x:c r="F344" s="167"/>
      <x:c r="G344" s="167" t="str">
        <x:v>Core</x:v>
      </x:c>
      <x:c r="H344" s="167" t="str">
        <x:v>General</x:v>
      </x:c>
      <x:c r="I344" s="167" t="str">
        <x:v>Not Started</x:v>
      </x:c>
      <x:c r="J344" s="167" t="n">
        <x:v>0</x:v>
      </x:c>
      <x:c r="K344" s="168"/>
      <x:c r="L344" s="168" t="str">
        <x:f>IF(OR(I344="Mastered",K344=""),"",K344+IF(J344&gt;=5,30,IF(J344=4,14,IF(J344=3,7,IF(J344=2,3,1)))))</x:f>
      </x:c>
      <x:c r="M344" s="171" t="str"/>
      <x:c r="N344" s="171" t="str"/>
      <x:c r="O344" s="171" t="str">
        <x:v>Draft — verify in context</x:v>
      </x:c>
      <x:c r="P344" s="167" t="str">
        <x:v>https://www.oxfordlearnersdictionaries.com/wordlists/oxford3000-5000</x:v>
      </x:c>
    </x:row>
    <x:row r="345" ht="26" customHeight="1">
      <x:c r="A345" s="167" t="n">
        <x:v>344</x:v>
      </x:c>
      <x:c r="B345" s="167" t="str">
        <x:v>denounce</x:v>
      </x:c>
      <x:c r="C345" s="167" t="str">
        <x:v>v.</x:v>
      </x:c>
      <x:c r="D345" s="170" t="str">
        <x:v>засуджувати</x:v>
      </x:c>
      <x:c r="E345" s="167" t="str">
        <x:v>No</x:v>
      </x:c>
      <x:c r="F345" s="167"/>
      <x:c r="G345" s="167" t="str">
        <x:v>Core</x:v>
      </x:c>
      <x:c r="H345" s="167" t="str">
        <x:v>General</x:v>
      </x:c>
      <x:c r="I345" s="167" t="str">
        <x:v>Not Started</x:v>
      </x:c>
      <x:c r="J345" s="167" t="n">
        <x:v>0</x:v>
      </x:c>
      <x:c r="K345" s="168"/>
      <x:c r="L345" s="168" t="str">
        <x:f>IF(OR(I345="Mastered",K345=""),"",K345+IF(J345&gt;=5,30,IF(J345=4,14,IF(J345=3,7,IF(J345=2,3,1)))))</x:f>
      </x:c>
      <x:c r="M345" s="171" t="str"/>
      <x:c r="N345" s="171" t="str"/>
      <x:c r="O345" s="171" t="str">
        <x:v>Draft — verify in context</x:v>
      </x:c>
      <x:c r="P345" s="167" t="str">
        <x:v>https://www.oxfordlearnersdictionaries.com/wordlists/oxford3000-5000</x:v>
      </x:c>
    </x:row>
    <x:row r="346" ht="26" customHeight="1">
      <x:c r="A346" s="167" t="n">
        <x:v>345</x:v>
      </x:c>
      <x:c r="B346" s="167" t="str">
        <x:v>dense</x:v>
      </x:c>
      <x:c r="C346" s="167" t="str">
        <x:v>adj.</x:v>
      </x:c>
      <x:c r="D346" s="170" t="str">
        <x:v>щільний</x:v>
      </x:c>
      <x:c r="E346" s="167" t="str">
        <x:v>No</x:v>
      </x:c>
      <x:c r="F346" s="167"/>
      <x:c r="G346" s="167" t="str">
        <x:v>Core</x:v>
      </x:c>
      <x:c r="H346" s="167" t="str">
        <x:v>General</x:v>
      </x:c>
      <x:c r="I346" s="167" t="str">
        <x:v>Not Started</x:v>
      </x:c>
      <x:c r="J346" s="167" t="n">
        <x:v>0</x:v>
      </x:c>
      <x:c r="K346" s="168"/>
      <x:c r="L346" s="168" t="str">
        <x:f>IF(OR(I346="Mastered",K346=""),"",K346+IF(J346&gt;=5,30,IF(J346=4,14,IF(J346=3,7,IF(J346=2,3,1)))))</x:f>
      </x:c>
      <x:c r="M346" s="171" t="str"/>
      <x:c r="N346" s="171" t="str"/>
      <x:c r="O346" s="171" t="str">
        <x:v>Draft — verify in context</x:v>
      </x:c>
      <x:c r="P346" s="167" t="str">
        <x:v>https://www.oxfordlearnersdictionaries.com/wordlists/oxford3000-5000</x:v>
      </x:c>
    </x:row>
    <x:row r="347" ht="26" customHeight="1">
      <x:c r="A347" s="167" t="n">
        <x:v>346</x:v>
      </x:c>
      <x:c r="B347" s="167" t="str">
        <x:v>density</x:v>
      </x:c>
      <x:c r="C347" s="167" t="str">
        <x:v>n.</x:v>
      </x:c>
      <x:c r="D347" s="170" t="str">
        <x:v>щільність</x:v>
      </x:c>
      <x:c r="E347" s="167" t="str">
        <x:v>No</x:v>
      </x:c>
      <x:c r="F347" s="167"/>
      <x:c r="G347" s="167" t="str">
        <x:v>Core</x:v>
      </x:c>
      <x:c r="H347" s="167" t="str">
        <x:v>General</x:v>
      </x:c>
      <x:c r="I347" s="167" t="str">
        <x:v>Not Started</x:v>
      </x:c>
      <x:c r="J347" s="167" t="n">
        <x:v>0</x:v>
      </x:c>
      <x:c r="K347" s="168"/>
      <x:c r="L347" s="168" t="str">
        <x:f>IF(OR(I347="Mastered",K347=""),"",K347+IF(J347&gt;=5,30,IF(J347=4,14,IF(J347=3,7,IF(J347=2,3,1)))))</x:f>
      </x:c>
      <x:c r="M347" s="171" t="str"/>
      <x:c r="N347" s="171" t="str"/>
      <x:c r="O347" s="171" t="str">
        <x:v>Draft — verify in context</x:v>
      </x:c>
      <x:c r="P347" s="167" t="str">
        <x:v>https://www.oxfordlearnersdictionaries.com/wordlists/oxford3000-5000</x:v>
      </x:c>
    </x:row>
    <x:row r="348" ht="26" customHeight="1">
      <x:c r="A348" s="167" t="n">
        <x:v>347</x:v>
      </x:c>
      <x:c r="B348" s="167" t="str">
        <x:v>dependence</x:v>
      </x:c>
      <x:c r="C348" s="167" t="str">
        <x:v>n.</x:v>
      </x:c>
      <x:c r="D348" s="170" t="str">
        <x:v>залежність</x:v>
      </x:c>
      <x:c r="E348" s="167" t="str">
        <x:v>No</x:v>
      </x:c>
      <x:c r="F348" s="167"/>
      <x:c r="G348" s="167" t="str">
        <x:v>Core</x:v>
      </x:c>
      <x:c r="H348" s="167" t="str">
        <x:v>General</x:v>
      </x:c>
      <x:c r="I348" s="167" t="str">
        <x:v>Not Started</x:v>
      </x:c>
      <x:c r="J348" s="167" t="n">
        <x:v>0</x:v>
      </x:c>
      <x:c r="K348" s="168"/>
      <x:c r="L348" s="168" t="str">
        <x:f>IF(OR(I348="Mastered",K348=""),"",K348+IF(J348&gt;=5,30,IF(J348=4,14,IF(J348=3,7,IF(J348=2,3,1)))))</x:f>
      </x:c>
      <x:c r="M348" s="171" t="str"/>
      <x:c r="N348" s="171" t="str"/>
      <x:c r="O348" s="171" t="str">
        <x:v>Draft — verify in context</x:v>
      </x:c>
      <x:c r="P348" s="167" t="str">
        <x:v>https://www.oxfordlearnersdictionaries.com/wordlists/oxford3000-5000</x:v>
      </x:c>
    </x:row>
    <x:row r="349" ht="26" customHeight="1">
      <x:c r="A349" s="167" t="n">
        <x:v>348</x:v>
      </x:c>
      <x:c r="B349" s="167" t="str">
        <x:v>depict</x:v>
      </x:c>
      <x:c r="C349" s="167" t="str">
        <x:v>v.</x:v>
      </x:c>
      <x:c r="D349" s="170" t="str">
        <x:v>зображувати</x:v>
      </x:c>
      <x:c r="E349" s="167" t="str">
        <x:v>No</x:v>
      </x:c>
      <x:c r="F349" s="167"/>
      <x:c r="G349" s="167" t="str">
        <x:v>Core</x:v>
      </x:c>
      <x:c r="H349" s="167" t="str">
        <x:v>General</x:v>
      </x:c>
      <x:c r="I349" s="167" t="str">
        <x:v>Not Started</x:v>
      </x:c>
      <x:c r="J349" s="167" t="n">
        <x:v>0</x:v>
      </x:c>
      <x:c r="K349" s="168"/>
      <x:c r="L349" s="168" t="str">
        <x:f>IF(OR(I349="Mastered",K349=""),"",K349+IF(J349&gt;=5,30,IF(J349=4,14,IF(J349=3,7,IF(J349=2,3,1)))))</x:f>
      </x:c>
      <x:c r="M349" s="171" t="str"/>
      <x:c r="N349" s="171" t="str"/>
      <x:c r="O349" s="171" t="str">
        <x:v>Draft — verify in context</x:v>
      </x:c>
      <x:c r="P349" s="167" t="str">
        <x:v>https://www.oxfordlearnersdictionaries.com/wordlists/oxford3000-5000</x:v>
      </x:c>
    </x:row>
    <x:row r="350" ht="26" customHeight="1">
      <x:c r="A350" s="167" t="n">
        <x:v>349</x:v>
      </x:c>
      <x:c r="B350" s="167" t="str">
        <x:v>deploy</x:v>
      </x:c>
      <x:c r="C350" s="167" t="str">
        <x:v>v.</x:v>
      </x:c>
      <x:c r="D350" s="170" t="str">
        <x:v>розгорнути</x:v>
      </x:c>
      <x:c r="E350" s="167" t="str">
        <x:v>No</x:v>
      </x:c>
      <x:c r="F350" s="167"/>
      <x:c r="G350" s="167" t="str">
        <x:v>High</x:v>
      </x:c>
      <x:c r="H350" s="167" t="str">
        <x:v>Technology</x:v>
      </x:c>
      <x:c r="I350" s="167" t="str">
        <x:v>Not Started</x:v>
      </x:c>
      <x:c r="J350" s="167" t="n">
        <x:v>0</x:v>
      </x:c>
      <x:c r="K350" s="168"/>
      <x:c r="L350" s="168" t="str">
        <x:f>IF(OR(I350="Mastered",K350=""),"",K350+IF(J350&gt;=5,30,IF(J350=4,14,IF(J350=3,7,IF(J350=2,3,1)))))</x:f>
      </x:c>
      <x:c r="M350" s="171" t="str"/>
      <x:c r="N350" s="171" t="str"/>
      <x:c r="O350" s="171" t="str">
        <x:v>Draft — verify in context</x:v>
      </x:c>
      <x:c r="P350" s="167" t="str">
        <x:v>https://www.oxfordlearnersdictionaries.com/wordlists/oxford3000-5000</x:v>
      </x:c>
    </x:row>
    <x:row r="351" ht="26" customHeight="1">
      <x:c r="A351" s="167" t="n">
        <x:v>350</x:v>
      </x:c>
      <x:c r="B351" s="167" t="str">
        <x:v>deployment</x:v>
      </x:c>
      <x:c r="C351" s="167" t="str">
        <x:v>n.</x:v>
      </x:c>
      <x:c r="D351" s="170" t="str">
        <x:v>розгортання</x:v>
      </x:c>
      <x:c r="E351" s="167" t="str">
        <x:v>No</x:v>
      </x:c>
      <x:c r="F351" s="167"/>
      <x:c r="G351" s="167" t="str">
        <x:v>High</x:v>
      </x:c>
      <x:c r="H351" s="167" t="str">
        <x:v>Technology</x:v>
      </x:c>
      <x:c r="I351" s="167" t="str">
        <x:v>Not Started</x:v>
      </x:c>
      <x:c r="J351" s="167" t="n">
        <x:v>0</x:v>
      </x:c>
      <x:c r="K351" s="168"/>
      <x:c r="L351" s="168" t="str">
        <x:f>IF(OR(I351="Mastered",K351=""),"",K351+IF(J351&gt;=5,30,IF(J351=4,14,IF(J351=3,7,IF(J351=2,3,1)))))</x:f>
      </x:c>
      <x:c r="M351" s="171" t="str"/>
      <x:c r="N351" s="171" t="str"/>
      <x:c r="O351" s="171" t="str">
        <x:v>Draft — verify in context</x:v>
      </x:c>
      <x:c r="P351" s="167" t="str">
        <x:v>https://www.oxfordlearnersdictionaries.com/wordlists/oxford3000-5000</x:v>
      </x:c>
    </x:row>
    <x:row r="352" ht="26" customHeight="1">
      <x:c r="A352" s="167" t="n">
        <x:v>351</x:v>
      </x:c>
      <x:c r="B352" s="167" t="str">
        <x:v>deposit</x:v>
      </x:c>
      <x:c r="C352" s="167" t="str">
        <x:v>v.</x:v>
      </x:c>
      <x:c r="D352" s="170" t="str">
        <x:v>депозит</x:v>
      </x:c>
      <x:c r="E352" s="167" t="str">
        <x:v>No</x:v>
      </x:c>
      <x:c r="F352" s="167"/>
      <x:c r="G352" s="167" t="str">
        <x:v>Core</x:v>
      </x:c>
      <x:c r="H352" s="167" t="str">
        <x:v>General</x:v>
      </x:c>
      <x:c r="I352" s="167" t="str">
        <x:v>Not Started</x:v>
      </x:c>
      <x:c r="J352" s="167" t="n">
        <x:v>0</x:v>
      </x:c>
      <x:c r="K352" s="168"/>
      <x:c r="L352" s="168" t="str">
        <x:f>IF(OR(I352="Mastered",K352=""),"",K352+IF(J352&gt;=5,30,IF(J352=4,14,IF(J352=3,7,IF(J352=2,3,1)))))</x:f>
      </x:c>
      <x:c r="M352" s="171" t="str"/>
      <x:c r="N352" s="171" t="str"/>
      <x:c r="O352" s="171" t="str">
        <x:v>Draft — verify in context</x:v>
      </x:c>
      <x:c r="P352" s="167" t="str">
        <x:v>https://www.oxfordlearnersdictionaries.com/wordlists/oxford3000-5000</x:v>
      </x:c>
    </x:row>
    <x:row r="353" ht="26" customHeight="1">
      <x:c r="A353" s="167" t="n">
        <x:v>352</x:v>
      </x:c>
      <x:c r="B353" s="167" t="str">
        <x:v>deprive</x:v>
      </x:c>
      <x:c r="C353" s="167" t="str">
        <x:v>v.</x:v>
      </x:c>
      <x:c r="D353" s="170" t="str">
        <x:v>позбавляти</x:v>
      </x:c>
      <x:c r="E353" s="167" t="str">
        <x:v>No</x:v>
      </x:c>
      <x:c r="F353" s="167"/>
      <x:c r="G353" s="167" t="str">
        <x:v>Core</x:v>
      </x:c>
      <x:c r="H353" s="167" t="str">
        <x:v>General</x:v>
      </x:c>
      <x:c r="I353" s="167" t="str">
        <x:v>Not Started</x:v>
      </x:c>
      <x:c r="J353" s="167" t="n">
        <x:v>0</x:v>
      </x:c>
      <x:c r="K353" s="168"/>
      <x:c r="L353" s="168" t="str">
        <x:f>IF(OR(I353="Mastered",K353=""),"",K353+IF(J353&gt;=5,30,IF(J353=4,14,IF(J353=3,7,IF(J353=2,3,1)))))</x:f>
      </x:c>
      <x:c r="M353" s="171" t="str"/>
      <x:c r="N353" s="171" t="str"/>
      <x:c r="O353" s="171" t="str">
        <x:v>Draft — verify in context</x:v>
      </x:c>
      <x:c r="P353" s="167" t="str">
        <x:v>https://www.oxfordlearnersdictionaries.com/wordlists/oxford3000-5000</x:v>
      </x:c>
    </x:row>
    <x:row r="354" ht="26" customHeight="1">
      <x:c r="A354" s="167" t="n">
        <x:v>353</x:v>
      </x:c>
      <x:c r="B354" s="167" t="str">
        <x:v>deputy</x:v>
      </x:c>
      <x:c r="C354" s="167" t="str">
        <x:v>n.</x:v>
      </x:c>
      <x:c r="D354" s="170" t="str">
        <x:v>заступник</x:v>
      </x:c>
      <x:c r="E354" s="167" t="str">
        <x:v>No</x:v>
      </x:c>
      <x:c r="F354" s="167"/>
      <x:c r="G354" s="167" t="str">
        <x:v>Core</x:v>
      </x:c>
      <x:c r="H354" s="167" t="str">
        <x:v>General</x:v>
      </x:c>
      <x:c r="I354" s="167" t="str">
        <x:v>Not Started</x:v>
      </x:c>
      <x:c r="J354" s="167" t="n">
        <x:v>0</x:v>
      </x:c>
      <x:c r="K354" s="168"/>
      <x:c r="L354" s="168" t="str">
        <x:f>IF(OR(I354="Mastered",K354=""),"",K354+IF(J354&gt;=5,30,IF(J354=4,14,IF(J354=3,7,IF(J354=2,3,1)))))</x:f>
      </x:c>
      <x:c r="M354" s="171" t="str"/>
      <x:c r="N354" s="171" t="str"/>
      <x:c r="O354" s="171" t="str">
        <x:v>Draft — verify in context</x:v>
      </x:c>
      <x:c r="P354" s="167" t="str">
        <x:v>https://www.oxfordlearnersdictionaries.com/wordlists/oxford3000-5000</x:v>
      </x:c>
    </x:row>
    <x:row r="355" ht="26" customHeight="1">
      <x:c r="A355" s="167" t="n">
        <x:v>354</x:v>
      </x:c>
      <x:c r="B355" s="167" t="str">
        <x:v>descend</x:v>
      </x:c>
      <x:c r="C355" s="167" t="str">
        <x:v>v.</x:v>
      </x:c>
      <x:c r="D355" s="170" t="str">
        <x:v>спускатися</x:v>
      </x:c>
      <x:c r="E355" s="167" t="str">
        <x:v>No</x:v>
      </x:c>
      <x:c r="F355" s="167"/>
      <x:c r="G355" s="167" t="str">
        <x:v>Core</x:v>
      </x:c>
      <x:c r="H355" s="167" t="str">
        <x:v>General</x:v>
      </x:c>
      <x:c r="I355" s="167" t="str">
        <x:v>Not Started</x:v>
      </x:c>
      <x:c r="J355" s="167" t="n">
        <x:v>0</x:v>
      </x:c>
      <x:c r="K355" s="168"/>
      <x:c r="L355" s="168" t="str">
        <x:f>IF(OR(I355="Mastered",K355=""),"",K355+IF(J355&gt;=5,30,IF(J355=4,14,IF(J355=3,7,IF(J355=2,3,1)))))</x:f>
      </x:c>
      <x:c r="M355" s="171" t="str"/>
      <x:c r="N355" s="171" t="str"/>
      <x:c r="O355" s="171" t="str">
        <x:v>Draft — verify in context</x:v>
      </x:c>
      <x:c r="P355" s="167" t="str">
        <x:v>https://www.oxfordlearnersdictionaries.com/wordlists/oxford3000-5000</x:v>
      </x:c>
    </x:row>
    <x:row r="356" ht="26" customHeight="1">
      <x:c r="A356" s="167" t="n">
        <x:v>355</x:v>
      </x:c>
      <x:c r="B356" s="167" t="str">
        <x:v>descent</x:v>
      </x:c>
      <x:c r="C356" s="167" t="str">
        <x:v>n.</x:v>
      </x:c>
      <x:c r="D356" s="170" t="str">
        <x:v>спуск</x:v>
      </x:c>
      <x:c r="E356" s="167" t="str">
        <x:v>No</x:v>
      </x:c>
      <x:c r="F356" s="167"/>
      <x:c r="G356" s="167" t="str">
        <x:v>Core</x:v>
      </x:c>
      <x:c r="H356" s="167" t="str">
        <x:v>General</x:v>
      </x:c>
      <x:c r="I356" s="167" t="str">
        <x:v>Not Started</x:v>
      </x:c>
      <x:c r="J356" s="167" t="n">
        <x:v>0</x:v>
      </x:c>
      <x:c r="K356" s="168"/>
      <x:c r="L356" s="168" t="str">
        <x:f>IF(OR(I356="Mastered",K356=""),"",K356+IF(J356&gt;=5,30,IF(J356=4,14,IF(J356=3,7,IF(J356=2,3,1)))))</x:f>
      </x:c>
      <x:c r="M356" s="171" t="str"/>
      <x:c r="N356" s="171" t="str"/>
      <x:c r="O356" s="171" t="str">
        <x:v>Draft — verify in context</x:v>
      </x:c>
      <x:c r="P356" s="167" t="str">
        <x:v>https://www.oxfordlearnersdictionaries.com/wordlists/oxford3000-5000</x:v>
      </x:c>
    </x:row>
    <x:row r="357" ht="26" customHeight="1">
      <x:c r="A357" s="167" t="n">
        <x:v>356</x:v>
      </x:c>
      <x:c r="B357" s="167" t="str">
        <x:v>designate</x:v>
      </x:c>
      <x:c r="C357" s="167" t="str">
        <x:v>v.</x:v>
      </x:c>
      <x:c r="D357" s="170" t="str">
        <x:v>позначити</x:v>
      </x:c>
      <x:c r="E357" s="167" t="str">
        <x:v>No</x:v>
      </x:c>
      <x:c r="F357" s="167"/>
      <x:c r="G357" s="167" t="str">
        <x:v>Core</x:v>
      </x:c>
      <x:c r="H357" s="167" t="str">
        <x:v>General</x:v>
      </x:c>
      <x:c r="I357" s="167" t="str">
        <x:v>Not Started</x:v>
      </x:c>
      <x:c r="J357" s="167" t="n">
        <x:v>0</x:v>
      </x:c>
      <x:c r="K357" s="168"/>
      <x:c r="L357" s="168" t="str">
        <x:f>IF(OR(I357="Mastered",K357=""),"",K357+IF(J357&gt;=5,30,IF(J357=4,14,IF(J357=3,7,IF(J357=2,3,1)))))</x:f>
      </x:c>
      <x:c r="M357" s="171" t="str"/>
      <x:c r="N357" s="171" t="str"/>
      <x:c r="O357" s="171" t="str">
        <x:v>Draft — verify in context</x:v>
      </x:c>
      <x:c r="P357" s="167" t="str">
        <x:v>https://www.oxfordlearnersdictionaries.com/wordlists/oxford3000-5000</x:v>
      </x:c>
    </x:row>
    <x:row r="358" ht="26" customHeight="1">
      <x:c r="A358" s="167" t="n">
        <x:v>357</x:v>
      </x:c>
      <x:c r="B358" s="167" t="str">
        <x:v>desirable</x:v>
      </x:c>
      <x:c r="C358" s="167" t="str">
        <x:v>adj.</x:v>
      </x:c>
      <x:c r="D358" s="170" t="str">
        <x:v>бажаний</x:v>
      </x:c>
      <x:c r="E358" s="167" t="str">
        <x:v>No</x:v>
      </x:c>
      <x:c r="F358" s="167"/>
      <x:c r="G358" s="167" t="str">
        <x:v>Core</x:v>
      </x:c>
      <x:c r="H358" s="167" t="str">
        <x:v>General</x:v>
      </x:c>
      <x:c r="I358" s="167" t="str">
        <x:v>Not Started</x:v>
      </x:c>
      <x:c r="J358" s="167" t="n">
        <x:v>0</x:v>
      </x:c>
      <x:c r="K358" s="168"/>
      <x:c r="L358" s="168" t="str">
        <x:f>IF(OR(I358="Mastered",K358=""),"",K358+IF(J358&gt;=5,30,IF(J358=4,14,IF(J358=3,7,IF(J358=2,3,1)))))</x:f>
      </x:c>
      <x:c r="M358" s="171" t="str"/>
      <x:c r="N358" s="171" t="str"/>
      <x:c r="O358" s="171" t="str">
        <x:v>Draft — verify in context</x:v>
      </x:c>
      <x:c r="P358" s="167" t="str">
        <x:v>https://www.oxfordlearnersdictionaries.com/wordlists/oxford3000-5000</x:v>
      </x:c>
    </x:row>
    <x:row r="359" ht="26" customHeight="1">
      <x:c r="A359" s="167" t="n">
        <x:v>358</x:v>
      </x:c>
      <x:c r="B359" s="167" t="str">
        <x:v>desktop</x:v>
      </x:c>
      <x:c r="C359" s="167" t="str">
        <x:v>n.</x:v>
      </x:c>
      <x:c r="D359" s="170" t="str">
        <x:v>робочий стіл</x:v>
      </x:c>
      <x:c r="E359" s="167" t="str">
        <x:v>No</x:v>
      </x:c>
      <x:c r="F359" s="167"/>
      <x:c r="G359" s="167" t="str">
        <x:v>High</x:v>
      </x:c>
      <x:c r="H359" s="167" t="str">
        <x:v>Technology</x:v>
      </x:c>
      <x:c r="I359" s="167" t="str">
        <x:v>Not Started</x:v>
      </x:c>
      <x:c r="J359" s="167" t="n">
        <x:v>0</x:v>
      </x:c>
      <x:c r="K359" s="168"/>
      <x:c r="L359" s="168" t="str">
        <x:f>IF(OR(I359="Mastered",K359=""),"",K359+IF(J359&gt;=5,30,IF(J359=4,14,IF(J359=3,7,IF(J359=2,3,1)))))</x:f>
      </x:c>
      <x:c r="M359" s="171" t="str"/>
      <x:c r="N359" s="171" t="str"/>
      <x:c r="O359" s="171" t="str">
        <x:v>Draft — verify in context</x:v>
      </x:c>
      <x:c r="P359" s="167" t="str">
        <x:v>https://www.oxfordlearnersdictionaries.com/wordlists/oxford3000-5000</x:v>
      </x:c>
    </x:row>
    <x:row r="360" ht="26" customHeight="1">
      <x:c r="A360" s="167" t="n">
        <x:v>359</x:v>
      </x:c>
      <x:c r="B360" s="167" t="str">
        <x:v>destructive</x:v>
      </x:c>
      <x:c r="C360" s="167" t="str">
        <x:v>adj.</x:v>
      </x:c>
      <x:c r="D360" s="170" t="str">
        <x:v>руйнівний</x:v>
      </x:c>
      <x:c r="E360" s="167" t="str">
        <x:v>No</x:v>
      </x:c>
      <x:c r="F360" s="167"/>
      <x:c r="G360" s="167" t="str">
        <x:v>Core</x:v>
      </x:c>
      <x:c r="H360" s="167" t="str">
        <x:v>General</x:v>
      </x:c>
      <x:c r="I360" s="167" t="str">
        <x:v>Not Started</x:v>
      </x:c>
      <x:c r="J360" s="167" t="n">
        <x:v>0</x:v>
      </x:c>
      <x:c r="K360" s="168"/>
      <x:c r="L360" s="168" t="str">
        <x:f>IF(OR(I360="Mastered",K360=""),"",K360+IF(J360&gt;=5,30,IF(J360=4,14,IF(J360=3,7,IF(J360=2,3,1)))))</x:f>
      </x:c>
      <x:c r="M360" s="171" t="str"/>
      <x:c r="N360" s="171" t="str"/>
      <x:c r="O360" s="171" t="str">
        <x:v>Draft — verify in context</x:v>
      </x:c>
      <x:c r="P360" s="167" t="str">
        <x:v>https://www.oxfordlearnersdictionaries.com/wordlists/oxford3000-5000</x:v>
      </x:c>
    </x:row>
    <x:row r="361" ht="26" customHeight="1">
      <x:c r="A361" s="167" t="n">
        <x:v>360</x:v>
      </x:c>
      <x:c r="B361" s="167" t="str">
        <x:v>detain</x:v>
      </x:c>
      <x:c r="C361" s="167" t="str">
        <x:v>v.</x:v>
      </x:c>
      <x:c r="D361" s="170" t="str">
        <x:v>затримувати</x:v>
      </x:c>
      <x:c r="E361" s="167" t="str">
        <x:v>No</x:v>
      </x:c>
      <x:c r="F361" s="167"/>
      <x:c r="G361" s="167" t="str">
        <x:v>Core</x:v>
      </x:c>
      <x:c r="H361" s="167" t="str">
        <x:v>General</x:v>
      </x:c>
      <x:c r="I361" s="167" t="str">
        <x:v>Not Started</x:v>
      </x:c>
      <x:c r="J361" s="167" t="n">
        <x:v>0</x:v>
      </x:c>
      <x:c r="K361" s="168"/>
      <x:c r="L361" s="168" t="str">
        <x:f>IF(OR(I361="Mastered",K361=""),"",K361+IF(J361&gt;=5,30,IF(J361=4,14,IF(J361=3,7,IF(J361=2,3,1)))))</x:f>
      </x:c>
      <x:c r="M361" s="171" t="str"/>
      <x:c r="N361" s="171" t="str"/>
      <x:c r="O361" s="171" t="str">
        <x:v>Draft — verify in context</x:v>
      </x:c>
      <x:c r="P361" s="167" t="str">
        <x:v>https://www.oxfordlearnersdictionaries.com/wordlists/oxford3000-5000</x:v>
      </x:c>
    </x:row>
    <x:row r="362" ht="26" customHeight="1">
      <x:c r="A362" s="167" t="n">
        <x:v>361</x:v>
      </x:c>
      <x:c r="B362" s="167" t="str">
        <x:v>detection</x:v>
      </x:c>
      <x:c r="C362" s="167" t="str">
        <x:v>n.</x:v>
      </x:c>
      <x:c r="D362" s="170" t="str">
        <x:v>виявлення</x:v>
      </x:c>
      <x:c r="E362" s="167" t="str">
        <x:v>No</x:v>
      </x:c>
      <x:c r="F362" s="167"/>
      <x:c r="G362" s="167" t="str">
        <x:v>Core</x:v>
      </x:c>
      <x:c r="H362" s="167" t="str">
        <x:v>General</x:v>
      </x:c>
      <x:c r="I362" s="167" t="str">
        <x:v>Not Started</x:v>
      </x:c>
      <x:c r="J362" s="167" t="n">
        <x:v>0</x:v>
      </x:c>
      <x:c r="K362" s="168"/>
      <x:c r="L362" s="168" t="str">
        <x:f>IF(OR(I362="Mastered",K362=""),"",K362+IF(J362&gt;=5,30,IF(J362=4,14,IF(J362=3,7,IF(J362=2,3,1)))))</x:f>
      </x:c>
      <x:c r="M362" s="171" t="str"/>
      <x:c r="N362" s="171" t="str"/>
      <x:c r="O362" s="171" t="str">
        <x:v>Draft — verify in context</x:v>
      </x:c>
      <x:c r="P362" s="167" t="str">
        <x:v>https://www.oxfordlearnersdictionaries.com/wordlists/oxford3000-5000</x:v>
      </x:c>
    </x:row>
    <x:row r="363" ht="26" customHeight="1">
      <x:c r="A363" s="167" t="n">
        <x:v>362</x:v>
      </x:c>
      <x:c r="B363" s="167" t="str">
        <x:v>detention</x:v>
      </x:c>
      <x:c r="C363" s="167" t="str">
        <x:v>n.</x:v>
      </x:c>
      <x:c r="D363" s="170" t="str">
        <x:v>затримання</x:v>
      </x:c>
      <x:c r="E363" s="167" t="str">
        <x:v>No</x:v>
      </x:c>
      <x:c r="F363" s="167"/>
      <x:c r="G363" s="167" t="str">
        <x:v>Core</x:v>
      </x:c>
      <x:c r="H363" s="167" t="str">
        <x:v>General</x:v>
      </x:c>
      <x:c r="I363" s="167" t="str">
        <x:v>Not Started</x:v>
      </x:c>
      <x:c r="J363" s="167" t="n">
        <x:v>0</x:v>
      </x:c>
      <x:c r="K363" s="168"/>
      <x:c r="L363" s="168" t="str">
        <x:f>IF(OR(I363="Mastered",K363=""),"",K363+IF(J363&gt;=5,30,IF(J363=4,14,IF(J363=3,7,IF(J363=2,3,1)))))</x:f>
      </x:c>
      <x:c r="M363" s="171" t="str"/>
      <x:c r="N363" s="171" t="str"/>
      <x:c r="O363" s="171" t="str">
        <x:v>Draft — verify in context</x:v>
      </x:c>
      <x:c r="P363" s="167" t="str">
        <x:v>https://www.oxfordlearnersdictionaries.com/wordlists/oxford3000-5000</x:v>
      </x:c>
    </x:row>
    <x:row r="364" ht="26" customHeight="1">
      <x:c r="A364" s="167" t="n">
        <x:v>363</x:v>
      </x:c>
      <x:c r="B364" s="167" t="str">
        <x:v>deteriorate</x:v>
      </x:c>
      <x:c r="C364" s="167" t="str">
        <x:v>v.</x:v>
      </x:c>
      <x:c r="D364" s="170" t="str">
        <x:v>погіршуватися</x:v>
      </x:c>
      <x:c r="E364" s="167" t="str">
        <x:v>No</x:v>
      </x:c>
      <x:c r="F364" s="167"/>
      <x:c r="G364" s="167" t="str">
        <x:v>Core</x:v>
      </x:c>
      <x:c r="H364" s="167" t="str">
        <x:v>General</x:v>
      </x:c>
      <x:c r="I364" s="167" t="str">
        <x:v>Not Started</x:v>
      </x:c>
      <x:c r="J364" s="167" t="n">
        <x:v>0</x:v>
      </x:c>
      <x:c r="K364" s="168"/>
      <x:c r="L364" s="168" t="str">
        <x:f>IF(OR(I364="Mastered",K364=""),"",K364+IF(J364&gt;=5,30,IF(J364=4,14,IF(J364=3,7,IF(J364=2,3,1)))))</x:f>
      </x:c>
      <x:c r="M364" s="171" t="str"/>
      <x:c r="N364" s="171" t="str"/>
      <x:c r="O364" s="171" t="str">
        <x:v>Draft — verify in context</x:v>
      </x:c>
      <x:c r="P364" s="167" t="str">
        <x:v>https://www.oxfordlearnersdictionaries.com/wordlists/oxford3000-5000</x:v>
      </x:c>
    </x:row>
    <x:row r="365" ht="26" customHeight="1">
      <x:c r="A365" s="167" t="n">
        <x:v>364</x:v>
      </x:c>
      <x:c r="B365" s="167" t="str">
        <x:v>devastate</x:v>
      </x:c>
      <x:c r="C365" s="167" t="str">
        <x:v>v.</x:v>
      </x:c>
      <x:c r="D365" s="170" t="str">
        <x:v>спустошувати</x:v>
      </x:c>
      <x:c r="E365" s="167" t="str">
        <x:v>No</x:v>
      </x:c>
      <x:c r="F365" s="167"/>
      <x:c r="G365" s="167" t="str">
        <x:v>Core</x:v>
      </x:c>
      <x:c r="H365" s="167" t="str">
        <x:v>General</x:v>
      </x:c>
      <x:c r="I365" s="167" t="str">
        <x:v>Not Started</x:v>
      </x:c>
      <x:c r="J365" s="167" t="n">
        <x:v>0</x:v>
      </x:c>
      <x:c r="K365" s="168"/>
      <x:c r="L365" s="168" t="str">
        <x:f>IF(OR(I365="Mastered",K365=""),"",K365+IF(J365&gt;=5,30,IF(J365=4,14,IF(J365=3,7,IF(J365=2,3,1)))))</x:f>
      </x:c>
      <x:c r="M365" s="171" t="str"/>
      <x:c r="N365" s="171" t="str"/>
      <x:c r="O365" s="171" t="str">
        <x:v>Draft — verify in context</x:v>
      </x:c>
      <x:c r="P365" s="167" t="str">
        <x:v>https://www.oxfordlearnersdictionaries.com/wordlists/oxford3000-5000</x:v>
      </x:c>
    </x:row>
    <x:row r="366" ht="26" customHeight="1">
      <x:c r="A366" s="167" t="n">
        <x:v>365</x:v>
      </x:c>
      <x:c r="B366" s="167" t="str">
        <x:v>devil</x:v>
      </x:c>
      <x:c r="C366" s="167" t="str">
        <x:v>n.</x:v>
      </x:c>
      <x:c r="D366" s="170" t="str">
        <x:v>диявол</x:v>
      </x:c>
      <x:c r="E366" s="167" t="str">
        <x:v>No</x:v>
      </x:c>
      <x:c r="F366" s="167"/>
      <x:c r="G366" s="167" t="str">
        <x:v>Core</x:v>
      </x:c>
      <x:c r="H366" s="167" t="str">
        <x:v>General</x:v>
      </x:c>
      <x:c r="I366" s="167" t="str">
        <x:v>Not Started</x:v>
      </x:c>
      <x:c r="J366" s="167" t="n">
        <x:v>0</x:v>
      </x:c>
      <x:c r="K366" s="168"/>
      <x:c r="L366" s="168" t="str">
        <x:f>IF(OR(I366="Mastered",K366=""),"",K366+IF(J366&gt;=5,30,IF(J366=4,14,IF(J366=3,7,IF(J366=2,3,1)))))</x:f>
      </x:c>
      <x:c r="M366" s="171" t="str"/>
      <x:c r="N366" s="171" t="str"/>
      <x:c r="O366" s="171" t="str">
        <x:v>Draft — verify in context</x:v>
      </x:c>
      <x:c r="P366" s="167" t="str">
        <x:v>https://www.oxfordlearnersdictionaries.com/wordlists/oxford3000-5000</x:v>
      </x:c>
    </x:row>
    <x:row r="367" ht="26" customHeight="1">
      <x:c r="A367" s="167" t="n">
        <x:v>366</x:v>
      </x:c>
      <x:c r="B367" s="167" t="str">
        <x:v>devise</x:v>
      </x:c>
      <x:c r="C367" s="167" t="str">
        <x:v>v.</x:v>
      </x:c>
      <x:c r="D367" s="170" t="str">
        <x:v>придумати</x:v>
      </x:c>
      <x:c r="E367" s="167" t="str">
        <x:v>No</x:v>
      </x:c>
      <x:c r="F367" s="167"/>
      <x:c r="G367" s="167" t="str">
        <x:v>Core</x:v>
      </x:c>
      <x:c r="H367" s="167" t="str">
        <x:v>General</x:v>
      </x:c>
      <x:c r="I367" s="167" t="str">
        <x:v>Not Started</x:v>
      </x:c>
      <x:c r="J367" s="167" t="n">
        <x:v>0</x:v>
      </x:c>
      <x:c r="K367" s="168"/>
      <x:c r="L367" s="168" t="str">
        <x:f>IF(OR(I367="Mastered",K367=""),"",K367+IF(J367&gt;=5,30,IF(J367=4,14,IF(J367=3,7,IF(J367=2,3,1)))))</x:f>
      </x:c>
      <x:c r="M367" s="171" t="str"/>
      <x:c r="N367" s="171" t="str"/>
      <x:c r="O367" s="171" t="str">
        <x:v>Draft — verify in context</x:v>
      </x:c>
      <x:c r="P367" s="167" t="str">
        <x:v>https://www.oxfordlearnersdictionaries.com/wordlists/oxford3000-5000</x:v>
      </x:c>
    </x:row>
    <x:row r="368" ht="26" customHeight="1">
      <x:c r="A368" s="167" t="n">
        <x:v>367</x:v>
      </x:c>
      <x:c r="B368" s="167" t="str">
        <x:v>diagnose</x:v>
      </x:c>
      <x:c r="C368" s="167" t="str">
        <x:v>v.</x:v>
      </x:c>
      <x:c r="D368" s="170" t="str">
        <x:v>діагностувати</x:v>
      </x:c>
      <x:c r="E368" s="167" t="str">
        <x:v>No</x:v>
      </x:c>
      <x:c r="F368" s="167"/>
      <x:c r="G368" s="167" t="str">
        <x:v>High</x:v>
      </x:c>
      <x:c r="H368" s="167" t="str">
        <x:v>Health</x:v>
      </x:c>
      <x:c r="I368" s="167" t="str">
        <x:v>Not Started</x:v>
      </x:c>
      <x:c r="J368" s="167" t="n">
        <x:v>0</x:v>
      </x:c>
      <x:c r="K368" s="168"/>
      <x:c r="L368" s="168" t="str">
        <x:f>IF(OR(I368="Mastered",K368=""),"",K368+IF(J368&gt;=5,30,IF(J368=4,14,IF(J368=3,7,IF(J368=2,3,1)))))</x:f>
      </x:c>
      <x:c r="M368" s="171" t="str"/>
      <x:c r="N368" s="171" t="str"/>
      <x:c r="O368" s="171" t="str">
        <x:v>Draft — verify in context</x:v>
      </x:c>
      <x:c r="P368" s="167" t="str">
        <x:v>https://www.oxfordlearnersdictionaries.com/wordlists/oxford3000-5000</x:v>
      </x:c>
    </x:row>
    <x:row r="369" ht="26" customHeight="1">
      <x:c r="A369" s="167" t="n">
        <x:v>368</x:v>
      </x:c>
      <x:c r="B369" s="167" t="str">
        <x:v>diagnosis</x:v>
      </x:c>
      <x:c r="C369" s="167" t="str">
        <x:v>n.</x:v>
      </x:c>
      <x:c r="D369" s="170" t="str">
        <x:v>діагноз</x:v>
      </x:c>
      <x:c r="E369" s="167" t="str">
        <x:v>No</x:v>
      </x:c>
      <x:c r="F369" s="167"/>
      <x:c r="G369" s="167" t="str">
        <x:v>High</x:v>
      </x:c>
      <x:c r="H369" s="167" t="str">
        <x:v>Health</x:v>
      </x:c>
      <x:c r="I369" s="167" t="str">
        <x:v>Not Started</x:v>
      </x:c>
      <x:c r="J369" s="167" t="n">
        <x:v>0</x:v>
      </x:c>
      <x:c r="K369" s="168"/>
      <x:c r="L369" s="168" t="str">
        <x:f>IF(OR(I369="Mastered",K369=""),"",K369+IF(J369&gt;=5,30,IF(J369=4,14,IF(J369=3,7,IF(J369=2,3,1)))))</x:f>
      </x:c>
      <x:c r="M369" s="171" t="str"/>
      <x:c r="N369" s="171" t="str"/>
      <x:c r="O369" s="171" t="str">
        <x:v>Draft — verify in context</x:v>
      </x:c>
      <x:c r="P369" s="167" t="str">
        <x:v>https://www.oxfordlearnersdictionaries.com/wordlists/oxford3000-5000</x:v>
      </x:c>
    </x:row>
    <x:row r="370" ht="26" customHeight="1">
      <x:c r="A370" s="167" t="n">
        <x:v>369</x:v>
      </x:c>
      <x:c r="B370" s="167" t="str">
        <x:v>dictate</x:v>
      </x:c>
      <x:c r="C370" s="167" t="str">
        <x:v>v.</x:v>
      </x:c>
      <x:c r="D370" s="170" t="str">
        <x:v>диктувати</x:v>
      </x:c>
      <x:c r="E370" s="167" t="str">
        <x:v>No</x:v>
      </x:c>
      <x:c r="F370" s="167"/>
      <x:c r="G370" s="167" t="str">
        <x:v>Core</x:v>
      </x:c>
      <x:c r="H370" s="167" t="str">
        <x:v>General</x:v>
      </x:c>
      <x:c r="I370" s="167" t="str">
        <x:v>Not Started</x:v>
      </x:c>
      <x:c r="J370" s="167" t="n">
        <x:v>0</x:v>
      </x:c>
      <x:c r="K370" s="168"/>
      <x:c r="L370" s="168" t="str">
        <x:f>IF(OR(I370="Mastered",K370=""),"",K370+IF(J370&gt;=5,30,IF(J370=4,14,IF(J370=3,7,IF(J370=2,3,1)))))</x:f>
      </x:c>
      <x:c r="M370" s="171" t="str"/>
      <x:c r="N370" s="171" t="str"/>
      <x:c r="O370" s="171" t="str">
        <x:v>Draft — verify in context</x:v>
      </x:c>
      <x:c r="P370" s="167" t="str">
        <x:v>https://www.oxfordlearnersdictionaries.com/wordlists/oxford3000-5000</x:v>
      </x:c>
    </x:row>
    <x:row r="371" ht="26" customHeight="1">
      <x:c r="A371" s="167" t="n">
        <x:v>370</x:v>
      </x:c>
      <x:c r="B371" s="167" t="str">
        <x:v>dictator</x:v>
      </x:c>
      <x:c r="C371" s="167" t="str">
        <x:v>n.</x:v>
      </x:c>
      <x:c r="D371" s="170" t="str">
        <x:v>диктатор</x:v>
      </x:c>
      <x:c r="E371" s="167" t="str">
        <x:v>No</x:v>
      </x:c>
      <x:c r="F371" s="167"/>
      <x:c r="G371" s="167" t="str">
        <x:v>Core</x:v>
      </x:c>
      <x:c r="H371" s="167" t="str">
        <x:v>General</x:v>
      </x:c>
      <x:c r="I371" s="167" t="str">
        <x:v>Not Started</x:v>
      </x:c>
      <x:c r="J371" s="167" t="n">
        <x:v>0</x:v>
      </x:c>
      <x:c r="K371" s="168"/>
      <x:c r="L371" s="168" t="str">
        <x:f>IF(OR(I371="Mastered",K371=""),"",K371+IF(J371&gt;=5,30,IF(J371=4,14,IF(J371=3,7,IF(J371=2,3,1)))))</x:f>
      </x:c>
      <x:c r="M371" s="171" t="str"/>
      <x:c r="N371" s="171" t="str"/>
      <x:c r="O371" s="171" t="str">
        <x:v>Draft — verify in context</x:v>
      </x:c>
      <x:c r="P371" s="167" t="str">
        <x:v>https://www.oxfordlearnersdictionaries.com/wordlists/oxford3000-5000</x:v>
      </x:c>
    </x:row>
    <x:row r="372" ht="26" customHeight="1">
      <x:c r="A372" s="167" t="n">
        <x:v>371</x:v>
      </x:c>
      <x:c r="B372" s="167" t="str">
        <x:v>differentiate</x:v>
      </x:c>
      <x:c r="C372" s="167" t="str">
        <x:v>v.</x:v>
      </x:c>
      <x:c r="D372" s="170" t="str">
        <x:v>диференціювати</x:v>
      </x:c>
      <x:c r="E372" s="167" t="str">
        <x:v>No</x:v>
      </x:c>
      <x:c r="F372" s="167"/>
      <x:c r="G372" s="167" t="str">
        <x:v>Core</x:v>
      </x:c>
      <x:c r="H372" s="167" t="str">
        <x:v>General</x:v>
      </x:c>
      <x:c r="I372" s="167" t="str">
        <x:v>Not Started</x:v>
      </x:c>
      <x:c r="J372" s="167" t="n">
        <x:v>0</x:v>
      </x:c>
      <x:c r="K372" s="168"/>
      <x:c r="L372" s="168" t="str">
        <x:f>IF(OR(I372="Mastered",K372=""),"",K372+IF(J372&gt;=5,30,IF(J372=4,14,IF(J372=3,7,IF(J372=2,3,1)))))</x:f>
      </x:c>
      <x:c r="M372" s="171" t="str"/>
      <x:c r="N372" s="171" t="str"/>
      <x:c r="O372" s="171" t="str">
        <x:v>Draft — verify in context</x:v>
      </x:c>
      <x:c r="P372" s="167" t="str">
        <x:v>https://www.oxfordlearnersdictionaries.com/wordlists/oxford3000-5000</x:v>
      </x:c>
    </x:row>
    <x:row r="373" ht="26" customHeight="1">
      <x:c r="A373" s="167" t="n">
        <x:v>372</x:v>
      </x:c>
      <x:c r="B373" s="167" t="str">
        <x:v>dignity</x:v>
      </x:c>
      <x:c r="C373" s="167" t="str">
        <x:v>n.</x:v>
      </x:c>
      <x:c r="D373" s="170" t="str">
        <x:v>гідність</x:v>
      </x:c>
      <x:c r="E373" s="167" t="str">
        <x:v>No</x:v>
      </x:c>
      <x:c r="F373" s="167"/>
      <x:c r="G373" s="167" t="str">
        <x:v>Core</x:v>
      </x:c>
      <x:c r="H373" s="167" t="str">
        <x:v>General</x:v>
      </x:c>
      <x:c r="I373" s="167" t="str">
        <x:v>Not Started</x:v>
      </x:c>
      <x:c r="J373" s="167" t="n">
        <x:v>0</x:v>
      </x:c>
      <x:c r="K373" s="168"/>
      <x:c r="L373" s="168" t="str">
        <x:f>IF(OR(I373="Mastered",K373=""),"",K373+IF(J373&gt;=5,30,IF(J373=4,14,IF(J373=3,7,IF(J373=2,3,1)))))</x:f>
      </x:c>
      <x:c r="M373" s="171" t="str"/>
      <x:c r="N373" s="171" t="str"/>
      <x:c r="O373" s="171" t="str">
        <x:v>Draft — verify in context</x:v>
      </x:c>
      <x:c r="P373" s="167" t="str">
        <x:v>https://www.oxfordlearnersdictionaries.com/wordlists/oxford3000-5000</x:v>
      </x:c>
    </x:row>
    <x:row r="374" ht="26" customHeight="1">
      <x:c r="A374" s="167" t="n">
        <x:v>373</x:v>
      </x:c>
      <x:c r="B374" s="167" t="str">
        <x:v>dilemma</x:v>
      </x:c>
      <x:c r="C374" s="167" t="str">
        <x:v>n.</x:v>
      </x:c>
      <x:c r="D374" s="170" t="str">
        <x:v>дилема</x:v>
      </x:c>
      <x:c r="E374" s="167" t="str">
        <x:v>No</x:v>
      </x:c>
      <x:c r="F374" s="167"/>
      <x:c r="G374" s="167" t="str">
        <x:v>Core</x:v>
      </x:c>
      <x:c r="H374" s="167" t="str">
        <x:v>General</x:v>
      </x:c>
      <x:c r="I374" s="167" t="str">
        <x:v>Not Started</x:v>
      </x:c>
      <x:c r="J374" s="167" t="n">
        <x:v>0</x:v>
      </x:c>
      <x:c r="K374" s="168"/>
      <x:c r="L374" s="168" t="str">
        <x:f>IF(OR(I374="Mastered",K374=""),"",K374+IF(J374&gt;=5,30,IF(J374=4,14,IF(J374=3,7,IF(J374=2,3,1)))))</x:f>
      </x:c>
      <x:c r="M374" s="171" t="str"/>
      <x:c r="N374" s="171" t="str"/>
      <x:c r="O374" s="171" t="str">
        <x:v>Draft — verify in context</x:v>
      </x:c>
      <x:c r="P374" s="167" t="str">
        <x:v>https://www.oxfordlearnersdictionaries.com/wordlists/oxford3000-5000</x:v>
      </x:c>
    </x:row>
    <x:row r="375" ht="26" customHeight="1">
      <x:c r="A375" s="167" t="n">
        <x:v>374</x:v>
      </x:c>
      <x:c r="B375" s="167" t="str">
        <x:v>dimension</x:v>
      </x:c>
      <x:c r="C375" s="167" t="str">
        <x:v>n.</x:v>
      </x:c>
      <x:c r="D375" s="170" t="str">
        <x:v>розмір</x:v>
      </x:c>
      <x:c r="E375" s="167" t="str">
        <x:v>No</x:v>
      </x:c>
      <x:c r="F375" s="167"/>
      <x:c r="G375" s="167" t="str">
        <x:v>Core</x:v>
      </x:c>
      <x:c r="H375" s="167" t="str">
        <x:v>General</x:v>
      </x:c>
      <x:c r="I375" s="167" t="str">
        <x:v>Not Started</x:v>
      </x:c>
      <x:c r="J375" s="167" t="n">
        <x:v>0</x:v>
      </x:c>
      <x:c r="K375" s="168"/>
      <x:c r="L375" s="168" t="str">
        <x:f>IF(OR(I375="Mastered",K375=""),"",K375+IF(J375&gt;=5,30,IF(J375=4,14,IF(J375=3,7,IF(J375=2,3,1)))))</x:f>
      </x:c>
      <x:c r="M375" s="171" t="str"/>
      <x:c r="N375" s="171" t="str"/>
      <x:c r="O375" s="171" t="str">
        <x:v>Draft — verify in context</x:v>
      </x:c>
      <x:c r="P375" s="167" t="str">
        <x:v>https://www.oxfordlearnersdictionaries.com/wordlists/oxford3000-5000</x:v>
      </x:c>
    </x:row>
    <x:row r="376" ht="26" customHeight="1">
      <x:c r="A376" s="167" t="n">
        <x:v>375</x:v>
      </x:c>
      <x:c r="B376" s="167" t="str">
        <x:v>diminish</x:v>
      </x:c>
      <x:c r="C376" s="167" t="str">
        <x:v>v.</x:v>
      </x:c>
      <x:c r="D376" s="170" t="str">
        <x:v>зменшувати</x:v>
      </x:c>
      <x:c r="E376" s="167" t="str">
        <x:v>No</x:v>
      </x:c>
      <x:c r="F376" s="167"/>
      <x:c r="G376" s="167" t="str">
        <x:v>Core</x:v>
      </x:c>
      <x:c r="H376" s="167" t="str">
        <x:v>General</x:v>
      </x:c>
      <x:c r="I376" s="167" t="str">
        <x:v>Not Started</x:v>
      </x:c>
      <x:c r="J376" s="167" t="n">
        <x:v>0</x:v>
      </x:c>
      <x:c r="K376" s="168"/>
      <x:c r="L376" s="168" t="str">
        <x:f>IF(OR(I376="Mastered",K376=""),"",K376+IF(J376&gt;=5,30,IF(J376=4,14,IF(J376=3,7,IF(J376=2,3,1)))))</x:f>
      </x:c>
      <x:c r="M376" s="171" t="str"/>
      <x:c r="N376" s="171" t="str"/>
      <x:c r="O376" s="171" t="str">
        <x:v>Draft — verify in context</x:v>
      </x:c>
      <x:c r="P376" s="167" t="str">
        <x:v>https://www.oxfordlearnersdictionaries.com/wordlists/oxford3000-5000</x:v>
      </x:c>
    </x:row>
    <x:row r="377" ht="26" customHeight="1">
      <x:c r="A377" s="167" t="n">
        <x:v>376</x:v>
      </x:c>
      <x:c r="B377" s="167" t="str">
        <x:v>dip</x:v>
      </x:c>
      <x:c r="C377" s="167" t="str">
        <x:v>v.</x:v>
      </x:c>
      <x:c r="D377" s="170" t="str">
        <x:v>занурювати; опускатися</x:v>
      </x:c>
      <x:c r="E377" s="167" t="str">
        <x:v>No</x:v>
      </x:c>
      <x:c r="F377" s="167"/>
      <x:c r="G377" s="167" t="str">
        <x:v>Core</x:v>
      </x:c>
      <x:c r="H377" s="167" t="str">
        <x:v>General</x:v>
      </x:c>
      <x:c r="I377" s="167" t="str">
        <x:v>Not Started</x:v>
      </x:c>
      <x:c r="J377" s="167" t="n">
        <x:v>0</x:v>
      </x:c>
      <x:c r="K377" s="168"/>
      <x:c r="L377" s="168" t="str">
        <x:f>IF(OR(I377="Mastered",K377=""),"",K377+IF(J377&gt;=5,30,IF(J377=4,14,IF(J377=3,7,IF(J377=2,3,1)))))</x:f>
      </x:c>
      <x:c r="M377" s="171" t="str"/>
      <x:c r="N377" s="171" t="str"/>
      <x:c r="O377" s="171" t="str">
        <x:v>Draft — verify in context</x:v>
      </x:c>
      <x:c r="P377" s="167" t="str">
        <x:v>https://www.oxfordlearnersdictionaries.com/wordlists/oxford3000-5000</x:v>
      </x:c>
    </x:row>
    <x:row r="378" ht="26" customHeight="1">
      <x:c r="A378" s="167" t="n">
        <x:v>377</x:v>
      </x:c>
      <x:c r="B378" s="167" t="str">
        <x:v>diplomat</x:v>
      </x:c>
      <x:c r="C378" s="167" t="str">
        <x:v>n.</x:v>
      </x:c>
      <x:c r="D378" s="170" t="str">
        <x:v>дипломат</x:v>
      </x:c>
      <x:c r="E378" s="167" t="str">
        <x:v>No</x:v>
      </x:c>
      <x:c r="F378" s="167"/>
      <x:c r="G378" s="167" t="str">
        <x:v>Core</x:v>
      </x:c>
      <x:c r="H378" s="167" t="str">
        <x:v>General</x:v>
      </x:c>
      <x:c r="I378" s="167" t="str">
        <x:v>Not Started</x:v>
      </x:c>
      <x:c r="J378" s="167" t="n">
        <x:v>0</x:v>
      </x:c>
      <x:c r="K378" s="168"/>
      <x:c r="L378" s="168" t="str">
        <x:f>IF(OR(I378="Mastered",K378=""),"",K378+IF(J378&gt;=5,30,IF(J378=4,14,IF(J378=3,7,IF(J378=2,3,1)))))</x:f>
      </x:c>
      <x:c r="M378" s="171" t="str"/>
      <x:c r="N378" s="171" t="str"/>
      <x:c r="O378" s="171" t="str">
        <x:v>Draft — verify in context</x:v>
      </x:c>
      <x:c r="P378" s="167" t="str">
        <x:v>https://www.oxfordlearnersdictionaries.com/wordlists/oxford3000-5000</x:v>
      </x:c>
    </x:row>
    <x:row r="379" ht="26" customHeight="1">
      <x:c r="A379" s="167" t="n">
        <x:v>378</x:v>
      </x:c>
      <x:c r="B379" s="167" t="str">
        <x:v>diplomatic</x:v>
      </x:c>
      <x:c r="C379" s="167" t="str">
        <x:v>n.</x:v>
      </x:c>
      <x:c r="D379" s="170" t="str">
        <x:v>дипломатичний</x:v>
      </x:c>
      <x:c r="E379" s="167" t="str">
        <x:v>No</x:v>
      </x:c>
      <x:c r="F379" s="167"/>
      <x:c r="G379" s="167" t="str">
        <x:v>Core</x:v>
      </x:c>
      <x:c r="H379" s="167" t="str">
        <x:v>General</x:v>
      </x:c>
      <x:c r="I379" s="167" t="str">
        <x:v>Not Started</x:v>
      </x:c>
      <x:c r="J379" s="167" t="n">
        <x:v>0</x:v>
      </x:c>
      <x:c r="K379" s="168"/>
      <x:c r="L379" s="168" t="str">
        <x:f>IF(OR(I379="Mastered",K379=""),"",K379+IF(J379&gt;=5,30,IF(J379=4,14,IF(J379=3,7,IF(J379=2,3,1)))))</x:f>
      </x:c>
      <x:c r="M379" s="171" t="str"/>
      <x:c r="N379" s="171" t="str"/>
      <x:c r="O379" s="171" t="str">
        <x:v>Draft — verify in context</x:v>
      </x:c>
      <x:c r="P379" s="167" t="str">
        <x:v>https://www.oxfordlearnersdictionaries.com/wordlists/oxford3000-5000</x:v>
      </x:c>
    </x:row>
    <x:row r="380" ht="26" customHeight="1">
      <x:c r="A380" s="167" t="n">
        <x:v>379</x:v>
      </x:c>
      <x:c r="B380" s="167" t="str">
        <x:v>directory</x:v>
      </x:c>
      <x:c r="C380" s="167" t="str">
        <x:v>n.</x:v>
      </x:c>
      <x:c r="D380" s="170" t="str">
        <x:v>каталог</x:v>
      </x:c>
      <x:c r="E380" s="167" t="str">
        <x:v>No</x:v>
      </x:c>
      <x:c r="F380" s="167"/>
      <x:c r="G380" s="167" t="str">
        <x:v>Core</x:v>
      </x:c>
      <x:c r="H380" s="167" t="str">
        <x:v>General</x:v>
      </x:c>
      <x:c r="I380" s="167" t="str">
        <x:v>Not Started</x:v>
      </x:c>
      <x:c r="J380" s="167" t="n">
        <x:v>0</x:v>
      </x:c>
      <x:c r="K380" s="168"/>
      <x:c r="L380" s="168" t="str">
        <x:f>IF(OR(I380="Mastered",K380=""),"",K380+IF(J380&gt;=5,30,IF(J380=4,14,IF(J380=3,7,IF(J380=2,3,1)))))</x:f>
      </x:c>
      <x:c r="M380" s="171" t="str"/>
      <x:c r="N380" s="171" t="str"/>
      <x:c r="O380" s="171" t="str">
        <x:v>Draft — verify in context</x:v>
      </x:c>
      <x:c r="P380" s="167" t="str">
        <x:v>https://www.oxfordlearnersdictionaries.com/wordlists/oxford3000-5000</x:v>
      </x:c>
    </x:row>
    <x:row r="381" ht="26" customHeight="1">
      <x:c r="A381" s="167" t="n">
        <x:v>380</x:v>
      </x:c>
      <x:c r="B381" s="167" t="str">
        <x:v>disastrous</x:v>
      </x:c>
      <x:c r="C381" s="167" t="str">
        <x:v>adj.</x:v>
      </x:c>
      <x:c r="D381" s="170" t="str">
        <x:v>катастрофічний</x:v>
      </x:c>
      <x:c r="E381" s="167" t="str">
        <x:v>No</x:v>
      </x:c>
      <x:c r="F381" s="167"/>
      <x:c r="G381" s="167" t="str">
        <x:v>Core</x:v>
      </x:c>
      <x:c r="H381" s="167" t="str">
        <x:v>General</x:v>
      </x:c>
      <x:c r="I381" s="167" t="str">
        <x:v>Not Started</x:v>
      </x:c>
      <x:c r="J381" s="167" t="n">
        <x:v>0</x:v>
      </x:c>
      <x:c r="K381" s="168"/>
      <x:c r="L381" s="168" t="str">
        <x:f>IF(OR(I381="Mastered",K381=""),"",K381+IF(J381&gt;=5,30,IF(J381=4,14,IF(J381=3,7,IF(J381=2,3,1)))))</x:f>
      </x:c>
      <x:c r="M381" s="171" t="str"/>
      <x:c r="N381" s="171" t="str"/>
      <x:c r="O381" s="171" t="str">
        <x:v>Draft — verify in context</x:v>
      </x:c>
      <x:c r="P381" s="167" t="str">
        <x:v>https://www.oxfordlearnersdictionaries.com/wordlists/oxford3000-5000</x:v>
      </x:c>
    </x:row>
    <x:row r="382" ht="26" customHeight="1">
      <x:c r="A382" s="167" t="n">
        <x:v>381</x:v>
      </x:c>
      <x:c r="B382" s="167" t="str">
        <x:v>discard</x:v>
      </x:c>
      <x:c r="C382" s="167" t="str">
        <x:v>v.</x:v>
      </x:c>
      <x:c r="D382" s="170" t="str">
        <x:v>відкинути</x:v>
      </x:c>
      <x:c r="E382" s="167" t="str">
        <x:v>No</x:v>
      </x:c>
      <x:c r="F382" s="167"/>
      <x:c r="G382" s="167" t="str">
        <x:v>Core</x:v>
      </x:c>
      <x:c r="H382" s="167" t="str">
        <x:v>General</x:v>
      </x:c>
      <x:c r="I382" s="167" t="str">
        <x:v>Not Started</x:v>
      </x:c>
      <x:c r="J382" s="167" t="n">
        <x:v>0</x:v>
      </x:c>
      <x:c r="K382" s="168"/>
      <x:c r="L382" s="168" t="str">
        <x:f>IF(OR(I382="Mastered",K382=""),"",K382+IF(J382&gt;=5,30,IF(J382=4,14,IF(J382=3,7,IF(J382=2,3,1)))))</x:f>
      </x:c>
      <x:c r="M382" s="171" t="str"/>
      <x:c r="N382" s="171" t="str"/>
      <x:c r="O382" s="171" t="str">
        <x:v>Draft — verify in context</x:v>
      </x:c>
      <x:c r="P382" s="167" t="str">
        <x:v>https://www.oxfordlearnersdictionaries.com/wordlists/oxford3000-5000</x:v>
      </x:c>
    </x:row>
    <x:row r="383" ht="26" customHeight="1">
      <x:c r="A383" s="167" t="n">
        <x:v>382</x:v>
      </x:c>
      <x:c r="B383" s="167" t="str">
        <x:v>discharge</x:v>
      </x:c>
      <x:c r="C383" s="167" t="str">
        <x:v>v.</x:v>
      </x:c>
      <x:c r="D383" s="170" t="str">
        <x:v>розрядка</x:v>
      </x:c>
      <x:c r="E383" s="167" t="str">
        <x:v>No</x:v>
      </x:c>
      <x:c r="F383" s="167"/>
      <x:c r="G383" s="167" t="str">
        <x:v>Core</x:v>
      </x:c>
      <x:c r="H383" s="167" t="str">
        <x:v>General</x:v>
      </x:c>
      <x:c r="I383" s="167" t="str">
        <x:v>Not Started</x:v>
      </x:c>
      <x:c r="J383" s="167" t="n">
        <x:v>0</x:v>
      </x:c>
      <x:c r="K383" s="168"/>
      <x:c r="L383" s="168" t="str">
        <x:f>IF(OR(I383="Mastered",K383=""),"",K383+IF(J383&gt;=5,30,IF(J383=4,14,IF(J383=3,7,IF(J383=2,3,1)))))</x:f>
      </x:c>
      <x:c r="M383" s="171" t="str"/>
      <x:c r="N383" s="171" t="str"/>
      <x:c r="O383" s="171" t="str">
        <x:v>Draft — verify in context</x:v>
      </x:c>
      <x:c r="P383" s="167" t="str">
        <x:v>https://www.oxfordlearnersdictionaries.com/wordlists/oxford3000-5000</x:v>
      </x:c>
    </x:row>
    <x:row r="384" ht="26" customHeight="1">
      <x:c r="A384" s="167" t="n">
        <x:v>383</x:v>
      </x:c>
      <x:c r="B384" s="167" t="str">
        <x:v>disclose</x:v>
      </x:c>
      <x:c r="C384" s="167" t="str">
        <x:v>v.</x:v>
      </x:c>
      <x:c r="D384" s="170" t="str">
        <x:v>розкрити</x:v>
      </x:c>
      <x:c r="E384" s="167" t="str">
        <x:v>No</x:v>
      </x:c>
      <x:c r="F384" s="167"/>
      <x:c r="G384" s="167" t="str">
        <x:v>Core</x:v>
      </x:c>
      <x:c r="H384" s="167" t="str">
        <x:v>General</x:v>
      </x:c>
      <x:c r="I384" s="167" t="str">
        <x:v>Not Started</x:v>
      </x:c>
      <x:c r="J384" s="167" t="n">
        <x:v>0</x:v>
      </x:c>
      <x:c r="K384" s="168"/>
      <x:c r="L384" s="168" t="str">
        <x:f>IF(OR(I384="Mastered",K384=""),"",K384+IF(J384&gt;=5,30,IF(J384=4,14,IF(J384=3,7,IF(J384=2,3,1)))))</x:f>
      </x:c>
      <x:c r="M384" s="171" t="str"/>
      <x:c r="N384" s="171" t="str"/>
      <x:c r="O384" s="171" t="str">
        <x:v>Draft — verify in context</x:v>
      </x:c>
      <x:c r="P384" s="167" t="str">
        <x:v>https://www.oxfordlearnersdictionaries.com/wordlists/oxford3000-5000</x:v>
      </x:c>
    </x:row>
    <x:row r="385" ht="26" customHeight="1">
      <x:c r="A385" s="167" t="n">
        <x:v>384</x:v>
      </x:c>
      <x:c r="B385" s="167" t="str">
        <x:v>disclosure</x:v>
      </x:c>
      <x:c r="C385" s="167" t="str">
        <x:v>n.</x:v>
      </x:c>
      <x:c r="D385" s="170" t="str">
        <x:v>розкриття</x:v>
      </x:c>
      <x:c r="E385" s="167" t="str">
        <x:v>No</x:v>
      </x:c>
      <x:c r="F385" s="167"/>
      <x:c r="G385" s="167" t="str">
        <x:v>Core</x:v>
      </x:c>
      <x:c r="H385" s="167" t="str">
        <x:v>General</x:v>
      </x:c>
      <x:c r="I385" s="167" t="str">
        <x:v>Not Started</x:v>
      </x:c>
      <x:c r="J385" s="167" t="n">
        <x:v>0</x:v>
      </x:c>
      <x:c r="K385" s="168"/>
      <x:c r="L385" s="168" t="str">
        <x:f>IF(OR(I385="Mastered",K385=""),"",K385+IF(J385&gt;=5,30,IF(J385=4,14,IF(J385=3,7,IF(J385=2,3,1)))))</x:f>
      </x:c>
      <x:c r="M385" s="171" t="str"/>
      <x:c r="N385" s="171" t="str"/>
      <x:c r="O385" s="171" t="str">
        <x:v>Draft — verify in context</x:v>
      </x:c>
      <x:c r="P385" s="167" t="str">
        <x:v>https://www.oxfordlearnersdictionaries.com/wordlists/oxford3000-5000</x:v>
      </x:c>
    </x:row>
    <x:row r="386" ht="26" customHeight="1">
      <x:c r="A386" s="167" t="n">
        <x:v>385</x:v>
      </x:c>
      <x:c r="B386" s="167" t="str">
        <x:v>discourse</x:v>
      </x:c>
      <x:c r="C386" s="167" t="str">
        <x:v>n.</x:v>
      </x:c>
      <x:c r="D386" s="170" t="str">
        <x:v>дискурс</x:v>
      </x:c>
      <x:c r="E386" s="167" t="str">
        <x:v>No</x:v>
      </x:c>
      <x:c r="F386" s="167"/>
      <x:c r="G386" s="167" t="str">
        <x:v>Core</x:v>
      </x:c>
      <x:c r="H386" s="167" t="str">
        <x:v>General</x:v>
      </x:c>
      <x:c r="I386" s="167" t="str">
        <x:v>Not Started</x:v>
      </x:c>
      <x:c r="J386" s="167" t="n">
        <x:v>0</x:v>
      </x:c>
      <x:c r="K386" s="168"/>
      <x:c r="L386" s="168" t="str">
        <x:f>IF(OR(I386="Mastered",K386=""),"",K386+IF(J386&gt;=5,30,IF(J386=4,14,IF(J386=3,7,IF(J386=2,3,1)))))</x:f>
      </x:c>
      <x:c r="M386" s="171" t="str"/>
      <x:c r="N386" s="171" t="str"/>
      <x:c r="O386" s="171" t="str">
        <x:v>Draft — verify in context</x:v>
      </x:c>
      <x:c r="P386" s="167" t="str">
        <x:v>https://www.oxfordlearnersdictionaries.com/wordlists/oxford3000-5000</x:v>
      </x:c>
    </x:row>
    <x:row r="387" ht="26" customHeight="1">
      <x:c r="A387" s="167" t="n">
        <x:v>386</x:v>
      </x:c>
      <x:c r="B387" s="167" t="str">
        <x:v>discretion</x:v>
      </x:c>
      <x:c r="C387" s="167" t="str">
        <x:v>n.</x:v>
      </x:c>
      <x:c r="D387" s="170" t="str">
        <x:v>розсуд</x:v>
      </x:c>
      <x:c r="E387" s="167" t="str">
        <x:v>Yes</x:v>
      </x:c>
      <x:c r="F387" s="167" t="n">
        <x:v>5</x:v>
      </x:c>
      <x:c r="G387" s="167" t="str">
        <x:v>High</x:v>
      </x:c>
      <x:c r="H387" s="167" t="str">
        <x:v>General</x:v>
      </x:c>
      <x:c r="I387" s="167" t="str">
        <x:v>Not Started</x:v>
      </x:c>
      <x:c r="J387" s="167" t="n">
        <x:v>0</x:v>
      </x:c>
      <x:c r="K387" s="168"/>
      <x:c r="L387" s="168" t="str">
        <x:f>IF(OR(I387="Mastered",K387=""),"",K387+IF(J387&gt;=5,30,IF(J387=4,14,IF(J387=3,7,IF(J387=2,3,1)))))</x:f>
      </x:c>
      <x:c r="M387" s="171" t="str"/>
      <x:c r="N387" s="171" t="str"/>
      <x:c r="O387" s="171" t="str">
        <x:v>Draft — verify in context</x:v>
      </x:c>
      <x:c r="P387" s="167" t="str">
        <x:v>https://www.oxfordlearnersdictionaries.com/wordlists/oxford3000-5000</x:v>
      </x:c>
    </x:row>
    <x:row r="388" ht="26" customHeight="1">
      <x:c r="A388" s="167" t="n">
        <x:v>387</x:v>
      </x:c>
      <x:c r="B388" s="167" t="str">
        <x:v>discrimination</x:v>
      </x:c>
      <x:c r="C388" s="167" t="str">
        <x:v>n.</x:v>
      </x:c>
      <x:c r="D388" s="170" t="str">
        <x:v>дискримінація</x:v>
      </x:c>
      <x:c r="E388" s="167" t="str">
        <x:v>Yes</x:v>
      </x:c>
      <x:c r="F388" s="167" t="n">
        <x:v>6</x:v>
      </x:c>
      <x:c r="G388" s="167" t="str">
        <x:v>High</x:v>
      </x:c>
      <x:c r="H388" s="167" t="str">
        <x:v>Society &amp; culture</x:v>
      </x:c>
      <x:c r="I388" s="167" t="str">
        <x:v>Not Started</x:v>
      </x:c>
      <x:c r="J388" s="167" t="n">
        <x:v>0</x:v>
      </x:c>
      <x:c r="K388" s="168"/>
      <x:c r="L388" s="168" t="str">
        <x:f>IF(OR(I388="Mastered",K388=""),"",K388+IF(J388&gt;=5,30,IF(J388=4,14,IF(J388=3,7,IF(J388=2,3,1)))))</x:f>
      </x:c>
      <x:c r="M388" s="171" t="str"/>
      <x:c r="N388" s="171" t="str"/>
      <x:c r="O388" s="171" t="str">
        <x:v>Draft — verify in context</x:v>
      </x:c>
      <x:c r="P388" s="167" t="str">
        <x:v>https://www.oxfordlearnersdictionaries.com/wordlists/oxford3000-5000</x:v>
      </x:c>
    </x:row>
    <x:row r="389" ht="26" customHeight="1">
      <x:c r="A389" s="167" t="n">
        <x:v>388</x:v>
      </x:c>
      <x:c r="B389" s="167" t="str">
        <x:v>dismissal</x:v>
      </x:c>
      <x:c r="C389" s="167" t="str">
        <x:v>n.</x:v>
      </x:c>
      <x:c r="D389" s="170" t="str">
        <x:v>звільнення</x:v>
      </x:c>
      <x:c r="E389" s="167" t="str">
        <x:v>No</x:v>
      </x:c>
      <x:c r="F389" s="167"/>
      <x:c r="G389" s="167" t="str">
        <x:v>Core</x:v>
      </x:c>
      <x:c r="H389" s="167" t="str">
        <x:v>General</x:v>
      </x:c>
      <x:c r="I389" s="167" t="str">
        <x:v>Not Started</x:v>
      </x:c>
      <x:c r="J389" s="167" t="n">
        <x:v>0</x:v>
      </x:c>
      <x:c r="K389" s="168"/>
      <x:c r="L389" s="168" t="str">
        <x:f>IF(OR(I389="Mastered",K389=""),"",K389+IF(J389&gt;=5,30,IF(J389=4,14,IF(J389=3,7,IF(J389=2,3,1)))))</x:f>
      </x:c>
      <x:c r="M389" s="171" t="str"/>
      <x:c r="N389" s="171" t="str"/>
      <x:c r="O389" s="171" t="str">
        <x:v>Draft — verify in context</x:v>
      </x:c>
      <x:c r="P389" s="167" t="str">
        <x:v>https://www.oxfordlearnersdictionaries.com/wordlists/oxford3000-5000</x:v>
      </x:c>
    </x:row>
    <x:row r="390" ht="26" customHeight="1">
      <x:c r="A390" s="167" t="n">
        <x:v>389</x:v>
      </x:c>
      <x:c r="B390" s="167" t="str">
        <x:v>displace</x:v>
      </x:c>
      <x:c r="C390" s="167" t="str">
        <x:v>v.</x:v>
      </x:c>
      <x:c r="D390" s="170" t="str">
        <x:v>витісняти</x:v>
      </x:c>
      <x:c r="E390" s="167" t="str">
        <x:v>No</x:v>
      </x:c>
      <x:c r="F390" s="167"/>
      <x:c r="G390" s="167" t="str">
        <x:v>Core</x:v>
      </x:c>
      <x:c r="H390" s="167" t="str">
        <x:v>General</x:v>
      </x:c>
      <x:c r="I390" s="167" t="str">
        <x:v>Not Started</x:v>
      </x:c>
      <x:c r="J390" s="167" t="n">
        <x:v>0</x:v>
      </x:c>
      <x:c r="K390" s="168"/>
      <x:c r="L390" s="168" t="str">
        <x:f>IF(OR(I390="Mastered",K390=""),"",K390+IF(J390&gt;=5,30,IF(J390=4,14,IF(J390=3,7,IF(J390=2,3,1)))))</x:f>
      </x:c>
      <x:c r="M390" s="171" t="str"/>
      <x:c r="N390" s="171" t="str"/>
      <x:c r="O390" s="171" t="str">
        <x:v>Draft — verify in context</x:v>
      </x:c>
      <x:c r="P390" s="167" t="str">
        <x:v>https://www.oxfordlearnersdictionaries.com/wordlists/oxford3000-5000</x:v>
      </x:c>
    </x:row>
    <x:row r="391" ht="26" customHeight="1">
      <x:c r="A391" s="167" t="n">
        <x:v>390</x:v>
      </x:c>
      <x:c r="B391" s="167" t="str">
        <x:v>disposal</x:v>
      </x:c>
      <x:c r="C391" s="167" t="str">
        <x:v>n.</x:v>
      </x:c>
      <x:c r="D391" s="170" t="str">
        <x:v>утилізація</x:v>
      </x:c>
      <x:c r="E391" s="167" t="str">
        <x:v>Yes</x:v>
      </x:c>
      <x:c r="F391" s="167" t="n">
        <x:v>7</x:v>
      </x:c>
      <x:c r="G391" s="167" t="str">
        <x:v>High</x:v>
      </x:c>
      <x:c r="H391" s="167" t="str">
        <x:v>General</x:v>
      </x:c>
      <x:c r="I391" s="167" t="str">
        <x:v>Not Started</x:v>
      </x:c>
      <x:c r="J391" s="167" t="n">
        <x:v>0</x:v>
      </x:c>
      <x:c r="K391" s="168"/>
      <x:c r="L391" s="168" t="str">
        <x:f>IF(OR(I391="Mastered",K391=""),"",K391+IF(J391&gt;=5,30,IF(J391=4,14,IF(J391=3,7,IF(J391=2,3,1)))))</x:f>
      </x:c>
      <x:c r="M391" s="171" t="str"/>
      <x:c r="N391" s="171" t="str"/>
      <x:c r="O391" s="171" t="str">
        <x:v>Draft — verify in context</x:v>
      </x:c>
      <x:c r="P391" s="167" t="str">
        <x:v>https://www.oxfordlearnersdictionaries.com/wordlists/oxford3000-5000</x:v>
      </x:c>
    </x:row>
    <x:row r="392" ht="26" customHeight="1">
      <x:c r="A392" s="167" t="n">
        <x:v>391</x:v>
      </x:c>
      <x:c r="B392" s="167" t="str">
        <x:v>dispose</x:v>
      </x:c>
      <x:c r="C392" s="167" t="str">
        <x:v>v.</x:v>
      </x:c>
      <x:c r="D392" s="170" t="str">
        <x:v>розпоряджатися</x:v>
      </x:c>
      <x:c r="E392" s="167" t="str">
        <x:v>No</x:v>
      </x:c>
      <x:c r="F392" s="167"/>
      <x:c r="G392" s="167" t="str">
        <x:v>Core</x:v>
      </x:c>
      <x:c r="H392" s="167" t="str">
        <x:v>General</x:v>
      </x:c>
      <x:c r="I392" s="167" t="str">
        <x:v>Not Started</x:v>
      </x:c>
      <x:c r="J392" s="167" t="n">
        <x:v>0</x:v>
      </x:c>
      <x:c r="K392" s="168"/>
      <x:c r="L392" s="168" t="str">
        <x:f>IF(OR(I392="Mastered",K392=""),"",K392+IF(J392&gt;=5,30,IF(J392=4,14,IF(J392=3,7,IF(J392=2,3,1)))))</x:f>
      </x:c>
      <x:c r="M392" s="171" t="str"/>
      <x:c r="N392" s="171" t="str"/>
      <x:c r="O392" s="171" t="str">
        <x:v>Draft — verify in context</x:v>
      </x:c>
      <x:c r="P392" s="167" t="str">
        <x:v>https://www.oxfordlearnersdictionaries.com/wordlists/oxford3000-5000</x:v>
      </x:c>
    </x:row>
    <x:row r="393" ht="26" customHeight="1">
      <x:c r="A393" s="167" t="n">
        <x:v>392</x:v>
      </x:c>
      <x:c r="B393" s="167" t="str">
        <x:v>dispute</x:v>
      </x:c>
      <x:c r="C393" s="167" t="str">
        <x:v>n., v.</x:v>
      </x:c>
      <x:c r="D393" s="170" t="str">
        <x:v>суперечка</x:v>
      </x:c>
      <x:c r="E393" s="167" t="str">
        <x:v>No</x:v>
      </x:c>
      <x:c r="F393" s="167"/>
      <x:c r="G393" s="167" t="str">
        <x:v>Core</x:v>
      </x:c>
      <x:c r="H393" s="167" t="str">
        <x:v>General</x:v>
      </x:c>
      <x:c r="I393" s="167" t="str">
        <x:v>Not Started</x:v>
      </x:c>
      <x:c r="J393" s="167" t="n">
        <x:v>0</x:v>
      </x:c>
      <x:c r="K393" s="168"/>
      <x:c r="L393" s="168" t="str">
        <x:f>IF(OR(I393="Mastered",K393=""),"",K393+IF(J393&gt;=5,30,IF(J393=4,14,IF(J393=3,7,IF(J393=2,3,1)))))</x:f>
      </x:c>
      <x:c r="M393" s="171" t="str"/>
      <x:c r="N393" s="171" t="str"/>
      <x:c r="O393" s="171" t="str">
        <x:v>Draft — verify in context</x:v>
      </x:c>
      <x:c r="P393" s="167" t="str">
        <x:v>https://www.oxfordlearnersdictionaries.com/wordlists/oxford3000-5000</x:v>
      </x:c>
    </x:row>
    <x:row r="394" ht="26" customHeight="1">
      <x:c r="A394" s="167" t="n">
        <x:v>393</x:v>
      </x:c>
      <x:c r="B394" s="167" t="str">
        <x:v>disrupt</x:v>
      </x:c>
      <x:c r="C394" s="167" t="str">
        <x:v>v.</x:v>
      </x:c>
      <x:c r="D394" s="170" t="str">
        <x:v>порушувати</x:v>
      </x:c>
      <x:c r="E394" s="167" t="str">
        <x:v>No</x:v>
      </x:c>
      <x:c r="F394" s="167"/>
      <x:c r="G394" s="167" t="str">
        <x:v>Core</x:v>
      </x:c>
      <x:c r="H394" s="167" t="str">
        <x:v>General</x:v>
      </x:c>
      <x:c r="I394" s="167" t="str">
        <x:v>Not Started</x:v>
      </x:c>
      <x:c r="J394" s="167" t="n">
        <x:v>0</x:v>
      </x:c>
      <x:c r="K394" s="168"/>
      <x:c r="L394" s="168" t="str">
        <x:f>IF(OR(I394="Mastered",K394=""),"",K394+IF(J394&gt;=5,30,IF(J394=4,14,IF(J394=3,7,IF(J394=2,3,1)))))</x:f>
      </x:c>
      <x:c r="M394" s="171" t="str"/>
      <x:c r="N394" s="171" t="str"/>
      <x:c r="O394" s="171" t="str">
        <x:v>Draft — verify in context</x:v>
      </x:c>
      <x:c r="P394" s="167" t="str">
        <x:v>https://www.oxfordlearnersdictionaries.com/wordlists/oxford3000-5000</x:v>
      </x:c>
    </x:row>
    <x:row r="395" ht="26" customHeight="1">
      <x:c r="A395" s="167" t="n">
        <x:v>394</x:v>
      </x:c>
      <x:c r="B395" s="167" t="str">
        <x:v>disruption</x:v>
      </x:c>
      <x:c r="C395" s="167" t="str">
        <x:v>n.</x:v>
      </x:c>
      <x:c r="D395" s="170" t="str">
        <x:v>порушення</x:v>
      </x:c>
      <x:c r="E395" s="167" t="str">
        <x:v>No</x:v>
      </x:c>
      <x:c r="F395" s="167"/>
      <x:c r="G395" s="167" t="str">
        <x:v>Core</x:v>
      </x:c>
      <x:c r="H395" s="167" t="str">
        <x:v>General</x:v>
      </x:c>
      <x:c r="I395" s="167" t="str">
        <x:v>Not Started</x:v>
      </x:c>
      <x:c r="J395" s="167" t="n">
        <x:v>0</x:v>
      </x:c>
      <x:c r="K395" s="168"/>
      <x:c r="L395" s="168" t="str">
        <x:f>IF(OR(I395="Mastered",K395=""),"",K395+IF(J395&gt;=5,30,IF(J395=4,14,IF(J395=3,7,IF(J395=2,3,1)))))</x:f>
      </x:c>
      <x:c r="M395" s="171" t="str"/>
      <x:c r="N395" s="171" t="str"/>
      <x:c r="O395" s="171" t="str">
        <x:v>Draft — verify in context</x:v>
      </x:c>
      <x:c r="P395" s="167" t="str">
        <x:v>https://www.oxfordlearnersdictionaries.com/wordlists/oxford3000-5000</x:v>
      </x:c>
    </x:row>
    <x:row r="396" ht="26" customHeight="1">
      <x:c r="A396" s="167" t="n">
        <x:v>395</x:v>
      </x:c>
      <x:c r="B396" s="167" t="str">
        <x:v>dissolve</x:v>
      </x:c>
      <x:c r="C396" s="167" t="str">
        <x:v>v.</x:v>
      </x:c>
      <x:c r="D396" s="170" t="str">
        <x:v>розчинити</x:v>
      </x:c>
      <x:c r="E396" s="167" t="str">
        <x:v>No</x:v>
      </x:c>
      <x:c r="F396" s="167"/>
      <x:c r="G396" s="167" t="str">
        <x:v>Core</x:v>
      </x:c>
      <x:c r="H396" s="167" t="str">
        <x:v>General</x:v>
      </x:c>
      <x:c r="I396" s="167" t="str">
        <x:v>Not Started</x:v>
      </x:c>
      <x:c r="J396" s="167" t="n">
        <x:v>0</x:v>
      </x:c>
      <x:c r="K396" s="168"/>
      <x:c r="L396" s="168" t="str">
        <x:f>IF(OR(I396="Mastered",K396=""),"",K396+IF(J396&gt;=5,30,IF(J396=4,14,IF(J396=3,7,IF(J396=2,3,1)))))</x:f>
      </x:c>
      <x:c r="M396" s="171" t="str"/>
      <x:c r="N396" s="171" t="str"/>
      <x:c r="O396" s="171" t="str">
        <x:v>Draft — verify in context</x:v>
      </x:c>
      <x:c r="P396" s="167" t="str">
        <x:v>https://www.oxfordlearnersdictionaries.com/wordlists/oxford3000-5000</x:v>
      </x:c>
    </x:row>
    <x:row r="397" ht="26" customHeight="1">
      <x:c r="A397" s="167" t="n">
        <x:v>396</x:v>
      </x:c>
      <x:c r="B397" s="167" t="str">
        <x:v>distinction</x:v>
      </x:c>
      <x:c r="C397" s="167" t="str">
        <x:v>n.</x:v>
      </x:c>
      <x:c r="D397" s="170" t="str">
        <x:v>відзнака</x:v>
      </x:c>
      <x:c r="E397" s="167" t="str">
        <x:v>Yes</x:v>
      </x:c>
      <x:c r="F397" s="167" t="n">
        <x:v>2</x:v>
      </x:c>
      <x:c r="G397" s="167" t="str">
        <x:v>High</x:v>
      </x:c>
      <x:c r="H397" s="167" t="str">
        <x:v>General</x:v>
      </x:c>
      <x:c r="I397" s="167" t="str">
        <x:v>Not Started</x:v>
      </x:c>
      <x:c r="J397" s="167" t="n">
        <x:v>0</x:v>
      </x:c>
      <x:c r="K397" s="168"/>
      <x:c r="L397" s="168" t="str">
        <x:f>IF(OR(I397="Mastered",K397=""),"",K397+IF(J397&gt;=5,30,IF(J397=4,14,IF(J397=3,7,IF(J397=2,3,1)))))</x:f>
      </x:c>
      <x:c r="M397" s="171" t="str"/>
      <x:c r="N397" s="171" t="str"/>
      <x:c r="O397" s="171" t="str">
        <x:v>Draft — verify in context</x:v>
      </x:c>
      <x:c r="P397" s="167" t="str">
        <x:v>https://www.oxfordlearnersdictionaries.com/wordlists/oxford3000-5000</x:v>
      </x:c>
    </x:row>
    <x:row r="398" ht="26" customHeight="1">
      <x:c r="A398" s="167" t="n">
        <x:v>397</x:v>
      </x:c>
      <x:c r="B398" s="167" t="str">
        <x:v>distinctive</x:v>
      </x:c>
      <x:c r="C398" s="167" t="str">
        <x:v>adj.</x:v>
      </x:c>
      <x:c r="D398" s="170" t="str">
        <x:v>відмітний</x:v>
      </x:c>
      <x:c r="E398" s="167" t="str">
        <x:v>No</x:v>
      </x:c>
      <x:c r="F398" s="167"/>
      <x:c r="G398" s="167" t="str">
        <x:v>Core</x:v>
      </x:c>
      <x:c r="H398" s="167" t="str">
        <x:v>General</x:v>
      </x:c>
      <x:c r="I398" s="167" t="str">
        <x:v>Not Started</x:v>
      </x:c>
      <x:c r="J398" s="167" t="n">
        <x:v>0</x:v>
      </x:c>
      <x:c r="K398" s="168"/>
      <x:c r="L398" s="168" t="str">
        <x:f>IF(OR(I398="Mastered",K398=""),"",K398+IF(J398&gt;=5,30,IF(J398=4,14,IF(J398=3,7,IF(J398=2,3,1)))))</x:f>
      </x:c>
      <x:c r="M398" s="171" t="str"/>
      <x:c r="N398" s="171" t="str"/>
      <x:c r="O398" s="171" t="str">
        <x:v>Draft — verify in context</x:v>
      </x:c>
      <x:c r="P398" s="167" t="str">
        <x:v>https://www.oxfordlearnersdictionaries.com/wordlists/oxford3000-5000</x:v>
      </x:c>
    </x:row>
    <x:row r="399" ht="26" customHeight="1">
      <x:c r="A399" s="167" t="n">
        <x:v>398</x:v>
      </x:c>
      <x:c r="B399" s="167" t="str">
        <x:v>distort</x:v>
      </x:c>
      <x:c r="C399" s="167" t="str">
        <x:v>v.</x:v>
      </x:c>
      <x:c r="D399" s="170" t="str">
        <x:v>спотворювати</x:v>
      </x:c>
      <x:c r="E399" s="167" t="str">
        <x:v>Yes</x:v>
      </x:c>
      <x:c r="F399" s="167" t="n">
        <x:v>9</x:v>
      </x:c>
      <x:c r="G399" s="167" t="str">
        <x:v>High</x:v>
      </x:c>
      <x:c r="H399" s="167" t="str">
        <x:v>General</x:v>
      </x:c>
      <x:c r="I399" s="167" t="str">
        <x:v>Not Started</x:v>
      </x:c>
      <x:c r="J399" s="167" t="n">
        <x:v>0</x:v>
      </x:c>
      <x:c r="K399" s="168"/>
      <x:c r="L399" s="168" t="str">
        <x:f>IF(OR(I399="Mastered",K399=""),"",K399+IF(J399&gt;=5,30,IF(J399=4,14,IF(J399=3,7,IF(J399=2,3,1)))))</x:f>
      </x:c>
      <x:c r="M399" s="171" t="str"/>
      <x:c r="N399" s="171" t="str"/>
      <x:c r="O399" s="171" t="str">
        <x:v>Draft — verify in context</x:v>
      </x:c>
      <x:c r="P399" s="167" t="str">
        <x:v>https://www.oxfordlearnersdictionaries.com/wordlists/oxford3000-5000</x:v>
      </x:c>
    </x:row>
    <x:row r="400" ht="26" customHeight="1">
      <x:c r="A400" s="167" t="n">
        <x:v>399</x:v>
      </x:c>
      <x:c r="B400" s="167" t="str">
        <x:v>distress</x:v>
      </x:c>
      <x:c r="C400" s="167" t="str">
        <x:v>n., v.</x:v>
      </x:c>
      <x:c r="D400" s="170" t="str">
        <x:v>лихо</x:v>
      </x:c>
      <x:c r="E400" s="167" t="str">
        <x:v>No</x:v>
      </x:c>
      <x:c r="F400" s="167"/>
      <x:c r="G400" s="167" t="str">
        <x:v>Core</x:v>
      </x:c>
      <x:c r="H400" s="167" t="str">
        <x:v>General</x:v>
      </x:c>
      <x:c r="I400" s="167" t="str">
        <x:v>Not Started</x:v>
      </x:c>
      <x:c r="J400" s="167" t="n">
        <x:v>0</x:v>
      </x:c>
      <x:c r="K400" s="168"/>
      <x:c r="L400" s="168" t="str">
        <x:f>IF(OR(I400="Mastered",K400=""),"",K400+IF(J400&gt;=5,30,IF(J400=4,14,IF(J400=3,7,IF(J400=2,3,1)))))</x:f>
      </x:c>
      <x:c r="M400" s="171" t="str"/>
      <x:c r="N400" s="171" t="str"/>
      <x:c r="O400" s="171" t="str">
        <x:v>Draft — verify in context</x:v>
      </x:c>
      <x:c r="P400" s="167" t="str">
        <x:v>https://www.oxfordlearnersdictionaries.com/wordlists/oxford3000-5000</x:v>
      </x:c>
    </x:row>
    <x:row r="401" ht="26" customHeight="1">
      <x:c r="A401" s="167" t="n">
        <x:v>400</x:v>
      </x:c>
      <x:c r="B401" s="167" t="str">
        <x:v>disturbing</x:v>
      </x:c>
      <x:c r="C401" s="167" t="str">
        <x:v>adj.</x:v>
      </x:c>
      <x:c r="D401" s="170" t="str">
        <x:v>тривожний</x:v>
      </x:c>
      <x:c r="E401" s="167" t="str">
        <x:v>No</x:v>
      </x:c>
      <x:c r="F401" s="167"/>
      <x:c r="G401" s="167" t="str">
        <x:v>Core</x:v>
      </x:c>
      <x:c r="H401" s="167" t="str">
        <x:v>General</x:v>
      </x:c>
      <x:c r="I401" s="167" t="str">
        <x:v>Not Started</x:v>
      </x:c>
      <x:c r="J401" s="167" t="n">
        <x:v>0</x:v>
      </x:c>
      <x:c r="K401" s="168"/>
      <x:c r="L401" s="168" t="str">
        <x:f>IF(OR(I401="Mastered",K401=""),"",K401+IF(J401&gt;=5,30,IF(J401=4,14,IF(J401=3,7,IF(J401=2,3,1)))))</x:f>
      </x:c>
      <x:c r="M401" s="171" t="str"/>
      <x:c r="N401" s="171" t="str"/>
      <x:c r="O401" s="171" t="str">
        <x:v>Draft — verify in context</x:v>
      </x:c>
      <x:c r="P401" s="167" t="str">
        <x:v>https://www.oxfordlearnersdictionaries.com/wordlists/oxford3000-5000</x:v>
      </x:c>
    </x:row>
    <x:row r="402" ht="26" customHeight="1">
      <x:c r="A402" s="167" t="n">
        <x:v>401</x:v>
      </x:c>
      <x:c r="B402" s="167" t="str">
        <x:v>divert</x:v>
      </x:c>
      <x:c r="C402" s="167" t="str">
        <x:v>v.</x:v>
      </x:c>
      <x:c r="D402" s="170" t="str">
        <x:v>відволікати</x:v>
      </x:c>
      <x:c r="E402" s="167" t="str">
        <x:v>No</x:v>
      </x:c>
      <x:c r="F402" s="167"/>
      <x:c r="G402" s="167" t="str">
        <x:v>Core</x:v>
      </x:c>
      <x:c r="H402" s="167" t="str">
        <x:v>General</x:v>
      </x:c>
      <x:c r="I402" s="167" t="str">
        <x:v>Not Started</x:v>
      </x:c>
      <x:c r="J402" s="167" t="n">
        <x:v>0</x:v>
      </x:c>
      <x:c r="K402" s="168"/>
      <x:c r="L402" s="168" t="str">
        <x:f>IF(OR(I402="Mastered",K402=""),"",K402+IF(J402&gt;=5,30,IF(J402=4,14,IF(J402=3,7,IF(J402=2,3,1)))))</x:f>
      </x:c>
      <x:c r="M402" s="171" t="str"/>
      <x:c r="N402" s="171" t="str"/>
      <x:c r="O402" s="171" t="str">
        <x:v>Draft — verify in context</x:v>
      </x:c>
      <x:c r="P402" s="167" t="str">
        <x:v>https://www.oxfordlearnersdictionaries.com/wordlists/oxford3000-5000</x:v>
      </x:c>
    </x:row>
    <x:row r="403" ht="26" customHeight="1">
      <x:c r="A403" s="167" t="n">
        <x:v>402</x:v>
      </x:c>
      <x:c r="B403" s="167" t="str">
        <x:v>divine</x:v>
      </x:c>
      <x:c r="C403" s="167" t="str">
        <x:v>adj.</x:v>
      </x:c>
      <x:c r="D403" s="170" t="str">
        <x:v>божественний</x:v>
      </x:c>
      <x:c r="E403" s="167" t="str">
        <x:v>No</x:v>
      </x:c>
      <x:c r="F403" s="167"/>
      <x:c r="G403" s="167" t="str">
        <x:v>Core</x:v>
      </x:c>
      <x:c r="H403" s="167" t="str">
        <x:v>General</x:v>
      </x:c>
      <x:c r="I403" s="167" t="str">
        <x:v>Not Started</x:v>
      </x:c>
      <x:c r="J403" s="167" t="n">
        <x:v>0</x:v>
      </x:c>
      <x:c r="K403" s="168"/>
      <x:c r="L403" s="168" t="str">
        <x:f>IF(OR(I403="Mastered",K403=""),"",K403+IF(J403&gt;=5,30,IF(J403=4,14,IF(J403=3,7,IF(J403=2,3,1)))))</x:f>
      </x:c>
      <x:c r="M403" s="171" t="str"/>
      <x:c r="N403" s="171" t="str"/>
      <x:c r="O403" s="171" t="str">
        <x:v>Draft — verify in context</x:v>
      </x:c>
      <x:c r="P403" s="167" t="str">
        <x:v>https://www.oxfordlearnersdictionaries.com/wordlists/oxford3000-5000</x:v>
      </x:c>
    </x:row>
    <x:row r="404" ht="26" customHeight="1">
      <x:c r="A404" s="167" t="n">
        <x:v>403</x:v>
      </x:c>
      <x:c r="B404" s="167" t="str">
        <x:v>doctrine</x:v>
      </x:c>
      <x:c r="C404" s="167" t="str">
        <x:v>n.</x:v>
      </x:c>
      <x:c r="D404" s="170" t="str">
        <x:v>доктрина</x:v>
      </x:c>
      <x:c r="E404" s="167" t="str">
        <x:v>No</x:v>
      </x:c>
      <x:c r="F404" s="167"/>
      <x:c r="G404" s="167" t="str">
        <x:v>Core</x:v>
      </x:c>
      <x:c r="H404" s="167" t="str">
        <x:v>General</x:v>
      </x:c>
      <x:c r="I404" s="167" t="str">
        <x:v>Not Started</x:v>
      </x:c>
      <x:c r="J404" s="167" t="n">
        <x:v>0</x:v>
      </x:c>
      <x:c r="K404" s="168"/>
      <x:c r="L404" s="168" t="str">
        <x:f>IF(OR(I404="Mastered",K404=""),"",K404+IF(J404&gt;=5,30,IF(J404=4,14,IF(J404=3,7,IF(J404=2,3,1)))))</x:f>
      </x:c>
      <x:c r="M404" s="171" t="str"/>
      <x:c r="N404" s="171" t="str"/>
      <x:c r="O404" s="171" t="str">
        <x:v>Draft — verify in context</x:v>
      </x:c>
      <x:c r="P404" s="167" t="str">
        <x:v>https://www.oxfordlearnersdictionaries.com/wordlists/oxford3000-5000</x:v>
      </x:c>
    </x:row>
    <x:row r="405" ht="26" customHeight="1">
      <x:c r="A405" s="167" t="n">
        <x:v>404</x:v>
      </x:c>
      <x:c r="B405" s="167" t="str">
        <x:v>documentation</x:v>
      </x:c>
      <x:c r="C405" s="167" t="str">
        <x:v>n.</x:v>
      </x:c>
      <x:c r="D405" s="170" t="str">
        <x:v>документація</x:v>
      </x:c>
      <x:c r="E405" s="167" t="str">
        <x:v>No</x:v>
      </x:c>
      <x:c r="F405" s="167"/>
      <x:c r="G405" s="167" t="str">
        <x:v>Core</x:v>
      </x:c>
      <x:c r="H405" s="167" t="str">
        <x:v>General</x:v>
      </x:c>
      <x:c r="I405" s="167" t="str">
        <x:v>Not Started</x:v>
      </x:c>
      <x:c r="J405" s="167" t="n">
        <x:v>0</x:v>
      </x:c>
      <x:c r="K405" s="168"/>
      <x:c r="L405" s="168" t="str">
        <x:f>IF(OR(I405="Mastered",K405=""),"",K405+IF(J405&gt;=5,30,IF(J405=4,14,IF(J405=3,7,IF(J405=2,3,1)))))</x:f>
      </x:c>
      <x:c r="M405" s="171" t="str"/>
      <x:c r="N405" s="171" t="str"/>
      <x:c r="O405" s="171" t="str">
        <x:v>Draft — verify in context</x:v>
      </x:c>
      <x:c r="P405" s="167" t="str">
        <x:v>https://www.oxfordlearnersdictionaries.com/wordlists/oxford3000-5000</x:v>
      </x:c>
    </x:row>
    <x:row r="406" ht="26" customHeight="1">
      <x:c r="A406" s="167" t="n">
        <x:v>405</x:v>
      </x:c>
      <x:c r="B406" s="167" t="str">
        <x:v>domain</x:v>
      </x:c>
      <x:c r="C406" s="167" t="str">
        <x:v>n.</x:v>
      </x:c>
      <x:c r="D406" s="170" t="str">
        <x:v>домен</x:v>
      </x:c>
      <x:c r="E406" s="167" t="str">
        <x:v>Yes</x:v>
      </x:c>
      <x:c r="F406" s="167" t="n">
        <x:v>6</x:v>
      </x:c>
      <x:c r="G406" s="167" t="str">
        <x:v>High</x:v>
      </x:c>
      <x:c r="H406" s="167" t="str">
        <x:v>General</x:v>
      </x:c>
      <x:c r="I406" s="167" t="str">
        <x:v>Not Started</x:v>
      </x:c>
      <x:c r="J406" s="167" t="n">
        <x:v>0</x:v>
      </x:c>
      <x:c r="K406" s="168"/>
      <x:c r="L406" s="168" t="str">
        <x:f>IF(OR(I406="Mastered",K406=""),"",K406+IF(J406&gt;=5,30,IF(J406=4,14,IF(J406=3,7,IF(J406=2,3,1)))))</x:f>
      </x:c>
      <x:c r="M406" s="171" t="str"/>
      <x:c r="N406" s="171" t="str"/>
      <x:c r="O406" s="171" t="str">
        <x:v>Draft — verify in context</x:v>
      </x:c>
      <x:c r="P406" s="167" t="str">
        <x:v>https://www.oxfordlearnersdictionaries.com/wordlists/oxford3000-5000</x:v>
      </x:c>
    </x:row>
    <x:row r="407" ht="26" customHeight="1">
      <x:c r="A407" s="167" t="n">
        <x:v>406</x:v>
      </x:c>
      <x:c r="B407" s="167" t="str">
        <x:v>dominance</x:v>
      </x:c>
      <x:c r="C407" s="167" t="str">
        <x:v>n.</x:v>
      </x:c>
      <x:c r="D407" s="170" t="str">
        <x:v>панування</x:v>
      </x:c>
      <x:c r="E407" s="167" t="str">
        <x:v>No</x:v>
      </x:c>
      <x:c r="F407" s="167"/>
      <x:c r="G407" s="167" t="str">
        <x:v>Core</x:v>
      </x:c>
      <x:c r="H407" s="167" t="str">
        <x:v>General</x:v>
      </x:c>
      <x:c r="I407" s="167" t="str">
        <x:v>Not Started</x:v>
      </x:c>
      <x:c r="J407" s="167" t="n">
        <x:v>0</x:v>
      </x:c>
      <x:c r="K407" s="168"/>
      <x:c r="L407" s="168" t="str">
        <x:f>IF(OR(I407="Mastered",K407=""),"",K407+IF(J407&gt;=5,30,IF(J407=4,14,IF(J407=3,7,IF(J407=2,3,1)))))</x:f>
      </x:c>
      <x:c r="M407" s="171" t="str"/>
      <x:c r="N407" s="171" t="str"/>
      <x:c r="O407" s="171" t="str">
        <x:v>Draft — verify in context</x:v>
      </x:c>
      <x:c r="P407" s="167" t="str">
        <x:v>https://www.oxfordlearnersdictionaries.com/wordlists/oxford3000-5000</x:v>
      </x:c>
    </x:row>
    <x:row r="408" ht="26" customHeight="1">
      <x:c r="A408" s="167" t="n">
        <x:v>407</x:v>
      </x:c>
      <x:c r="B408" s="167" t="str">
        <x:v>donor</x:v>
      </x:c>
      <x:c r="C408" s="167" t="str">
        <x:v>n.</x:v>
      </x:c>
      <x:c r="D408" s="170" t="str">
        <x:v>донор</x:v>
      </x:c>
      <x:c r="E408" s="167" t="str">
        <x:v>No</x:v>
      </x:c>
      <x:c r="F408" s="167"/>
      <x:c r="G408" s="167" t="str">
        <x:v>Core</x:v>
      </x:c>
      <x:c r="H408" s="167" t="str">
        <x:v>General</x:v>
      </x:c>
      <x:c r="I408" s="167" t="str">
        <x:v>Not Started</x:v>
      </x:c>
      <x:c r="J408" s="167" t="n">
        <x:v>0</x:v>
      </x:c>
      <x:c r="K408" s="168"/>
      <x:c r="L408" s="168" t="str">
        <x:f>IF(OR(I408="Mastered",K408=""),"",K408+IF(J408&gt;=5,30,IF(J408=4,14,IF(J408=3,7,IF(J408=2,3,1)))))</x:f>
      </x:c>
      <x:c r="M408" s="171" t="str"/>
      <x:c r="N408" s="171" t="str"/>
      <x:c r="O408" s="171" t="str">
        <x:v>Draft — verify in context</x:v>
      </x:c>
      <x:c r="P408" s="167" t="str">
        <x:v>https://www.oxfordlearnersdictionaries.com/wordlists/oxford3000-5000</x:v>
      </x:c>
    </x:row>
    <x:row r="409" ht="26" customHeight="1">
      <x:c r="A409" s="167" t="n">
        <x:v>408</x:v>
      </x:c>
      <x:c r="B409" s="167" t="str">
        <x:v>dose</x:v>
      </x:c>
      <x:c r="C409" s="167" t="str">
        <x:v>n.</x:v>
      </x:c>
      <x:c r="D409" s="170" t="str">
        <x:v>доза</x:v>
      </x:c>
      <x:c r="E409" s="167" t="str">
        <x:v>No</x:v>
      </x:c>
      <x:c r="F409" s="167"/>
      <x:c r="G409" s="167" t="str">
        <x:v>High</x:v>
      </x:c>
      <x:c r="H409" s="167" t="str">
        <x:v>Health</x:v>
      </x:c>
      <x:c r="I409" s="167" t="str">
        <x:v>Not Started</x:v>
      </x:c>
      <x:c r="J409" s="167" t="n">
        <x:v>0</x:v>
      </x:c>
      <x:c r="K409" s="168"/>
      <x:c r="L409" s="168" t="str">
        <x:f>IF(OR(I409="Mastered",K409=""),"",K409+IF(J409&gt;=5,30,IF(J409=4,14,IF(J409=3,7,IF(J409=2,3,1)))))</x:f>
      </x:c>
      <x:c r="M409" s="171" t="str"/>
      <x:c r="N409" s="171" t="str"/>
      <x:c r="O409" s="171" t="str">
        <x:v>Draft — verify in context</x:v>
      </x:c>
      <x:c r="P409" s="167" t="str">
        <x:v>https://www.oxfordlearnersdictionaries.com/wordlists/oxford3000-5000</x:v>
      </x:c>
    </x:row>
    <x:row r="410" ht="26" customHeight="1">
      <x:c r="A410" s="167" t="n">
        <x:v>409</x:v>
      </x:c>
      <x:c r="B410" s="167" t="str">
        <x:v>drain</x:v>
      </x:c>
      <x:c r="C410" s="167" t="str">
        <x:v>v.</x:v>
      </x:c>
      <x:c r="D410" s="170" t="str">
        <x:v>зливати</x:v>
      </x:c>
      <x:c r="E410" s="167" t="str">
        <x:v>No</x:v>
      </x:c>
      <x:c r="F410" s="167"/>
      <x:c r="G410" s="167" t="str">
        <x:v>Core</x:v>
      </x:c>
      <x:c r="H410" s="167" t="str">
        <x:v>General</x:v>
      </x:c>
      <x:c r="I410" s="167" t="str">
        <x:v>Not Started</x:v>
      </x:c>
      <x:c r="J410" s="167" t="n">
        <x:v>0</x:v>
      </x:c>
      <x:c r="K410" s="168"/>
      <x:c r="L410" s="168" t="str">
        <x:f>IF(OR(I410="Mastered",K410=""),"",K410+IF(J410&gt;=5,30,IF(J410=4,14,IF(J410=3,7,IF(J410=2,3,1)))))</x:f>
      </x:c>
      <x:c r="M410" s="171" t="str"/>
      <x:c r="N410" s="171" t="str"/>
      <x:c r="O410" s="171" t="str">
        <x:v>Draft — verify in context</x:v>
      </x:c>
      <x:c r="P410" s="167" t="str">
        <x:v>https://www.oxfordlearnersdictionaries.com/wordlists/oxford3000-5000</x:v>
      </x:c>
    </x:row>
    <x:row r="411" ht="26" customHeight="1">
      <x:c r="A411" s="167" t="n">
        <x:v>410</x:v>
      </x:c>
      <x:c r="B411" s="167" t="str">
        <x:v>drift</x:v>
      </x:c>
      <x:c r="C411" s="167" t="str">
        <x:v>v.</x:v>
      </x:c>
      <x:c r="D411" s="170" t="str">
        <x:v>дрейф</x:v>
      </x:c>
      <x:c r="E411" s="167" t="str">
        <x:v>No</x:v>
      </x:c>
      <x:c r="F411" s="167"/>
      <x:c r="G411" s="167" t="str">
        <x:v>Core</x:v>
      </x:c>
      <x:c r="H411" s="167" t="str">
        <x:v>General</x:v>
      </x:c>
      <x:c r="I411" s="167" t="str">
        <x:v>Not Started</x:v>
      </x:c>
      <x:c r="J411" s="167" t="n">
        <x:v>0</x:v>
      </x:c>
      <x:c r="K411" s="168"/>
      <x:c r="L411" s="168" t="str">
        <x:f>IF(OR(I411="Mastered",K411=""),"",K411+IF(J411&gt;=5,30,IF(J411=4,14,IF(J411=3,7,IF(J411=2,3,1)))))</x:f>
      </x:c>
      <x:c r="M411" s="171" t="str"/>
      <x:c r="N411" s="171" t="str"/>
      <x:c r="O411" s="171" t="str">
        <x:v>Draft — verify in context</x:v>
      </x:c>
      <x:c r="P411" s="167" t="str">
        <x:v>https://www.oxfordlearnersdictionaries.com/wordlists/oxford3000-5000</x:v>
      </x:c>
    </x:row>
    <x:row r="412" ht="26" customHeight="1">
      <x:c r="A412" s="167" t="n">
        <x:v>411</x:v>
      </x:c>
      <x:c r="B412" s="167" t="str">
        <x:v>driving</x:v>
      </x:c>
      <x:c r="C412" s="167" t="str">
        <x:v>adj.</x:v>
      </x:c>
      <x:c r="D412" s="170" t="str">
        <x:v>водіння</x:v>
      </x:c>
      <x:c r="E412" s="167" t="str">
        <x:v>No</x:v>
      </x:c>
      <x:c r="F412" s="167"/>
      <x:c r="G412" s="167" t="str">
        <x:v>Core</x:v>
      </x:c>
      <x:c r="H412" s="167" t="str">
        <x:v>General</x:v>
      </x:c>
      <x:c r="I412" s="167" t="str">
        <x:v>Not Started</x:v>
      </x:c>
      <x:c r="J412" s="167" t="n">
        <x:v>0</x:v>
      </x:c>
      <x:c r="K412" s="168"/>
      <x:c r="L412" s="168" t="str">
        <x:f>IF(OR(I412="Mastered",K412=""),"",K412+IF(J412&gt;=5,30,IF(J412=4,14,IF(J412=3,7,IF(J412=2,3,1)))))</x:f>
      </x:c>
      <x:c r="M412" s="171" t="str"/>
      <x:c r="N412" s="171" t="str"/>
      <x:c r="O412" s="171" t="str">
        <x:v>Draft — verify in context</x:v>
      </x:c>
      <x:c r="P412" s="167" t="str">
        <x:v>https://www.oxfordlearnersdictionaries.com/wordlists/oxford3000-5000</x:v>
      </x:c>
    </x:row>
    <x:row r="413" ht="26" customHeight="1">
      <x:c r="A413" s="167" t="n">
        <x:v>412</x:v>
      </x:c>
      <x:c r="B413" s="167" t="str">
        <x:v>drown</x:v>
      </x:c>
      <x:c r="C413" s="167" t="str">
        <x:v>v.</x:v>
      </x:c>
      <x:c r="D413" s="170" t="str">
        <x:v>топити</x:v>
      </x:c>
      <x:c r="E413" s="167" t="str">
        <x:v>No</x:v>
      </x:c>
      <x:c r="F413" s="167"/>
      <x:c r="G413" s="167" t="str">
        <x:v>Core</x:v>
      </x:c>
      <x:c r="H413" s="167" t="str">
        <x:v>General</x:v>
      </x:c>
      <x:c r="I413" s="167" t="str">
        <x:v>Not Started</x:v>
      </x:c>
      <x:c r="J413" s="167" t="n">
        <x:v>0</x:v>
      </x:c>
      <x:c r="K413" s="168"/>
      <x:c r="L413" s="168" t="str">
        <x:f>IF(OR(I413="Mastered",K413=""),"",K413+IF(J413&gt;=5,30,IF(J413=4,14,IF(J413=3,7,IF(J413=2,3,1)))))</x:f>
      </x:c>
      <x:c r="M413" s="171" t="str"/>
      <x:c r="N413" s="171" t="str"/>
      <x:c r="O413" s="171" t="str">
        <x:v>Draft — verify in context</x:v>
      </x:c>
      <x:c r="P413" s="167" t="str">
        <x:v>https://www.oxfordlearnersdictionaries.com/wordlists/oxford3000-5000</x:v>
      </x:c>
    </x:row>
    <x:row r="414" ht="26" customHeight="1">
      <x:c r="A414" s="167" t="n">
        <x:v>413</x:v>
      </x:c>
      <x:c r="B414" s="167" t="str">
        <x:v>dual</x:v>
      </x:c>
      <x:c r="C414" s="167" t="str">
        <x:v>adj.</x:v>
      </x:c>
      <x:c r="D414" s="170" t="str">
        <x:v>подвійний</x:v>
      </x:c>
      <x:c r="E414" s="167" t="str">
        <x:v>No</x:v>
      </x:c>
      <x:c r="F414" s="167"/>
      <x:c r="G414" s="167" t="str">
        <x:v>Core</x:v>
      </x:c>
      <x:c r="H414" s="167" t="str">
        <x:v>General</x:v>
      </x:c>
      <x:c r="I414" s="167" t="str">
        <x:v>Not Started</x:v>
      </x:c>
      <x:c r="J414" s="167" t="n">
        <x:v>0</x:v>
      </x:c>
      <x:c r="K414" s="168"/>
      <x:c r="L414" s="168" t="str">
        <x:f>IF(OR(I414="Mastered",K414=""),"",K414+IF(J414&gt;=5,30,IF(J414=4,14,IF(J414=3,7,IF(J414=2,3,1)))))</x:f>
      </x:c>
      <x:c r="M414" s="171" t="str"/>
      <x:c r="N414" s="171" t="str"/>
      <x:c r="O414" s="171" t="str">
        <x:v>Draft — verify in context</x:v>
      </x:c>
      <x:c r="P414" s="167" t="str">
        <x:v>https://www.oxfordlearnersdictionaries.com/wordlists/oxford3000-5000</x:v>
      </x:c>
    </x:row>
    <x:row r="415" ht="26" customHeight="1">
      <x:c r="A415" s="167" t="n">
        <x:v>414</x:v>
      </x:c>
      <x:c r="B415" s="167" t="str">
        <x:v>dub</x:v>
      </x:c>
      <x:c r="C415" s="167" t="str">
        <x:v>v.</x:v>
      </x:c>
      <x:c r="D415" s="170" t="str">
        <x:v>дублювати</x:v>
      </x:c>
      <x:c r="E415" s="167" t="str">
        <x:v>No</x:v>
      </x:c>
      <x:c r="F415" s="167"/>
      <x:c r="G415" s="167" t="str">
        <x:v>Core</x:v>
      </x:c>
      <x:c r="H415" s="167" t="str">
        <x:v>General</x:v>
      </x:c>
      <x:c r="I415" s="167" t="str">
        <x:v>Not Started</x:v>
      </x:c>
      <x:c r="J415" s="167" t="n">
        <x:v>0</x:v>
      </x:c>
      <x:c r="K415" s="168"/>
      <x:c r="L415" s="168" t="str">
        <x:f>IF(OR(I415="Mastered",K415=""),"",K415+IF(J415&gt;=5,30,IF(J415=4,14,IF(J415=3,7,IF(J415=2,3,1)))))</x:f>
      </x:c>
      <x:c r="M415" s="171" t="str"/>
      <x:c r="N415" s="171" t="str"/>
      <x:c r="O415" s="171" t="str">
        <x:v>Draft — verify in context</x:v>
      </x:c>
      <x:c r="P415" s="167" t="str">
        <x:v>https://www.oxfordlearnersdictionaries.com/wordlists/oxford3000-5000</x:v>
      </x:c>
    </x:row>
    <x:row r="416" ht="26" customHeight="1">
      <x:c r="A416" s="167" t="n">
        <x:v>415</x:v>
      </x:c>
      <x:c r="B416" s="167" t="str">
        <x:v>dumb</x:v>
      </x:c>
      <x:c r="C416" s="167" t="str">
        <x:v>adj.</x:v>
      </x:c>
      <x:c r="D416" s="170" t="str">
        <x:v>німий</x:v>
      </x:c>
      <x:c r="E416" s="167" t="str">
        <x:v>No</x:v>
      </x:c>
      <x:c r="F416" s="167"/>
      <x:c r="G416" s="167" t="str">
        <x:v>Core</x:v>
      </x:c>
      <x:c r="H416" s="167" t="str">
        <x:v>General</x:v>
      </x:c>
      <x:c r="I416" s="167" t="str">
        <x:v>Not Started</x:v>
      </x:c>
      <x:c r="J416" s="167" t="n">
        <x:v>0</x:v>
      </x:c>
      <x:c r="K416" s="168"/>
      <x:c r="L416" s="168" t="str">
        <x:f>IF(OR(I416="Mastered",K416=""),"",K416+IF(J416&gt;=5,30,IF(J416=4,14,IF(J416=3,7,IF(J416=2,3,1)))))</x:f>
      </x:c>
      <x:c r="M416" s="171" t="str"/>
      <x:c r="N416" s="171" t="str"/>
      <x:c r="O416" s="171" t="str">
        <x:v>Draft — verify in context</x:v>
      </x:c>
      <x:c r="P416" s="167" t="str">
        <x:v>https://www.oxfordlearnersdictionaries.com/wordlists/oxford3000-5000</x:v>
      </x:c>
    </x:row>
    <x:row r="417" ht="26" customHeight="1">
      <x:c r="A417" s="167" t="n">
        <x:v>416</x:v>
      </x:c>
      <x:c r="B417" s="167" t="str">
        <x:v>duo</x:v>
      </x:c>
      <x:c r="C417" s="167" t="str">
        <x:v>n.</x:v>
      </x:c>
      <x:c r="D417" s="170" t="str">
        <x:v>дует</x:v>
      </x:c>
      <x:c r="E417" s="167" t="str">
        <x:v>No</x:v>
      </x:c>
      <x:c r="F417" s="167"/>
      <x:c r="G417" s="167" t="str">
        <x:v>Core</x:v>
      </x:c>
      <x:c r="H417" s="167" t="str">
        <x:v>General</x:v>
      </x:c>
      <x:c r="I417" s="167" t="str">
        <x:v>Not Started</x:v>
      </x:c>
      <x:c r="J417" s="167" t="n">
        <x:v>0</x:v>
      </x:c>
      <x:c r="K417" s="168"/>
      <x:c r="L417" s="168" t="str">
        <x:f>IF(OR(I417="Mastered",K417=""),"",K417+IF(J417&gt;=5,30,IF(J417=4,14,IF(J417=3,7,IF(J417=2,3,1)))))</x:f>
      </x:c>
      <x:c r="M417" s="171" t="str"/>
      <x:c r="N417" s="171" t="str"/>
      <x:c r="O417" s="171" t="str">
        <x:v>Draft — verify in context</x:v>
      </x:c>
      <x:c r="P417" s="167" t="str">
        <x:v>https://www.oxfordlearnersdictionaries.com/wordlists/oxford3000-5000</x:v>
      </x:c>
    </x:row>
    <x:row r="418" ht="26" customHeight="1">
      <x:c r="A418" s="167" t="n">
        <x:v>417</x:v>
      </x:c>
      <x:c r="B418" s="167" t="str">
        <x:v>dynamic</x:v>
      </x:c>
      <x:c r="C418" s="167" t="str">
        <x:v>n.</x:v>
      </x:c>
      <x:c r="D418" s="170" t="str">
        <x:v>динамічний</x:v>
      </x:c>
      <x:c r="E418" s="167" t="str">
        <x:v>Yes</x:v>
      </x:c>
      <x:c r="F418" s="167" t="n">
        <x:v>7</x:v>
      </x:c>
      <x:c r="G418" s="167" t="str">
        <x:v>High</x:v>
      </x:c>
      <x:c r="H418" s="167" t="str">
        <x:v>General</x:v>
      </x:c>
      <x:c r="I418" s="167" t="str">
        <x:v>Not Started</x:v>
      </x:c>
      <x:c r="J418" s="167" t="n">
        <x:v>0</x:v>
      </x:c>
      <x:c r="K418" s="168"/>
      <x:c r="L418" s="168" t="str">
        <x:f>IF(OR(I418="Mastered",K418=""),"",K418+IF(J418&gt;=5,30,IF(J418=4,14,IF(J418=3,7,IF(J418=2,3,1)))))</x:f>
      </x:c>
      <x:c r="M418" s="171" t="str"/>
      <x:c r="N418" s="171" t="str"/>
      <x:c r="O418" s="171" t="str">
        <x:v>Draft — verify in context</x:v>
      </x:c>
      <x:c r="P418" s="167" t="str">
        <x:v>https://www.oxfordlearnersdictionaries.com/wordlists/oxford3000-5000</x:v>
      </x:c>
    </x:row>
    <x:row r="419" ht="26" customHeight="1">
      <x:c r="A419" s="167" t="n">
        <x:v>418</x:v>
      </x:c>
      <x:c r="B419" s="167" t="str">
        <x:v>eager</x:v>
      </x:c>
      <x:c r="C419" s="167" t="str">
        <x:v>adj.</x:v>
      </x:c>
      <x:c r="D419" s="170" t="str">
        <x:v>нетерплячий</x:v>
      </x:c>
      <x:c r="E419" s="167" t="str">
        <x:v>No</x:v>
      </x:c>
      <x:c r="F419" s="167"/>
      <x:c r="G419" s="167" t="str">
        <x:v>Core</x:v>
      </x:c>
      <x:c r="H419" s="167" t="str">
        <x:v>General</x:v>
      </x:c>
      <x:c r="I419" s="167" t="str">
        <x:v>Not Started</x:v>
      </x:c>
      <x:c r="J419" s="167" t="n">
        <x:v>0</x:v>
      </x:c>
      <x:c r="K419" s="168"/>
      <x:c r="L419" s="168" t="str">
        <x:f>IF(OR(I419="Mastered",K419=""),"",K419+IF(J419&gt;=5,30,IF(J419=4,14,IF(J419=3,7,IF(J419=2,3,1)))))</x:f>
      </x:c>
      <x:c r="M419" s="171" t="str"/>
      <x:c r="N419" s="171" t="str"/>
      <x:c r="O419" s="171" t="str">
        <x:v>Draft — verify in context</x:v>
      </x:c>
      <x:c r="P419" s="167" t="str">
        <x:v>https://www.oxfordlearnersdictionaries.com/wordlists/oxford3000-5000</x:v>
      </x:c>
    </x:row>
    <x:row r="420" ht="26" customHeight="1">
      <x:c r="A420" s="167" t="n">
        <x:v>419</x:v>
      </x:c>
      <x:c r="B420" s="167" t="str">
        <x:v>earnings</x:v>
      </x:c>
      <x:c r="C420" s="167" t="str">
        <x:v>n.</x:v>
      </x:c>
      <x:c r="D420" s="170" t="str">
        <x:v>заробіток</x:v>
      </x:c>
      <x:c r="E420" s="167" t="str">
        <x:v>No</x:v>
      </x:c>
      <x:c r="F420" s="167"/>
      <x:c r="G420" s="167" t="str">
        <x:v>High</x:v>
      </x:c>
      <x:c r="H420" s="167" t="str">
        <x:v>Economy &amp; work</x:v>
      </x:c>
      <x:c r="I420" s="167" t="str">
        <x:v>Not Started</x:v>
      </x:c>
      <x:c r="J420" s="167" t="n">
        <x:v>0</x:v>
      </x:c>
      <x:c r="K420" s="168"/>
      <x:c r="L420" s="168" t="str">
        <x:f>IF(OR(I420="Mastered",K420=""),"",K420+IF(J420&gt;=5,30,IF(J420=4,14,IF(J420=3,7,IF(J420=2,3,1)))))</x:f>
      </x:c>
      <x:c r="M420" s="171" t="str"/>
      <x:c r="N420" s="171" t="str"/>
      <x:c r="O420" s="171" t="str">
        <x:v>Draft — verify in context</x:v>
      </x:c>
      <x:c r="P420" s="167" t="str">
        <x:v>https://www.oxfordlearnersdictionaries.com/wordlists/oxford3000-5000</x:v>
      </x:c>
    </x:row>
    <x:row r="421" ht="26" customHeight="1">
      <x:c r="A421" s="167" t="n">
        <x:v>420</x:v>
      </x:c>
      <x:c r="B421" s="167" t="str">
        <x:v>ease</x:v>
      </x:c>
      <x:c r="C421" s="167" t="str">
        <x:v>n., v.</x:v>
      </x:c>
      <x:c r="D421" s="170" t="str">
        <x:v>легкість</x:v>
      </x:c>
      <x:c r="E421" s="167" t="str">
        <x:v>No</x:v>
      </x:c>
      <x:c r="F421" s="167"/>
      <x:c r="G421" s="167" t="str">
        <x:v>Core</x:v>
      </x:c>
      <x:c r="H421" s="167" t="str">
        <x:v>General</x:v>
      </x:c>
      <x:c r="I421" s="167" t="str">
        <x:v>Not Started</x:v>
      </x:c>
      <x:c r="J421" s="167" t="n">
        <x:v>0</x:v>
      </x:c>
      <x:c r="K421" s="168"/>
      <x:c r="L421" s="168" t="str">
        <x:f>IF(OR(I421="Mastered",K421=""),"",K421+IF(J421&gt;=5,30,IF(J421=4,14,IF(J421=3,7,IF(J421=2,3,1)))))</x:f>
      </x:c>
      <x:c r="M421" s="171" t="str"/>
      <x:c r="N421" s="171" t="str"/>
      <x:c r="O421" s="171" t="str">
        <x:v>Draft — verify in context</x:v>
      </x:c>
      <x:c r="P421" s="167" t="str">
        <x:v>https://www.oxfordlearnersdictionaries.com/wordlists/oxford3000-5000</x:v>
      </x:c>
    </x:row>
    <x:row r="422" ht="26" customHeight="1">
      <x:c r="A422" s="167" t="n">
        <x:v>421</x:v>
      </x:c>
      <x:c r="B422" s="167" t="str">
        <x:v>echo</x:v>
      </x:c>
      <x:c r="C422" s="167" t="str">
        <x:v>v., n.</x:v>
      </x:c>
      <x:c r="D422" s="170" t="str">
        <x:v>луна; відлунювати</x:v>
      </x:c>
      <x:c r="E422" s="167" t="str">
        <x:v>No</x:v>
      </x:c>
      <x:c r="F422" s="167"/>
      <x:c r="G422" s="167" t="str">
        <x:v>Core</x:v>
      </x:c>
      <x:c r="H422" s="167" t="str">
        <x:v>General</x:v>
      </x:c>
      <x:c r="I422" s="167" t="str">
        <x:v>Not Started</x:v>
      </x:c>
      <x:c r="J422" s="167" t="n">
        <x:v>0</x:v>
      </x:c>
      <x:c r="K422" s="168"/>
      <x:c r="L422" s="168" t="str">
        <x:f>IF(OR(I422="Mastered",K422=""),"",K422+IF(J422&gt;=5,30,IF(J422=4,14,IF(J422=3,7,IF(J422=2,3,1)))))</x:f>
      </x:c>
      <x:c r="M422" s="171" t="str"/>
      <x:c r="N422" s="171" t="str"/>
      <x:c r="O422" s="171" t="str">
        <x:v>Draft — verify in context</x:v>
      </x:c>
      <x:c r="P422" s="167" t="str">
        <x:v>https://www.oxfordlearnersdictionaries.com/wordlists/oxford3000-5000</x:v>
      </x:c>
    </x:row>
    <x:row r="423" ht="26" customHeight="1">
      <x:c r="A423" s="167" t="n">
        <x:v>422</x:v>
      </x:c>
      <x:c r="B423" s="167" t="str">
        <x:v>ecological</x:v>
      </x:c>
      <x:c r="C423" s="167" t="str">
        <x:v>adj.</x:v>
      </x:c>
      <x:c r="D423" s="170" t="str">
        <x:v>екологічний</x:v>
      </x:c>
      <x:c r="E423" s="167" t="str">
        <x:v>No</x:v>
      </x:c>
      <x:c r="F423" s="167"/>
      <x:c r="G423" s="167" t="str">
        <x:v>High</x:v>
      </x:c>
      <x:c r="H423" s="167" t="str">
        <x:v>Environment</x:v>
      </x:c>
      <x:c r="I423" s="167" t="str">
        <x:v>Not Started</x:v>
      </x:c>
      <x:c r="J423" s="167" t="n">
        <x:v>0</x:v>
      </x:c>
      <x:c r="K423" s="168"/>
      <x:c r="L423" s="168" t="str">
        <x:f>IF(OR(I423="Mastered",K423=""),"",K423+IF(J423&gt;=5,30,IF(J423=4,14,IF(J423=3,7,IF(J423=2,3,1)))))</x:f>
      </x:c>
      <x:c r="M423" s="171" t="str"/>
      <x:c r="N423" s="171" t="str"/>
      <x:c r="O423" s="171" t="str">
        <x:v>Draft — verify in context</x:v>
      </x:c>
      <x:c r="P423" s="167" t="str">
        <x:v>https://www.oxfordlearnersdictionaries.com/wordlists/oxford3000-5000</x:v>
      </x:c>
    </x:row>
    <x:row r="424" ht="26" customHeight="1">
      <x:c r="A424" s="167" t="n">
        <x:v>423</x:v>
      </x:c>
      <x:c r="B424" s="167" t="str">
        <x:v>educator</x:v>
      </x:c>
      <x:c r="C424" s="167" t="str">
        <x:v>n.</x:v>
      </x:c>
      <x:c r="D424" s="170" t="str">
        <x:v>вихователь</x:v>
      </x:c>
      <x:c r="E424" s="167" t="str">
        <x:v>No</x:v>
      </x:c>
      <x:c r="F424" s="167"/>
      <x:c r="G424" s="167" t="str">
        <x:v>High</x:v>
      </x:c>
      <x:c r="H424" s="167" t="str">
        <x:v>Education</x:v>
      </x:c>
      <x:c r="I424" s="167" t="str">
        <x:v>Not Started</x:v>
      </x:c>
      <x:c r="J424" s="167" t="n">
        <x:v>0</x:v>
      </x:c>
      <x:c r="K424" s="168"/>
      <x:c r="L424" s="168" t="str">
        <x:f>IF(OR(I424="Mastered",K424=""),"",K424+IF(J424&gt;=5,30,IF(J424=4,14,IF(J424=3,7,IF(J424=2,3,1)))))</x:f>
      </x:c>
      <x:c r="M424" s="171" t="str"/>
      <x:c r="N424" s="171" t="str"/>
      <x:c r="O424" s="171" t="str">
        <x:v>Draft — verify in context</x:v>
      </x:c>
      <x:c r="P424" s="167" t="str">
        <x:v>https://www.oxfordlearnersdictionaries.com/wordlists/oxford3000-5000</x:v>
      </x:c>
    </x:row>
    <x:row r="425" ht="26" customHeight="1">
      <x:c r="A425" s="167" t="n">
        <x:v>424</x:v>
      </x:c>
      <x:c r="B425" s="167" t="str">
        <x:v>effectiveness</x:v>
      </x:c>
      <x:c r="C425" s="167" t="str">
        <x:v>n.</x:v>
      </x:c>
      <x:c r="D425" s="170" t="str">
        <x:v>ефективність</x:v>
      </x:c>
      <x:c r="E425" s="167" t="str">
        <x:v>No</x:v>
      </x:c>
      <x:c r="F425" s="167"/>
      <x:c r="G425" s="167" t="str">
        <x:v>Core</x:v>
      </x:c>
      <x:c r="H425" s="167" t="str">
        <x:v>General</x:v>
      </x:c>
      <x:c r="I425" s="167" t="str">
        <x:v>Not Started</x:v>
      </x:c>
      <x:c r="J425" s="167" t="n">
        <x:v>0</x:v>
      </x:c>
      <x:c r="K425" s="168"/>
      <x:c r="L425" s="168" t="str">
        <x:f>IF(OR(I425="Mastered",K425=""),"",K425+IF(J425&gt;=5,30,IF(J425=4,14,IF(J425=3,7,IF(J425=2,3,1)))))</x:f>
      </x:c>
      <x:c r="M425" s="171" t="str"/>
      <x:c r="N425" s="171" t="str"/>
      <x:c r="O425" s="171" t="str">
        <x:v>Draft — verify in context</x:v>
      </x:c>
      <x:c r="P425" s="167" t="str">
        <x:v>https://www.oxfordlearnersdictionaries.com/wordlists/oxford3000-5000</x:v>
      </x:c>
    </x:row>
    <x:row r="426" ht="26" customHeight="1">
      <x:c r="A426" s="167" t="n">
        <x:v>425</x:v>
      </x:c>
      <x:c r="B426" s="167" t="str">
        <x:v>efficiency</x:v>
      </x:c>
      <x:c r="C426" s="167" t="str">
        <x:v>n.</x:v>
      </x:c>
      <x:c r="D426" s="170" t="str">
        <x:v>ефективність</x:v>
      </x:c>
      <x:c r="E426" s="167" t="str">
        <x:v>No</x:v>
      </x:c>
      <x:c r="F426" s="167"/>
      <x:c r="G426" s="167" t="str">
        <x:v>Core</x:v>
      </x:c>
      <x:c r="H426" s="167" t="str">
        <x:v>General</x:v>
      </x:c>
      <x:c r="I426" s="167" t="str">
        <x:v>Not Started</x:v>
      </x:c>
      <x:c r="J426" s="167" t="n">
        <x:v>0</x:v>
      </x:c>
      <x:c r="K426" s="168"/>
      <x:c r="L426" s="168" t="str">
        <x:f>IF(OR(I426="Mastered",K426=""),"",K426+IF(J426&gt;=5,30,IF(J426=4,14,IF(J426=3,7,IF(J426=2,3,1)))))</x:f>
      </x:c>
      <x:c r="M426" s="171" t="str"/>
      <x:c r="N426" s="171" t="str"/>
      <x:c r="O426" s="171" t="str">
        <x:v>Draft — verify in context</x:v>
      </x:c>
      <x:c r="P426" s="167" t="str">
        <x:v>https://www.oxfordlearnersdictionaries.com/wordlists/oxford3000-5000</x:v>
      </x:c>
    </x:row>
    <x:row r="427" ht="26" customHeight="1">
      <x:c r="A427" s="167" t="n">
        <x:v>426</x:v>
      </x:c>
      <x:c r="B427" s="167" t="str">
        <x:v>ego</x:v>
      </x:c>
      <x:c r="C427" s="167" t="str">
        <x:v>n.</x:v>
      </x:c>
      <x:c r="D427" s="170" t="str">
        <x:v>его</x:v>
      </x:c>
      <x:c r="E427" s="167" t="str">
        <x:v>No</x:v>
      </x:c>
      <x:c r="F427" s="167"/>
      <x:c r="G427" s="167" t="str">
        <x:v>Core</x:v>
      </x:c>
      <x:c r="H427" s="167" t="str">
        <x:v>General</x:v>
      </x:c>
      <x:c r="I427" s="167" t="str">
        <x:v>Not Started</x:v>
      </x:c>
      <x:c r="J427" s="167" t="n">
        <x:v>0</x:v>
      </x:c>
      <x:c r="K427" s="168"/>
      <x:c r="L427" s="168" t="str">
        <x:f>IF(OR(I427="Mastered",K427=""),"",K427+IF(J427&gt;=5,30,IF(J427=4,14,IF(J427=3,7,IF(J427=2,3,1)))))</x:f>
      </x:c>
      <x:c r="M427" s="171" t="str"/>
      <x:c r="N427" s="171" t="str"/>
      <x:c r="O427" s="171" t="str">
        <x:v>Draft — verify in context</x:v>
      </x:c>
      <x:c r="P427" s="167" t="str">
        <x:v>https://www.oxfordlearnersdictionaries.com/wordlists/oxford3000-5000</x:v>
      </x:c>
    </x:row>
    <x:row r="428" ht="26" customHeight="1">
      <x:c r="A428" s="167" t="n">
        <x:v>427</x:v>
      </x:c>
      <x:c r="B428" s="167" t="str">
        <x:v>elaborate</x:v>
      </x:c>
      <x:c r="C428" s="167" t="str">
        <x:v>adj.</x:v>
      </x:c>
      <x:c r="D428" s="170" t="str">
        <x:v>розробити</x:v>
      </x:c>
      <x:c r="E428" s="167" t="str">
        <x:v>No</x:v>
      </x:c>
      <x:c r="F428" s="167"/>
      <x:c r="G428" s="167" t="str">
        <x:v>Core</x:v>
      </x:c>
      <x:c r="H428" s="167" t="str">
        <x:v>General</x:v>
      </x:c>
      <x:c r="I428" s="167" t="str">
        <x:v>Not Started</x:v>
      </x:c>
      <x:c r="J428" s="167" t="n">
        <x:v>0</x:v>
      </x:c>
      <x:c r="K428" s="168"/>
      <x:c r="L428" s="168" t="str">
        <x:f>IF(OR(I428="Mastered",K428=""),"",K428+IF(J428&gt;=5,30,IF(J428=4,14,IF(J428=3,7,IF(J428=2,3,1)))))</x:f>
      </x:c>
      <x:c r="M428" s="171" t="str"/>
      <x:c r="N428" s="171" t="str"/>
      <x:c r="O428" s="171" t="str">
        <x:v>Draft — verify in context</x:v>
      </x:c>
      <x:c r="P428" s="167" t="str">
        <x:v>https://www.oxfordlearnersdictionaries.com/wordlists/oxford3000-5000</x:v>
      </x:c>
    </x:row>
    <x:row r="429" ht="26" customHeight="1">
      <x:c r="A429" s="167" t="n">
        <x:v>428</x:v>
      </x:c>
      <x:c r="B429" s="167" t="str">
        <x:v>electoral</x:v>
      </x:c>
      <x:c r="C429" s="167" t="str">
        <x:v>adj.</x:v>
      </x:c>
      <x:c r="D429" s="170" t="str">
        <x:v>виборчий</x:v>
      </x:c>
      <x:c r="E429" s="167" t="str">
        <x:v>No</x:v>
      </x:c>
      <x:c r="F429" s="167"/>
      <x:c r="G429" s="167" t="str">
        <x:v>Core</x:v>
      </x:c>
      <x:c r="H429" s="167" t="str">
        <x:v>General</x:v>
      </x:c>
      <x:c r="I429" s="167" t="str">
        <x:v>Not Started</x:v>
      </x:c>
      <x:c r="J429" s="167" t="n">
        <x:v>0</x:v>
      </x:c>
      <x:c r="K429" s="168"/>
      <x:c r="L429" s="168" t="str">
        <x:f>IF(OR(I429="Mastered",K429=""),"",K429+IF(J429&gt;=5,30,IF(J429=4,14,IF(J429=3,7,IF(J429=2,3,1)))))</x:f>
      </x:c>
      <x:c r="M429" s="171" t="str"/>
      <x:c r="N429" s="171" t="str"/>
      <x:c r="O429" s="171" t="str">
        <x:v>Draft — verify in context</x:v>
      </x:c>
      <x:c r="P429" s="167" t="str">
        <x:v>https://www.oxfordlearnersdictionaries.com/wordlists/oxford3000-5000</x:v>
      </x:c>
    </x:row>
    <x:row r="430" ht="26" customHeight="1">
      <x:c r="A430" s="167" t="n">
        <x:v>429</x:v>
      </x:c>
      <x:c r="B430" s="167" t="str">
        <x:v>elevate</x:v>
      </x:c>
      <x:c r="C430" s="167" t="str">
        <x:v>v.</x:v>
      </x:c>
      <x:c r="D430" s="170" t="str">
        <x:v>підняти</x:v>
      </x:c>
      <x:c r="E430" s="167" t="str">
        <x:v>No</x:v>
      </x:c>
      <x:c r="F430" s="167"/>
      <x:c r="G430" s="167" t="str">
        <x:v>Core</x:v>
      </x:c>
      <x:c r="H430" s="167" t="str">
        <x:v>General</x:v>
      </x:c>
      <x:c r="I430" s="167" t="str">
        <x:v>Not Started</x:v>
      </x:c>
      <x:c r="J430" s="167" t="n">
        <x:v>0</x:v>
      </x:c>
      <x:c r="K430" s="168"/>
      <x:c r="L430" s="168" t="str">
        <x:f>IF(OR(I430="Mastered",K430=""),"",K430+IF(J430&gt;=5,30,IF(J430=4,14,IF(J430=3,7,IF(J430=2,3,1)))))</x:f>
      </x:c>
      <x:c r="M430" s="171" t="str"/>
      <x:c r="N430" s="171" t="str"/>
      <x:c r="O430" s="171" t="str">
        <x:v>Draft — verify in context</x:v>
      </x:c>
      <x:c r="P430" s="167" t="str">
        <x:v>https://www.oxfordlearnersdictionaries.com/wordlists/oxford3000-5000</x:v>
      </x:c>
    </x:row>
    <x:row r="431" ht="26" customHeight="1">
      <x:c r="A431" s="167" t="n">
        <x:v>430</x:v>
      </x:c>
      <x:c r="B431" s="167" t="str">
        <x:v>eligible</x:v>
      </x:c>
      <x:c r="C431" s="167" t="str">
        <x:v>adj.</x:v>
      </x:c>
      <x:c r="D431" s="170" t="str">
        <x:v>придатний</x:v>
      </x:c>
      <x:c r="E431" s="167" t="str">
        <x:v>No</x:v>
      </x:c>
      <x:c r="F431" s="167"/>
      <x:c r="G431" s="167" t="str">
        <x:v>Core</x:v>
      </x:c>
      <x:c r="H431" s="167" t="str">
        <x:v>General</x:v>
      </x:c>
      <x:c r="I431" s="167" t="str">
        <x:v>Not Started</x:v>
      </x:c>
      <x:c r="J431" s="167" t="n">
        <x:v>0</x:v>
      </x:c>
      <x:c r="K431" s="168"/>
      <x:c r="L431" s="168" t="str">
        <x:f>IF(OR(I431="Mastered",K431=""),"",K431+IF(J431&gt;=5,30,IF(J431=4,14,IF(J431=3,7,IF(J431=2,3,1)))))</x:f>
      </x:c>
      <x:c r="M431" s="171" t="str"/>
      <x:c r="N431" s="171" t="str"/>
      <x:c r="O431" s="171" t="str">
        <x:v>Draft — verify in context</x:v>
      </x:c>
      <x:c r="P431" s="167" t="str">
        <x:v>https://www.oxfordlearnersdictionaries.com/wordlists/oxford3000-5000</x:v>
      </x:c>
    </x:row>
    <x:row r="432" ht="26" customHeight="1">
      <x:c r="A432" s="167" t="n">
        <x:v>431</x:v>
      </x:c>
      <x:c r="B432" s="167" t="str">
        <x:v>elite</x:v>
      </x:c>
      <x:c r="C432" s="167" t="str">
        <x:v>n.</x:v>
      </x:c>
      <x:c r="D432" s="170" t="str">
        <x:v>еліта</x:v>
      </x:c>
      <x:c r="E432" s="167" t="str">
        <x:v>No</x:v>
      </x:c>
      <x:c r="F432" s="167"/>
      <x:c r="G432" s="167" t="str">
        <x:v>Core</x:v>
      </x:c>
      <x:c r="H432" s="167" t="str">
        <x:v>General</x:v>
      </x:c>
      <x:c r="I432" s="167" t="str">
        <x:v>Not Started</x:v>
      </x:c>
      <x:c r="J432" s="167" t="n">
        <x:v>0</x:v>
      </x:c>
      <x:c r="K432" s="168"/>
      <x:c r="L432" s="168" t="str">
        <x:f>IF(OR(I432="Mastered",K432=""),"",K432+IF(J432&gt;=5,30,IF(J432=4,14,IF(J432=3,7,IF(J432=2,3,1)))))</x:f>
      </x:c>
      <x:c r="M432" s="171" t="str"/>
      <x:c r="N432" s="171" t="str"/>
      <x:c r="O432" s="171" t="str">
        <x:v>Draft — verify in context</x:v>
      </x:c>
      <x:c r="P432" s="167" t="str">
        <x:v>https://www.oxfordlearnersdictionaries.com/wordlists/oxford3000-5000</x:v>
      </x:c>
    </x:row>
    <x:row r="433" ht="26" customHeight="1">
      <x:c r="A433" s="167" t="n">
        <x:v>432</x:v>
      </x:c>
      <x:c r="B433" s="167" t="str">
        <x:v>embark</x:v>
      </x:c>
      <x:c r="C433" s="167" t="str">
        <x:v>v.</x:v>
      </x:c>
      <x:c r="D433" s="170" t="str">
        <x:v>відправитися на борт</x:v>
      </x:c>
      <x:c r="E433" s="167" t="str">
        <x:v>No</x:v>
      </x:c>
      <x:c r="F433" s="167"/>
      <x:c r="G433" s="167" t="str">
        <x:v>Core</x:v>
      </x:c>
      <x:c r="H433" s="167" t="str">
        <x:v>General</x:v>
      </x:c>
      <x:c r="I433" s="167" t="str">
        <x:v>Not Started</x:v>
      </x:c>
      <x:c r="J433" s="167" t="n">
        <x:v>0</x:v>
      </x:c>
      <x:c r="K433" s="168"/>
      <x:c r="L433" s="168" t="str">
        <x:f>IF(OR(I433="Mastered",K433=""),"",K433+IF(J433&gt;=5,30,IF(J433=4,14,IF(J433=3,7,IF(J433=2,3,1)))))</x:f>
      </x:c>
      <x:c r="M433" s="171" t="str"/>
      <x:c r="N433" s="171" t="str"/>
      <x:c r="O433" s="171" t="str">
        <x:v>Draft — verify in context</x:v>
      </x:c>
      <x:c r="P433" s="167" t="str">
        <x:v>https://www.oxfordlearnersdictionaries.com/wordlists/oxford3000-5000</x:v>
      </x:c>
    </x:row>
    <x:row r="434" ht="26" customHeight="1">
      <x:c r="A434" s="167" t="n">
        <x:v>433</x:v>
      </x:c>
      <x:c r="B434" s="167" t="str">
        <x:v>embarrassment</x:v>
      </x:c>
      <x:c r="C434" s="167" t="str">
        <x:v>n.</x:v>
      </x:c>
      <x:c r="D434" s="170" t="str">
        <x:v>збентеження</x:v>
      </x:c>
      <x:c r="E434" s="167" t="str">
        <x:v>No</x:v>
      </x:c>
      <x:c r="F434" s="167"/>
      <x:c r="G434" s="167" t="str">
        <x:v>Core</x:v>
      </x:c>
      <x:c r="H434" s="167" t="str">
        <x:v>General</x:v>
      </x:c>
      <x:c r="I434" s="167" t="str">
        <x:v>Not Started</x:v>
      </x:c>
      <x:c r="J434" s="167" t="n">
        <x:v>0</x:v>
      </x:c>
      <x:c r="K434" s="168"/>
      <x:c r="L434" s="168" t="str">
        <x:f>IF(OR(I434="Mastered",K434=""),"",K434+IF(J434&gt;=5,30,IF(J434=4,14,IF(J434=3,7,IF(J434=2,3,1)))))</x:f>
      </x:c>
      <x:c r="M434" s="171" t="str"/>
      <x:c r="N434" s="171" t="str"/>
      <x:c r="O434" s="171" t="str">
        <x:v>Draft — verify in context</x:v>
      </x:c>
      <x:c r="P434" s="167" t="str">
        <x:v>https://www.oxfordlearnersdictionaries.com/wordlists/oxford3000-5000</x:v>
      </x:c>
    </x:row>
    <x:row r="435" ht="26" customHeight="1">
      <x:c r="A435" s="167" t="n">
        <x:v>434</x:v>
      </x:c>
      <x:c r="B435" s="167" t="str">
        <x:v>embassy</x:v>
      </x:c>
      <x:c r="C435" s="167" t="str">
        <x:v>n.</x:v>
      </x:c>
      <x:c r="D435" s="170" t="str">
        <x:v>посольство</x:v>
      </x:c>
      <x:c r="E435" s="167" t="str">
        <x:v>No</x:v>
      </x:c>
      <x:c r="F435" s="167"/>
      <x:c r="G435" s="167" t="str">
        <x:v>Core</x:v>
      </x:c>
      <x:c r="H435" s="167" t="str">
        <x:v>General</x:v>
      </x:c>
      <x:c r="I435" s="167" t="str">
        <x:v>Not Started</x:v>
      </x:c>
      <x:c r="J435" s="167" t="n">
        <x:v>0</x:v>
      </x:c>
      <x:c r="K435" s="168"/>
      <x:c r="L435" s="168" t="str">
        <x:f>IF(OR(I435="Mastered",K435=""),"",K435+IF(J435&gt;=5,30,IF(J435=4,14,IF(J435=3,7,IF(J435=2,3,1)))))</x:f>
      </x:c>
      <x:c r="M435" s="171" t="str"/>
      <x:c r="N435" s="171" t="str"/>
      <x:c r="O435" s="171" t="str">
        <x:v>Draft — verify in context</x:v>
      </x:c>
      <x:c r="P435" s="167" t="str">
        <x:v>https://www.oxfordlearnersdictionaries.com/wordlists/oxford3000-5000</x:v>
      </x:c>
    </x:row>
    <x:row r="436" ht="26" customHeight="1">
      <x:c r="A436" s="167" t="n">
        <x:v>435</x:v>
      </x:c>
      <x:c r="B436" s="167" t="str">
        <x:v>embed</x:v>
      </x:c>
      <x:c r="C436" s="167" t="str">
        <x:v>v.</x:v>
      </x:c>
      <x:c r="D436" s="170" t="str">
        <x:v>вбудовувати</x:v>
      </x:c>
      <x:c r="E436" s="167" t="str">
        <x:v>No</x:v>
      </x:c>
      <x:c r="F436" s="167"/>
      <x:c r="G436" s="167" t="str">
        <x:v>Core</x:v>
      </x:c>
      <x:c r="H436" s="167" t="str">
        <x:v>General</x:v>
      </x:c>
      <x:c r="I436" s="167" t="str">
        <x:v>Not Started</x:v>
      </x:c>
      <x:c r="J436" s="167" t="n">
        <x:v>0</x:v>
      </x:c>
      <x:c r="K436" s="168"/>
      <x:c r="L436" s="168" t="str">
        <x:f>IF(OR(I436="Mastered",K436=""),"",K436+IF(J436&gt;=5,30,IF(J436=4,14,IF(J436=3,7,IF(J436=2,3,1)))))</x:f>
      </x:c>
      <x:c r="M436" s="171" t="str"/>
      <x:c r="N436" s="171" t="str"/>
      <x:c r="O436" s="171" t="str">
        <x:v>Draft — verify in context</x:v>
      </x:c>
      <x:c r="P436" s="167" t="str">
        <x:v>https://www.oxfordlearnersdictionaries.com/wordlists/oxford3000-5000</x:v>
      </x:c>
    </x:row>
    <x:row r="437" ht="26" customHeight="1">
      <x:c r="A437" s="167" t="n">
        <x:v>436</x:v>
      </x:c>
      <x:c r="B437" s="167" t="str">
        <x:v>embody</x:v>
      </x:c>
      <x:c r="C437" s="167" t="str">
        <x:v>v.</x:v>
      </x:c>
      <x:c r="D437" s="170" t="str">
        <x:v>втілювати</x:v>
      </x:c>
      <x:c r="E437" s="167" t="str">
        <x:v>No</x:v>
      </x:c>
      <x:c r="F437" s="167"/>
      <x:c r="G437" s="167" t="str">
        <x:v>Core</x:v>
      </x:c>
      <x:c r="H437" s="167" t="str">
        <x:v>General</x:v>
      </x:c>
      <x:c r="I437" s="167" t="str">
        <x:v>Not Started</x:v>
      </x:c>
      <x:c r="J437" s="167" t="n">
        <x:v>0</x:v>
      </x:c>
      <x:c r="K437" s="168"/>
      <x:c r="L437" s="168" t="str">
        <x:f>IF(OR(I437="Mastered",K437=""),"",K437+IF(J437&gt;=5,30,IF(J437=4,14,IF(J437=3,7,IF(J437=2,3,1)))))</x:f>
      </x:c>
      <x:c r="M437" s="171" t="str"/>
      <x:c r="N437" s="171" t="str"/>
      <x:c r="O437" s="171" t="str">
        <x:v>Draft — verify in context</x:v>
      </x:c>
      <x:c r="P437" s="167" t="str">
        <x:v>https://www.oxfordlearnersdictionaries.com/wordlists/oxford3000-5000</x:v>
      </x:c>
    </x:row>
    <x:row r="438" ht="26" customHeight="1">
      <x:c r="A438" s="167" t="n">
        <x:v>437</x:v>
      </x:c>
      <x:c r="B438" s="167" t="str">
        <x:v>emergence</x:v>
      </x:c>
      <x:c r="C438" s="167" t="str">
        <x:v>n.</x:v>
      </x:c>
      <x:c r="D438" s="170" t="str">
        <x:v>поява</x:v>
      </x:c>
      <x:c r="E438" s="167" t="str">
        <x:v>No</x:v>
      </x:c>
      <x:c r="F438" s="167"/>
      <x:c r="G438" s="167" t="str">
        <x:v>Core</x:v>
      </x:c>
      <x:c r="H438" s="167" t="str">
        <x:v>General</x:v>
      </x:c>
      <x:c r="I438" s="167" t="str">
        <x:v>Not Started</x:v>
      </x:c>
      <x:c r="J438" s="167" t="n">
        <x:v>0</x:v>
      </x:c>
      <x:c r="K438" s="168"/>
      <x:c r="L438" s="168" t="str">
        <x:f>IF(OR(I438="Mastered",K438=""),"",K438+IF(J438&gt;=5,30,IF(J438=4,14,IF(J438=3,7,IF(J438=2,3,1)))))</x:f>
      </x:c>
      <x:c r="M438" s="171" t="str"/>
      <x:c r="N438" s="171" t="str"/>
      <x:c r="O438" s="171" t="str">
        <x:v>Draft — verify in context</x:v>
      </x:c>
      <x:c r="P438" s="167" t="str">
        <x:v>https://www.oxfordlearnersdictionaries.com/wordlists/oxford3000-5000</x:v>
      </x:c>
    </x:row>
    <x:row r="439" ht="26" customHeight="1">
      <x:c r="A439" s="167" t="n">
        <x:v>438</x:v>
      </x:c>
      <x:c r="B439" s="167" t="str">
        <x:v>empirical</x:v>
      </x:c>
      <x:c r="C439" s="167" t="str">
        <x:v>adj.</x:v>
      </x:c>
      <x:c r="D439" s="170" t="str">
        <x:v>емпіричний</x:v>
      </x:c>
      <x:c r="E439" s="167" t="str">
        <x:v>Yes</x:v>
      </x:c>
      <x:c r="F439" s="167" t="n">
        <x:v>7</x:v>
      </x:c>
      <x:c r="G439" s="167" t="str">
        <x:v>High</x:v>
      </x:c>
      <x:c r="H439" s="167" t="str">
        <x:v>Research &amp; data</x:v>
      </x:c>
      <x:c r="I439" s="167" t="str">
        <x:v>Not Started</x:v>
      </x:c>
      <x:c r="J439" s="167" t="n">
        <x:v>0</x:v>
      </x:c>
      <x:c r="K439" s="168"/>
      <x:c r="L439" s="168" t="str">
        <x:f>IF(OR(I439="Mastered",K439=""),"",K439+IF(J439&gt;=5,30,IF(J439=4,14,IF(J439=3,7,IF(J439=2,3,1)))))</x:f>
      </x:c>
      <x:c r="M439" s="171" t="str"/>
      <x:c r="N439" s="171" t="str"/>
      <x:c r="O439" s="171" t="str">
        <x:v>Draft — verify in context</x:v>
      </x:c>
      <x:c r="P439" s="167" t="str">
        <x:v>https://www.oxfordlearnersdictionaries.com/wordlists/oxford3000-5000</x:v>
      </x:c>
    </x:row>
    <x:row r="440" ht="26" customHeight="1">
      <x:c r="A440" s="167" t="n">
        <x:v>439</x:v>
      </x:c>
      <x:c r="B440" s="167" t="str">
        <x:v>empower</x:v>
      </x:c>
      <x:c r="C440" s="167" t="str">
        <x:v>v.</x:v>
      </x:c>
      <x:c r="D440" s="170" t="str">
        <x:v>уповноважити</x:v>
      </x:c>
      <x:c r="E440" s="167" t="str">
        <x:v>No</x:v>
      </x:c>
      <x:c r="F440" s="167"/>
      <x:c r="G440" s="167" t="str">
        <x:v>Core</x:v>
      </x:c>
      <x:c r="H440" s="167" t="str">
        <x:v>General</x:v>
      </x:c>
      <x:c r="I440" s="167" t="str">
        <x:v>Not Started</x:v>
      </x:c>
      <x:c r="J440" s="167" t="n">
        <x:v>0</x:v>
      </x:c>
      <x:c r="K440" s="168"/>
      <x:c r="L440" s="168" t="str">
        <x:f>IF(OR(I440="Mastered",K440=""),"",K440+IF(J440&gt;=5,30,IF(J440=4,14,IF(J440=3,7,IF(J440=2,3,1)))))</x:f>
      </x:c>
      <x:c r="M440" s="171" t="str"/>
      <x:c r="N440" s="171" t="str"/>
      <x:c r="O440" s="171" t="str">
        <x:v>Draft — verify in context</x:v>
      </x:c>
      <x:c r="P440" s="167" t="str">
        <x:v>https://www.oxfordlearnersdictionaries.com/wordlists/oxford3000-5000</x:v>
      </x:c>
    </x:row>
    <x:row r="441" ht="26" customHeight="1">
      <x:c r="A441" s="167" t="n">
        <x:v>440</x:v>
      </x:c>
      <x:c r="B441" s="167" t="str">
        <x:v>enact</x:v>
      </x:c>
      <x:c r="C441" s="167" t="str">
        <x:v>v.</x:v>
      </x:c>
      <x:c r="D441" s="170" t="str">
        <x:v>постановити</x:v>
      </x:c>
      <x:c r="E441" s="167" t="str">
        <x:v>No</x:v>
      </x:c>
      <x:c r="F441" s="167"/>
      <x:c r="G441" s="167" t="str">
        <x:v>Core</x:v>
      </x:c>
      <x:c r="H441" s="167" t="str">
        <x:v>General</x:v>
      </x:c>
      <x:c r="I441" s="167" t="str">
        <x:v>Not Started</x:v>
      </x:c>
      <x:c r="J441" s="167" t="n">
        <x:v>0</x:v>
      </x:c>
      <x:c r="K441" s="168"/>
      <x:c r="L441" s="168" t="str">
        <x:f>IF(OR(I441="Mastered",K441=""),"",K441+IF(J441&gt;=5,30,IF(J441=4,14,IF(J441=3,7,IF(J441=2,3,1)))))</x:f>
      </x:c>
      <x:c r="M441" s="171" t="str"/>
      <x:c r="N441" s="171" t="str"/>
      <x:c r="O441" s="171" t="str">
        <x:v>Draft — verify in context</x:v>
      </x:c>
      <x:c r="P441" s="167" t="str">
        <x:v>https://www.oxfordlearnersdictionaries.com/wordlists/oxford3000-5000</x:v>
      </x:c>
    </x:row>
    <x:row r="442" ht="26" customHeight="1">
      <x:c r="A442" s="167" t="n">
        <x:v>441</x:v>
      </x:c>
      <x:c r="B442" s="167" t="str">
        <x:v>encompass</x:v>
      </x:c>
      <x:c r="C442" s="167" t="str">
        <x:v>v.</x:v>
      </x:c>
      <x:c r="D442" s="170" t="str">
        <x:v>охоплювати</x:v>
      </x:c>
      <x:c r="E442" s="167" t="str">
        <x:v>No</x:v>
      </x:c>
      <x:c r="F442" s="167"/>
      <x:c r="G442" s="167" t="str">
        <x:v>Core</x:v>
      </x:c>
      <x:c r="H442" s="167" t="str">
        <x:v>General</x:v>
      </x:c>
      <x:c r="I442" s="167" t="str">
        <x:v>Not Started</x:v>
      </x:c>
      <x:c r="J442" s="167" t="n">
        <x:v>0</x:v>
      </x:c>
      <x:c r="K442" s="168"/>
      <x:c r="L442" s="168" t="str">
        <x:f>IF(OR(I442="Mastered",K442=""),"",K442+IF(J442&gt;=5,30,IF(J442=4,14,IF(J442=3,7,IF(J442=2,3,1)))))</x:f>
      </x:c>
      <x:c r="M442" s="171" t="str"/>
      <x:c r="N442" s="171" t="str"/>
      <x:c r="O442" s="171" t="str">
        <x:v>Draft — verify in context</x:v>
      </x:c>
      <x:c r="P442" s="167" t="str">
        <x:v>https://www.oxfordlearnersdictionaries.com/wordlists/oxford3000-5000</x:v>
      </x:c>
    </x:row>
    <x:row r="443" ht="26" customHeight="1">
      <x:c r="A443" s="167" t="n">
        <x:v>442</x:v>
      </x:c>
      <x:c r="B443" s="167" t="str">
        <x:v>encouragement</x:v>
      </x:c>
      <x:c r="C443" s="167" t="str">
        <x:v>n.</x:v>
      </x:c>
      <x:c r="D443" s="170" t="str">
        <x:v>заохочення</x:v>
      </x:c>
      <x:c r="E443" s="167" t="str">
        <x:v>No</x:v>
      </x:c>
      <x:c r="F443" s="167"/>
      <x:c r="G443" s="167" t="str">
        <x:v>Core</x:v>
      </x:c>
      <x:c r="H443" s="167" t="str">
        <x:v>General</x:v>
      </x:c>
      <x:c r="I443" s="167" t="str">
        <x:v>Not Started</x:v>
      </x:c>
      <x:c r="J443" s="167" t="n">
        <x:v>0</x:v>
      </x:c>
      <x:c r="K443" s="168"/>
      <x:c r="L443" s="168" t="str">
        <x:f>IF(OR(I443="Mastered",K443=""),"",K443+IF(J443&gt;=5,30,IF(J443=4,14,IF(J443=3,7,IF(J443=2,3,1)))))</x:f>
      </x:c>
      <x:c r="M443" s="171" t="str"/>
      <x:c r="N443" s="171" t="str"/>
      <x:c r="O443" s="171" t="str">
        <x:v>Draft — verify in context</x:v>
      </x:c>
      <x:c r="P443" s="167" t="str">
        <x:v>https://www.oxfordlearnersdictionaries.com/wordlists/oxford3000-5000</x:v>
      </x:c>
    </x:row>
    <x:row r="444" ht="26" customHeight="1">
      <x:c r="A444" s="167" t="n">
        <x:v>443</x:v>
      </x:c>
      <x:c r="B444" s="167" t="str">
        <x:v>encouraging</x:v>
      </x:c>
      <x:c r="C444" s="167" t="str">
        <x:v>adj.</x:v>
      </x:c>
      <x:c r="D444" s="170" t="str">
        <x:v>заохочувальний</x:v>
      </x:c>
      <x:c r="E444" s="167" t="str">
        <x:v>No</x:v>
      </x:c>
      <x:c r="F444" s="167"/>
      <x:c r="G444" s="167" t="str">
        <x:v>Core</x:v>
      </x:c>
      <x:c r="H444" s="167" t="str">
        <x:v>General</x:v>
      </x:c>
      <x:c r="I444" s="167" t="str">
        <x:v>Not Started</x:v>
      </x:c>
      <x:c r="J444" s="167" t="n">
        <x:v>0</x:v>
      </x:c>
      <x:c r="K444" s="168"/>
      <x:c r="L444" s="168" t="str">
        <x:f>IF(OR(I444="Mastered",K444=""),"",K444+IF(J444&gt;=5,30,IF(J444=4,14,IF(J444=3,7,IF(J444=2,3,1)))))</x:f>
      </x:c>
      <x:c r="M444" s="171" t="str"/>
      <x:c r="N444" s="171" t="str"/>
      <x:c r="O444" s="171" t="str">
        <x:v>Draft — verify in context</x:v>
      </x:c>
      <x:c r="P444" s="167" t="str">
        <x:v>https://www.oxfordlearnersdictionaries.com/wordlists/oxford3000-5000</x:v>
      </x:c>
    </x:row>
    <x:row r="445" ht="26" customHeight="1">
      <x:c r="A445" s="167" t="n">
        <x:v>444</x:v>
      </x:c>
      <x:c r="B445" s="167" t="str">
        <x:v>endeavour</x:v>
      </x:c>
      <x:c r="C445" s="167" t="str">
        <x:v>n.</x:v>
      </x:c>
      <x:c r="D445" s="170" t="str">
        <x:v>зусилля</x:v>
      </x:c>
      <x:c r="E445" s="167" t="str">
        <x:v>No</x:v>
      </x:c>
      <x:c r="F445" s="167"/>
      <x:c r="G445" s="167" t="str">
        <x:v>Core</x:v>
      </x:c>
      <x:c r="H445" s="167" t="str">
        <x:v>General</x:v>
      </x:c>
      <x:c r="I445" s="167" t="str">
        <x:v>Not Started</x:v>
      </x:c>
      <x:c r="J445" s="167" t="n">
        <x:v>0</x:v>
      </x:c>
      <x:c r="K445" s="168"/>
      <x:c r="L445" s="168" t="str">
        <x:f>IF(OR(I445="Mastered",K445=""),"",K445+IF(J445&gt;=5,30,IF(J445=4,14,IF(J445=3,7,IF(J445=2,3,1)))))</x:f>
      </x:c>
      <x:c r="M445" s="171" t="str"/>
      <x:c r="N445" s="171" t="str"/>
      <x:c r="O445" s="171" t="str">
        <x:v>Draft — verify in context</x:v>
      </x:c>
      <x:c r="P445" s="167" t="str">
        <x:v>https://www.oxfordlearnersdictionaries.com/wordlists/oxford3000-5000</x:v>
      </x:c>
    </x:row>
    <x:row r="446" ht="26" customHeight="1">
      <x:c r="A446" s="167" t="n">
        <x:v>445</x:v>
      </x:c>
      <x:c r="B446" s="167" t="str">
        <x:v>endless</x:v>
      </x:c>
      <x:c r="C446" s="167" t="str">
        <x:v>adj.</x:v>
      </x:c>
      <x:c r="D446" s="170" t="str">
        <x:v>нескінченний</x:v>
      </x:c>
      <x:c r="E446" s="167" t="str">
        <x:v>No</x:v>
      </x:c>
      <x:c r="F446" s="167"/>
      <x:c r="G446" s="167" t="str">
        <x:v>Core</x:v>
      </x:c>
      <x:c r="H446" s="167" t="str">
        <x:v>General</x:v>
      </x:c>
      <x:c r="I446" s="167" t="str">
        <x:v>Not Started</x:v>
      </x:c>
      <x:c r="J446" s="167" t="n">
        <x:v>0</x:v>
      </x:c>
      <x:c r="K446" s="168"/>
      <x:c r="L446" s="168" t="str">
        <x:f>IF(OR(I446="Mastered",K446=""),"",K446+IF(J446&gt;=5,30,IF(J446=4,14,IF(J446=3,7,IF(J446=2,3,1)))))</x:f>
      </x:c>
      <x:c r="M446" s="171" t="str"/>
      <x:c r="N446" s="171" t="str"/>
      <x:c r="O446" s="171" t="str">
        <x:v>Draft — verify in context</x:v>
      </x:c>
      <x:c r="P446" s="167" t="str">
        <x:v>https://www.oxfordlearnersdictionaries.com/wordlists/oxford3000-5000</x:v>
      </x:c>
    </x:row>
    <x:row r="447" ht="26" customHeight="1">
      <x:c r="A447" s="167" t="n">
        <x:v>446</x:v>
      </x:c>
      <x:c r="B447" s="167" t="str">
        <x:v>endorse</x:v>
      </x:c>
      <x:c r="C447" s="167" t="str">
        <x:v>v.</x:v>
      </x:c>
      <x:c r="D447" s="170" t="str">
        <x:v>схвалити</x:v>
      </x:c>
      <x:c r="E447" s="167" t="str">
        <x:v>No</x:v>
      </x:c>
      <x:c r="F447" s="167"/>
      <x:c r="G447" s="167" t="str">
        <x:v>Core</x:v>
      </x:c>
      <x:c r="H447" s="167" t="str">
        <x:v>General</x:v>
      </x:c>
      <x:c r="I447" s="167" t="str">
        <x:v>Not Started</x:v>
      </x:c>
      <x:c r="J447" s="167" t="n">
        <x:v>0</x:v>
      </x:c>
      <x:c r="K447" s="168"/>
      <x:c r="L447" s="168" t="str">
        <x:f>IF(OR(I447="Mastered",K447=""),"",K447+IF(J447&gt;=5,30,IF(J447=4,14,IF(J447=3,7,IF(J447=2,3,1)))))</x:f>
      </x:c>
      <x:c r="M447" s="171" t="str"/>
      <x:c r="N447" s="171" t="str"/>
      <x:c r="O447" s="171" t="str">
        <x:v>Draft — verify in context</x:v>
      </x:c>
      <x:c r="P447" s="167" t="str">
        <x:v>https://www.oxfordlearnersdictionaries.com/wordlists/oxford3000-5000</x:v>
      </x:c>
    </x:row>
    <x:row r="448" ht="26" customHeight="1">
      <x:c r="A448" s="167" t="n">
        <x:v>447</x:v>
      </x:c>
      <x:c r="B448" s="167" t="str">
        <x:v>endorsement</x:v>
      </x:c>
      <x:c r="C448" s="167" t="str">
        <x:v>n.</x:v>
      </x:c>
      <x:c r="D448" s="170" t="str">
        <x:v>індосамент</x:v>
      </x:c>
      <x:c r="E448" s="167" t="str">
        <x:v>No</x:v>
      </x:c>
      <x:c r="F448" s="167"/>
      <x:c r="G448" s="167" t="str">
        <x:v>Core</x:v>
      </x:c>
      <x:c r="H448" s="167" t="str">
        <x:v>General</x:v>
      </x:c>
      <x:c r="I448" s="167" t="str">
        <x:v>Not Started</x:v>
      </x:c>
      <x:c r="J448" s="167" t="n">
        <x:v>0</x:v>
      </x:c>
      <x:c r="K448" s="168"/>
      <x:c r="L448" s="168" t="str">
        <x:f>IF(OR(I448="Mastered",K448=""),"",K448+IF(J448&gt;=5,30,IF(J448=4,14,IF(J448=3,7,IF(J448=2,3,1)))))</x:f>
      </x:c>
      <x:c r="M448" s="171" t="str"/>
      <x:c r="N448" s="171" t="str"/>
      <x:c r="O448" s="171" t="str">
        <x:v>Draft — verify in context</x:v>
      </x:c>
      <x:c r="P448" s="167" t="str">
        <x:v>https://www.oxfordlearnersdictionaries.com/wordlists/oxford3000-5000</x:v>
      </x:c>
    </x:row>
    <x:row r="449" ht="26" customHeight="1">
      <x:c r="A449" s="167" t="n">
        <x:v>448</x:v>
      </x:c>
      <x:c r="B449" s="167" t="str">
        <x:v>endure</x:v>
      </x:c>
      <x:c r="C449" s="167" t="str">
        <x:v>v.</x:v>
      </x:c>
      <x:c r="D449" s="170" t="str">
        <x:v>терпіти</x:v>
      </x:c>
      <x:c r="E449" s="167" t="str">
        <x:v>No</x:v>
      </x:c>
      <x:c r="F449" s="167"/>
      <x:c r="G449" s="167" t="str">
        <x:v>Core</x:v>
      </x:c>
      <x:c r="H449" s="167" t="str">
        <x:v>General</x:v>
      </x:c>
      <x:c r="I449" s="167" t="str">
        <x:v>Not Started</x:v>
      </x:c>
      <x:c r="J449" s="167" t="n">
        <x:v>0</x:v>
      </x:c>
      <x:c r="K449" s="168"/>
      <x:c r="L449" s="168" t="str">
        <x:f>IF(OR(I449="Mastered",K449=""),"",K449+IF(J449&gt;=5,30,IF(J449=4,14,IF(J449=3,7,IF(J449=2,3,1)))))</x:f>
      </x:c>
      <x:c r="M449" s="171" t="str"/>
      <x:c r="N449" s="171" t="str"/>
      <x:c r="O449" s="171" t="str">
        <x:v>Draft — verify in context</x:v>
      </x:c>
      <x:c r="P449" s="167" t="str">
        <x:v>https://www.oxfordlearnersdictionaries.com/wordlists/oxford3000-5000</x:v>
      </x:c>
    </x:row>
    <x:row r="450" ht="26" customHeight="1">
      <x:c r="A450" s="167" t="n">
        <x:v>449</x:v>
      </x:c>
      <x:c r="B450" s="167" t="str">
        <x:v>enforce</x:v>
      </x:c>
      <x:c r="C450" s="167" t="str">
        <x:v>v.</x:v>
      </x:c>
      <x:c r="D450" s="170" t="str">
        <x:v>примушувати</x:v>
      </x:c>
      <x:c r="E450" s="167" t="str">
        <x:v>No</x:v>
      </x:c>
      <x:c r="F450" s="167"/>
      <x:c r="G450" s="167" t="str">
        <x:v>Core</x:v>
      </x:c>
      <x:c r="H450" s="167" t="str">
        <x:v>General</x:v>
      </x:c>
      <x:c r="I450" s="167" t="str">
        <x:v>Not Started</x:v>
      </x:c>
      <x:c r="J450" s="167" t="n">
        <x:v>0</x:v>
      </x:c>
      <x:c r="K450" s="168"/>
      <x:c r="L450" s="168" t="str">
        <x:f>IF(OR(I450="Mastered",K450=""),"",K450+IF(J450&gt;=5,30,IF(J450=4,14,IF(J450=3,7,IF(J450=2,3,1)))))</x:f>
      </x:c>
      <x:c r="M450" s="171" t="str"/>
      <x:c r="N450" s="171" t="str"/>
      <x:c r="O450" s="171" t="str">
        <x:v>Draft — verify in context</x:v>
      </x:c>
      <x:c r="P450" s="167" t="str">
        <x:v>https://www.oxfordlearnersdictionaries.com/wordlists/oxford3000-5000</x:v>
      </x:c>
    </x:row>
    <x:row r="451" ht="26" customHeight="1">
      <x:c r="A451" s="167" t="n">
        <x:v>450</x:v>
      </x:c>
      <x:c r="B451" s="167" t="str">
        <x:v>enforcement</x:v>
      </x:c>
      <x:c r="C451" s="167" t="str">
        <x:v>n.</x:v>
      </x:c>
      <x:c r="D451" s="170" t="str">
        <x:v>виконання</x:v>
      </x:c>
      <x:c r="E451" s="167" t="str">
        <x:v>Yes</x:v>
      </x:c>
      <x:c r="F451" s="167" t="n">
        <x:v>5</x:v>
      </x:c>
      <x:c r="G451" s="167" t="str">
        <x:v>High</x:v>
      </x:c>
      <x:c r="H451" s="167" t="str">
        <x:v>General</x:v>
      </x:c>
      <x:c r="I451" s="167" t="str">
        <x:v>Not Started</x:v>
      </x:c>
      <x:c r="J451" s="167" t="n">
        <x:v>0</x:v>
      </x:c>
      <x:c r="K451" s="168"/>
      <x:c r="L451" s="168" t="str">
        <x:f>IF(OR(I451="Mastered",K451=""),"",K451+IF(J451&gt;=5,30,IF(J451=4,14,IF(J451=3,7,IF(J451=2,3,1)))))</x:f>
      </x:c>
      <x:c r="M451" s="171" t="str"/>
      <x:c r="N451" s="171" t="str"/>
      <x:c r="O451" s="171" t="str">
        <x:v>Draft — verify in context</x:v>
      </x:c>
      <x:c r="P451" s="167" t="str">
        <x:v>https://www.oxfordlearnersdictionaries.com/wordlists/oxford3000-5000</x:v>
      </x:c>
    </x:row>
    <x:row r="452" ht="26" customHeight="1">
      <x:c r="A452" s="167" t="n">
        <x:v>451</x:v>
      </x:c>
      <x:c r="B452" s="167" t="str">
        <x:v>engagement</x:v>
      </x:c>
      <x:c r="C452" s="167" t="str">
        <x:v>n.</x:v>
      </x:c>
      <x:c r="D452" s="170" t="str">
        <x:v>заручини</x:v>
      </x:c>
      <x:c r="E452" s="167" t="str">
        <x:v>No</x:v>
      </x:c>
      <x:c r="F452" s="167"/>
      <x:c r="G452" s="167" t="str">
        <x:v>Core</x:v>
      </x:c>
      <x:c r="H452" s="167" t="str">
        <x:v>General</x:v>
      </x:c>
      <x:c r="I452" s="167" t="str">
        <x:v>Not Started</x:v>
      </x:c>
      <x:c r="J452" s="167" t="n">
        <x:v>0</x:v>
      </x:c>
      <x:c r="K452" s="168"/>
      <x:c r="L452" s="168" t="str">
        <x:f>IF(OR(I452="Mastered",K452=""),"",K452+IF(J452&gt;=5,30,IF(J452=4,14,IF(J452=3,7,IF(J452=2,3,1)))))</x:f>
      </x:c>
      <x:c r="M452" s="171" t="str"/>
      <x:c r="N452" s="171" t="str"/>
      <x:c r="O452" s="171" t="str">
        <x:v>Draft — verify in context</x:v>
      </x:c>
      <x:c r="P452" s="167" t="str">
        <x:v>https://www.oxfordlearnersdictionaries.com/wordlists/oxford3000-5000</x:v>
      </x:c>
    </x:row>
    <x:row r="453" ht="26" customHeight="1">
      <x:c r="A453" s="167" t="n">
        <x:v>452</x:v>
      </x:c>
      <x:c r="B453" s="167" t="str">
        <x:v>engaging</x:v>
      </x:c>
      <x:c r="C453" s="167" t="str">
        <x:v>adj.</x:v>
      </x:c>
      <x:c r="D453" s="170" t="str">
        <x:v>залучення</x:v>
      </x:c>
      <x:c r="E453" s="167" t="str">
        <x:v>No</x:v>
      </x:c>
      <x:c r="F453" s="167"/>
      <x:c r="G453" s="167" t="str">
        <x:v>Core</x:v>
      </x:c>
      <x:c r="H453" s="167" t="str">
        <x:v>General</x:v>
      </x:c>
      <x:c r="I453" s="167" t="str">
        <x:v>Not Started</x:v>
      </x:c>
      <x:c r="J453" s="167" t="n">
        <x:v>0</x:v>
      </x:c>
      <x:c r="K453" s="168"/>
      <x:c r="L453" s="168" t="str">
        <x:f>IF(OR(I453="Mastered",K453=""),"",K453+IF(J453&gt;=5,30,IF(J453=4,14,IF(J453=3,7,IF(J453=2,3,1)))))</x:f>
      </x:c>
      <x:c r="M453" s="171" t="str"/>
      <x:c r="N453" s="171" t="str"/>
      <x:c r="O453" s="171" t="str">
        <x:v>Draft — verify in context</x:v>
      </x:c>
      <x:c r="P453" s="167" t="str">
        <x:v>https://www.oxfordlearnersdictionaries.com/wordlists/oxford3000-5000</x:v>
      </x:c>
    </x:row>
    <x:row r="454" ht="26" customHeight="1">
      <x:c r="A454" s="167" t="n">
        <x:v>453</x:v>
      </x:c>
      <x:c r="B454" s="167" t="str">
        <x:v>enquire</x:v>
      </x:c>
      <x:c r="C454" s="167" t="str">
        <x:v>v.</x:v>
      </x:c>
      <x:c r="D454" s="170" t="str">
        <x:v>запитувати</x:v>
      </x:c>
      <x:c r="E454" s="167" t="str">
        <x:v>No</x:v>
      </x:c>
      <x:c r="F454" s="167"/>
      <x:c r="G454" s="167" t="str">
        <x:v>Core</x:v>
      </x:c>
      <x:c r="H454" s="167" t="str">
        <x:v>General</x:v>
      </x:c>
      <x:c r="I454" s="167" t="str">
        <x:v>Not Started</x:v>
      </x:c>
      <x:c r="J454" s="167" t="n">
        <x:v>0</x:v>
      </x:c>
      <x:c r="K454" s="168"/>
      <x:c r="L454" s="168" t="str">
        <x:f>IF(OR(I454="Mastered",K454=""),"",K454+IF(J454&gt;=5,30,IF(J454=4,14,IF(J454=3,7,IF(J454=2,3,1)))))</x:f>
      </x:c>
      <x:c r="M454" s="171" t="str"/>
      <x:c r="N454" s="171" t="str"/>
      <x:c r="O454" s="171" t="str">
        <x:v>Draft — verify in context</x:v>
      </x:c>
      <x:c r="P454" s="167" t="str">
        <x:v>https://www.oxfordlearnersdictionaries.com/wordlists/oxford3000-5000</x:v>
      </x:c>
    </x:row>
    <x:row r="455" ht="26" customHeight="1">
      <x:c r="A455" s="167" t="n">
        <x:v>454</x:v>
      </x:c>
      <x:c r="B455" s="167" t="str">
        <x:v>enrich</x:v>
      </x:c>
      <x:c r="C455" s="167" t="str">
        <x:v>v.</x:v>
      </x:c>
      <x:c r="D455" s="170" t="str">
        <x:v>збагачувати</x:v>
      </x:c>
      <x:c r="E455" s="167" t="str">
        <x:v>No</x:v>
      </x:c>
      <x:c r="F455" s="167"/>
      <x:c r="G455" s="167" t="str">
        <x:v>Core</x:v>
      </x:c>
      <x:c r="H455" s="167" t="str">
        <x:v>General</x:v>
      </x:c>
      <x:c r="I455" s="167" t="str">
        <x:v>Not Started</x:v>
      </x:c>
      <x:c r="J455" s="167" t="n">
        <x:v>0</x:v>
      </x:c>
      <x:c r="K455" s="168"/>
      <x:c r="L455" s="168" t="str">
        <x:f>IF(OR(I455="Mastered",K455=""),"",K455+IF(J455&gt;=5,30,IF(J455=4,14,IF(J455=3,7,IF(J455=2,3,1)))))</x:f>
      </x:c>
      <x:c r="M455" s="171" t="str"/>
      <x:c r="N455" s="171" t="str"/>
      <x:c r="O455" s="171" t="str">
        <x:v>Draft — verify in context</x:v>
      </x:c>
      <x:c r="P455" s="167" t="str">
        <x:v>https://www.oxfordlearnersdictionaries.com/wordlists/oxford3000-5000</x:v>
      </x:c>
    </x:row>
    <x:row r="456" ht="26" customHeight="1">
      <x:c r="A456" s="167" t="n">
        <x:v>455</x:v>
      </x:c>
      <x:c r="B456" s="167" t="str">
        <x:v>enrol</x:v>
      </x:c>
      <x:c r="C456" s="167" t="str">
        <x:v>v.</x:v>
      </x:c>
      <x:c r="D456" s="170" t="str">
        <x:v>зарахувати</x:v>
      </x:c>
      <x:c r="E456" s="167" t="str">
        <x:v>No</x:v>
      </x:c>
      <x:c r="F456" s="167"/>
      <x:c r="G456" s="167" t="str">
        <x:v>Core</x:v>
      </x:c>
      <x:c r="H456" s="167" t="str">
        <x:v>General</x:v>
      </x:c>
      <x:c r="I456" s="167" t="str">
        <x:v>Not Started</x:v>
      </x:c>
      <x:c r="J456" s="167" t="n">
        <x:v>0</x:v>
      </x:c>
      <x:c r="K456" s="168"/>
      <x:c r="L456" s="168" t="str">
        <x:f>IF(OR(I456="Mastered",K456=""),"",K456+IF(J456&gt;=5,30,IF(J456=4,14,IF(J456=3,7,IF(J456=2,3,1)))))</x:f>
      </x:c>
      <x:c r="M456" s="171" t="str"/>
      <x:c r="N456" s="171" t="str"/>
      <x:c r="O456" s="171" t="str">
        <x:v>Draft — verify in context</x:v>
      </x:c>
      <x:c r="P456" s="167" t="str">
        <x:v>https://www.oxfordlearnersdictionaries.com/wordlists/oxford3000-5000</x:v>
      </x:c>
    </x:row>
    <x:row r="457" ht="26" customHeight="1">
      <x:c r="A457" s="167" t="n">
        <x:v>456</x:v>
      </x:c>
      <x:c r="B457" s="167" t="str">
        <x:v>ensue</x:v>
      </x:c>
      <x:c r="C457" s="167" t="str">
        <x:v>v.</x:v>
      </x:c>
      <x:c r="D457" s="170" t="str">
        <x:v>наступати</x:v>
      </x:c>
      <x:c r="E457" s="167" t="str">
        <x:v>No</x:v>
      </x:c>
      <x:c r="F457" s="167"/>
      <x:c r="G457" s="167" t="str">
        <x:v>Core</x:v>
      </x:c>
      <x:c r="H457" s="167" t="str">
        <x:v>General</x:v>
      </x:c>
      <x:c r="I457" s="167" t="str">
        <x:v>Not Started</x:v>
      </x:c>
      <x:c r="J457" s="167" t="n">
        <x:v>0</x:v>
      </x:c>
      <x:c r="K457" s="168"/>
      <x:c r="L457" s="168" t="str">
        <x:f>IF(OR(I457="Mastered",K457=""),"",K457+IF(J457&gt;=5,30,IF(J457=4,14,IF(J457=3,7,IF(J457=2,3,1)))))</x:f>
      </x:c>
      <x:c r="M457" s="171" t="str"/>
      <x:c r="N457" s="171" t="str"/>
      <x:c r="O457" s="171" t="str">
        <x:v>Draft — verify in context</x:v>
      </x:c>
      <x:c r="P457" s="167" t="str">
        <x:v>https://www.oxfordlearnersdictionaries.com/wordlists/oxford3000-5000</x:v>
      </x:c>
    </x:row>
    <x:row r="458" ht="26" customHeight="1">
      <x:c r="A458" s="167" t="n">
        <x:v>457</x:v>
      </x:c>
      <x:c r="B458" s="167" t="str">
        <x:v>enterprise</x:v>
      </x:c>
      <x:c r="C458" s="167" t="str">
        <x:v>n.</x:v>
      </x:c>
      <x:c r="D458" s="170" t="str">
        <x:v>підприємство</x:v>
      </x:c>
      <x:c r="E458" s="167" t="str">
        <x:v>No</x:v>
      </x:c>
      <x:c r="F458" s="167"/>
      <x:c r="G458" s="167" t="str">
        <x:v>High</x:v>
      </x:c>
      <x:c r="H458" s="167" t="str">
        <x:v>Economy &amp; work</x:v>
      </x:c>
      <x:c r="I458" s="167" t="str">
        <x:v>Not Started</x:v>
      </x:c>
      <x:c r="J458" s="167" t="n">
        <x:v>0</x:v>
      </x:c>
      <x:c r="K458" s="168"/>
      <x:c r="L458" s="168" t="str">
        <x:f>IF(OR(I458="Mastered",K458=""),"",K458+IF(J458&gt;=5,30,IF(J458=4,14,IF(J458=3,7,IF(J458=2,3,1)))))</x:f>
      </x:c>
      <x:c r="M458" s="171" t="str"/>
      <x:c r="N458" s="171" t="str"/>
      <x:c r="O458" s="171" t="str">
        <x:v>Draft — verify in context</x:v>
      </x:c>
      <x:c r="P458" s="167" t="str">
        <x:v>https://www.oxfordlearnersdictionaries.com/wordlists/oxford3000-5000</x:v>
      </x:c>
    </x:row>
    <x:row r="459" ht="26" customHeight="1">
      <x:c r="A459" s="167" t="n">
        <x:v>458</x:v>
      </x:c>
      <x:c r="B459" s="167" t="str">
        <x:v>enthusiast</x:v>
      </x:c>
      <x:c r="C459" s="167" t="str">
        <x:v>n.</x:v>
      </x:c>
      <x:c r="D459" s="170" t="str">
        <x:v>ентузіаст</x:v>
      </x:c>
      <x:c r="E459" s="167" t="str">
        <x:v>No</x:v>
      </x:c>
      <x:c r="F459" s="167"/>
      <x:c r="G459" s="167" t="str">
        <x:v>Core</x:v>
      </x:c>
      <x:c r="H459" s="167" t="str">
        <x:v>General</x:v>
      </x:c>
      <x:c r="I459" s="167" t="str">
        <x:v>Not Started</x:v>
      </x:c>
      <x:c r="J459" s="167" t="n">
        <x:v>0</x:v>
      </x:c>
      <x:c r="K459" s="168"/>
      <x:c r="L459" s="168" t="str">
        <x:f>IF(OR(I459="Mastered",K459=""),"",K459+IF(J459&gt;=5,30,IF(J459=4,14,IF(J459=3,7,IF(J459=2,3,1)))))</x:f>
      </x:c>
      <x:c r="M459" s="171" t="str"/>
      <x:c r="N459" s="171" t="str"/>
      <x:c r="O459" s="171" t="str">
        <x:v>Draft — verify in context</x:v>
      </x:c>
      <x:c r="P459" s="167" t="str">
        <x:v>https://www.oxfordlearnersdictionaries.com/wordlists/oxford3000-5000</x:v>
      </x:c>
    </x:row>
    <x:row r="460" ht="26" customHeight="1">
      <x:c r="A460" s="167" t="n">
        <x:v>459</x:v>
      </x:c>
      <x:c r="B460" s="167" t="str">
        <x:v>entitle</x:v>
      </x:c>
      <x:c r="C460" s="167" t="str">
        <x:v>v.</x:v>
      </x:c>
      <x:c r="D460" s="170" t="str">
        <x:v>заголовок</x:v>
      </x:c>
      <x:c r="E460" s="167" t="str">
        <x:v>No</x:v>
      </x:c>
      <x:c r="F460" s="167"/>
      <x:c r="G460" s="167" t="str">
        <x:v>Core</x:v>
      </x:c>
      <x:c r="H460" s="167" t="str">
        <x:v>General</x:v>
      </x:c>
      <x:c r="I460" s="167" t="str">
        <x:v>Not Started</x:v>
      </x:c>
      <x:c r="J460" s="167" t="n">
        <x:v>0</x:v>
      </x:c>
      <x:c r="K460" s="168"/>
      <x:c r="L460" s="168" t="str">
        <x:f>IF(OR(I460="Mastered",K460=""),"",K460+IF(J460&gt;=5,30,IF(J460=4,14,IF(J460=3,7,IF(J460=2,3,1)))))</x:f>
      </x:c>
      <x:c r="M460" s="171" t="str"/>
      <x:c r="N460" s="171" t="str"/>
      <x:c r="O460" s="171" t="str">
        <x:v>Draft — verify in context</x:v>
      </x:c>
      <x:c r="P460" s="167" t="str">
        <x:v>https://www.oxfordlearnersdictionaries.com/wordlists/oxford3000-5000</x:v>
      </x:c>
    </x:row>
    <x:row r="461" ht="26" customHeight="1">
      <x:c r="A461" s="167" t="n">
        <x:v>460</x:v>
      </x:c>
      <x:c r="B461" s="167" t="str">
        <x:v>entity</x:v>
      </x:c>
      <x:c r="C461" s="167" t="str">
        <x:v>n.</x:v>
      </x:c>
      <x:c r="D461" s="170" t="str">
        <x:v>сутність</x:v>
      </x:c>
      <x:c r="E461" s="167" t="str">
        <x:v>No</x:v>
      </x:c>
      <x:c r="F461" s="167"/>
      <x:c r="G461" s="167" t="str">
        <x:v>Core</x:v>
      </x:c>
      <x:c r="H461" s="167" t="str">
        <x:v>General</x:v>
      </x:c>
      <x:c r="I461" s="167" t="str">
        <x:v>Not Started</x:v>
      </x:c>
      <x:c r="J461" s="167" t="n">
        <x:v>0</x:v>
      </x:c>
      <x:c r="K461" s="168"/>
      <x:c r="L461" s="168" t="str">
        <x:f>IF(OR(I461="Mastered",K461=""),"",K461+IF(J461&gt;=5,30,IF(J461=4,14,IF(J461=3,7,IF(J461=2,3,1)))))</x:f>
      </x:c>
      <x:c r="M461" s="171" t="str"/>
      <x:c r="N461" s="171" t="str"/>
      <x:c r="O461" s="171" t="str">
        <x:v>Draft — verify in context</x:v>
      </x:c>
      <x:c r="P461" s="167" t="str">
        <x:v>https://www.oxfordlearnersdictionaries.com/wordlists/oxford3000-5000</x:v>
      </x:c>
    </x:row>
    <x:row r="462" ht="26" customHeight="1">
      <x:c r="A462" s="167" t="n">
        <x:v>461</x:v>
      </x:c>
      <x:c r="B462" s="167" t="str">
        <x:v>epidemic</x:v>
      </x:c>
      <x:c r="C462" s="167" t="str">
        <x:v>n.</x:v>
      </x:c>
      <x:c r="D462" s="170" t="str">
        <x:v>епідемія</x:v>
      </x:c>
      <x:c r="E462" s="167" t="str">
        <x:v>No</x:v>
      </x:c>
      <x:c r="F462" s="167"/>
      <x:c r="G462" s="167" t="str">
        <x:v>High</x:v>
      </x:c>
      <x:c r="H462" s="167" t="str">
        <x:v>Health</x:v>
      </x:c>
      <x:c r="I462" s="167" t="str">
        <x:v>Not Started</x:v>
      </x:c>
      <x:c r="J462" s="167" t="n">
        <x:v>0</x:v>
      </x:c>
      <x:c r="K462" s="168"/>
      <x:c r="L462" s="168" t="str">
        <x:f>IF(OR(I462="Mastered",K462=""),"",K462+IF(J462&gt;=5,30,IF(J462=4,14,IF(J462=3,7,IF(J462=2,3,1)))))</x:f>
      </x:c>
      <x:c r="M462" s="171" t="str"/>
      <x:c r="N462" s="171" t="str"/>
      <x:c r="O462" s="171" t="str">
        <x:v>Draft — verify in context</x:v>
      </x:c>
      <x:c r="P462" s="167" t="str">
        <x:v>https://www.oxfordlearnersdictionaries.com/wordlists/oxford3000-5000</x:v>
      </x:c>
    </x:row>
    <x:row r="463" ht="26" customHeight="1">
      <x:c r="A463" s="167" t="n">
        <x:v>462</x:v>
      </x:c>
      <x:c r="B463" s="167" t="str">
        <x:v>equality</x:v>
      </x:c>
      <x:c r="C463" s="167" t="str">
        <x:v>n.</x:v>
      </x:c>
      <x:c r="D463" s="170" t="str">
        <x:v>рівність</x:v>
      </x:c>
      <x:c r="E463" s="167" t="str">
        <x:v>No</x:v>
      </x:c>
      <x:c r="F463" s="167"/>
      <x:c r="G463" s="167" t="str">
        <x:v>Core</x:v>
      </x:c>
      <x:c r="H463" s="167" t="str">
        <x:v>General</x:v>
      </x:c>
      <x:c r="I463" s="167" t="str">
        <x:v>Not Started</x:v>
      </x:c>
      <x:c r="J463" s="167" t="n">
        <x:v>0</x:v>
      </x:c>
      <x:c r="K463" s="168"/>
      <x:c r="L463" s="168" t="str">
        <x:f>IF(OR(I463="Mastered",K463=""),"",K463+IF(J463&gt;=5,30,IF(J463=4,14,IF(J463=3,7,IF(J463=2,3,1)))))</x:f>
      </x:c>
      <x:c r="M463" s="171" t="str"/>
      <x:c r="N463" s="171" t="str"/>
      <x:c r="O463" s="171" t="str">
        <x:v>Draft — verify in context</x:v>
      </x:c>
      <x:c r="P463" s="167" t="str">
        <x:v>https://www.oxfordlearnersdictionaries.com/wordlists/oxford3000-5000</x:v>
      </x:c>
    </x:row>
    <x:row r="464" ht="26" customHeight="1">
      <x:c r="A464" s="167" t="n">
        <x:v>463</x:v>
      </x:c>
      <x:c r="B464" s="167" t="str">
        <x:v>equation</x:v>
      </x:c>
      <x:c r="C464" s="167" t="str">
        <x:v>n.</x:v>
      </x:c>
      <x:c r="D464" s="170" t="str">
        <x:v>рівняння</x:v>
      </x:c>
      <x:c r="E464" s="167" t="str">
        <x:v>Yes</x:v>
      </x:c>
      <x:c r="F464" s="167" t="n">
        <x:v>2</x:v>
      </x:c>
      <x:c r="G464" s="167" t="str">
        <x:v>High</x:v>
      </x:c>
      <x:c r="H464" s="167" t="str">
        <x:v>General</x:v>
      </x:c>
      <x:c r="I464" s="167" t="str">
        <x:v>Not Started</x:v>
      </x:c>
      <x:c r="J464" s="167" t="n">
        <x:v>0</x:v>
      </x:c>
      <x:c r="K464" s="168"/>
      <x:c r="L464" s="168" t="str">
        <x:f>IF(OR(I464="Mastered",K464=""),"",K464+IF(J464&gt;=5,30,IF(J464=4,14,IF(J464=3,7,IF(J464=2,3,1)))))</x:f>
      </x:c>
      <x:c r="M464" s="171" t="str"/>
      <x:c r="N464" s="171" t="str"/>
      <x:c r="O464" s="171" t="str">
        <x:v>Draft — verify in context</x:v>
      </x:c>
      <x:c r="P464" s="167" t="str">
        <x:v>https://www.oxfordlearnersdictionaries.com/wordlists/oxford3000-5000</x:v>
      </x:c>
    </x:row>
    <x:row r="465" ht="26" customHeight="1">
      <x:c r="A465" s="167" t="n">
        <x:v>464</x:v>
      </x:c>
      <x:c r="B465" s="167" t="str">
        <x:v>erect</x:v>
      </x:c>
      <x:c r="C465" s="167" t="str">
        <x:v>v.</x:v>
      </x:c>
      <x:c r="D465" s="170" t="str">
        <x:v>звести</x:v>
      </x:c>
      <x:c r="E465" s="167" t="str">
        <x:v>No</x:v>
      </x:c>
      <x:c r="F465" s="167"/>
      <x:c r="G465" s="167" t="str">
        <x:v>Core</x:v>
      </x:c>
      <x:c r="H465" s="167" t="str">
        <x:v>General</x:v>
      </x:c>
      <x:c r="I465" s="167" t="str">
        <x:v>Not Started</x:v>
      </x:c>
      <x:c r="J465" s="167" t="n">
        <x:v>0</x:v>
      </x:c>
      <x:c r="K465" s="168"/>
      <x:c r="L465" s="168" t="str">
        <x:f>IF(OR(I465="Mastered",K465=""),"",K465+IF(J465&gt;=5,30,IF(J465=4,14,IF(J465=3,7,IF(J465=2,3,1)))))</x:f>
      </x:c>
      <x:c r="M465" s="171" t="str"/>
      <x:c r="N465" s="171" t="str"/>
      <x:c r="O465" s="171" t="str">
        <x:v>Draft — verify in context</x:v>
      </x:c>
      <x:c r="P465" s="167" t="str">
        <x:v>https://www.oxfordlearnersdictionaries.com/wordlists/oxford3000-5000</x:v>
      </x:c>
    </x:row>
    <x:row r="466" ht="26" customHeight="1">
      <x:c r="A466" s="167" t="n">
        <x:v>465</x:v>
      </x:c>
      <x:c r="B466" s="167" t="str">
        <x:v>escalate</x:v>
      </x:c>
      <x:c r="C466" s="167" t="str">
        <x:v>v.</x:v>
      </x:c>
      <x:c r="D466" s="170" t="str">
        <x:v>загострювати</x:v>
      </x:c>
      <x:c r="E466" s="167" t="str">
        <x:v>No</x:v>
      </x:c>
      <x:c r="F466" s="167"/>
      <x:c r="G466" s="167" t="str">
        <x:v>Core</x:v>
      </x:c>
      <x:c r="H466" s="167" t="str">
        <x:v>General</x:v>
      </x:c>
      <x:c r="I466" s="167" t="str">
        <x:v>Not Started</x:v>
      </x:c>
      <x:c r="J466" s="167" t="n">
        <x:v>0</x:v>
      </x:c>
      <x:c r="K466" s="168"/>
      <x:c r="L466" s="168" t="str">
        <x:f>IF(OR(I466="Mastered",K466=""),"",K466+IF(J466&gt;=5,30,IF(J466=4,14,IF(J466=3,7,IF(J466=2,3,1)))))</x:f>
      </x:c>
      <x:c r="M466" s="171" t="str"/>
      <x:c r="N466" s="171" t="str"/>
      <x:c r="O466" s="171" t="str">
        <x:v>Draft — verify in context</x:v>
      </x:c>
      <x:c r="P466" s="167" t="str">
        <x:v>https://www.oxfordlearnersdictionaries.com/wordlists/oxford3000-5000</x:v>
      </x:c>
    </x:row>
    <x:row r="467" ht="26" customHeight="1">
      <x:c r="A467" s="167" t="n">
        <x:v>466</x:v>
      </x:c>
      <x:c r="B467" s="167" t="str">
        <x:v>essence</x:v>
      </x:c>
      <x:c r="C467" s="167" t="str">
        <x:v>n.</x:v>
      </x:c>
      <x:c r="D467" s="170" t="str">
        <x:v>суть</x:v>
      </x:c>
      <x:c r="E467" s="167" t="str">
        <x:v>No</x:v>
      </x:c>
      <x:c r="F467" s="167"/>
      <x:c r="G467" s="167" t="str">
        <x:v>Core</x:v>
      </x:c>
      <x:c r="H467" s="167" t="str">
        <x:v>General</x:v>
      </x:c>
      <x:c r="I467" s="167" t="str">
        <x:v>Not Started</x:v>
      </x:c>
      <x:c r="J467" s="167" t="n">
        <x:v>0</x:v>
      </x:c>
      <x:c r="K467" s="168"/>
      <x:c r="L467" s="168" t="str">
        <x:f>IF(OR(I467="Mastered",K467=""),"",K467+IF(J467&gt;=5,30,IF(J467=4,14,IF(J467=3,7,IF(J467=2,3,1)))))</x:f>
      </x:c>
      <x:c r="M467" s="171" t="str"/>
      <x:c r="N467" s="171" t="str"/>
      <x:c r="O467" s="171" t="str">
        <x:v>Draft — verify in context</x:v>
      </x:c>
      <x:c r="P467" s="167" t="str">
        <x:v>https://www.oxfordlearnersdictionaries.com/wordlists/oxford3000-5000</x:v>
      </x:c>
    </x:row>
    <x:row r="468" ht="26" customHeight="1">
      <x:c r="A468" s="167" t="n">
        <x:v>467</x:v>
      </x:c>
      <x:c r="B468" s="167" t="str">
        <x:v>establishment</x:v>
      </x:c>
      <x:c r="C468" s="167" t="str">
        <x:v>n.</x:v>
      </x:c>
      <x:c r="D468" s="170" t="str">
        <x:v>заклад</x:v>
      </x:c>
      <x:c r="E468" s="167" t="str">
        <x:v>No</x:v>
      </x:c>
      <x:c r="F468" s="167"/>
      <x:c r="G468" s="167" t="str">
        <x:v>Core</x:v>
      </x:c>
      <x:c r="H468" s="167" t="str">
        <x:v>General</x:v>
      </x:c>
      <x:c r="I468" s="167" t="str">
        <x:v>Not Started</x:v>
      </x:c>
      <x:c r="J468" s="167" t="n">
        <x:v>0</x:v>
      </x:c>
      <x:c r="K468" s="168"/>
      <x:c r="L468" s="168" t="str">
        <x:f>IF(OR(I468="Mastered",K468=""),"",K468+IF(J468&gt;=5,30,IF(J468=4,14,IF(J468=3,7,IF(J468=2,3,1)))))</x:f>
      </x:c>
      <x:c r="M468" s="171" t="str"/>
      <x:c r="N468" s="171" t="str"/>
      <x:c r="O468" s="171" t="str">
        <x:v>Draft — verify in context</x:v>
      </x:c>
      <x:c r="P468" s="167" t="str">
        <x:v>https://www.oxfordlearnersdictionaries.com/wordlists/oxford3000-5000</x:v>
      </x:c>
    </x:row>
    <x:row r="469" ht="26" customHeight="1">
      <x:c r="A469" s="167" t="n">
        <x:v>468</x:v>
      </x:c>
      <x:c r="B469" s="167" t="str">
        <x:v>eternal</x:v>
      </x:c>
      <x:c r="C469" s="167" t="str">
        <x:v>adj.</x:v>
      </x:c>
      <x:c r="D469" s="170" t="str">
        <x:v>вічний</x:v>
      </x:c>
      <x:c r="E469" s="167" t="str">
        <x:v>No</x:v>
      </x:c>
      <x:c r="F469" s="167"/>
      <x:c r="G469" s="167" t="str">
        <x:v>Core</x:v>
      </x:c>
      <x:c r="H469" s="167" t="str">
        <x:v>General</x:v>
      </x:c>
      <x:c r="I469" s="167" t="str">
        <x:v>Not Started</x:v>
      </x:c>
      <x:c r="J469" s="167" t="n">
        <x:v>0</x:v>
      </x:c>
      <x:c r="K469" s="168"/>
      <x:c r="L469" s="168" t="str">
        <x:f>IF(OR(I469="Mastered",K469=""),"",K469+IF(J469&gt;=5,30,IF(J469=4,14,IF(J469=3,7,IF(J469=2,3,1)))))</x:f>
      </x:c>
      <x:c r="M469" s="171" t="str"/>
      <x:c r="N469" s="171" t="str"/>
      <x:c r="O469" s="171" t="str">
        <x:v>Draft — verify in context</x:v>
      </x:c>
      <x:c r="P469" s="167" t="str">
        <x:v>https://www.oxfordlearnersdictionaries.com/wordlists/oxford3000-5000</x:v>
      </x:c>
    </x:row>
    <x:row r="470" ht="26" customHeight="1">
      <x:c r="A470" s="167" t="n">
        <x:v>469</x:v>
      </x:c>
      <x:c r="B470" s="167" t="str">
        <x:v>evacuate</x:v>
      </x:c>
      <x:c r="C470" s="167" t="str">
        <x:v>v.</x:v>
      </x:c>
      <x:c r="D470" s="170" t="str">
        <x:v>евакуювати</x:v>
      </x:c>
      <x:c r="E470" s="167" t="str">
        <x:v>No</x:v>
      </x:c>
      <x:c r="F470" s="167"/>
      <x:c r="G470" s="167" t="str">
        <x:v>Core</x:v>
      </x:c>
      <x:c r="H470" s="167" t="str">
        <x:v>General</x:v>
      </x:c>
      <x:c r="I470" s="167" t="str">
        <x:v>Not Started</x:v>
      </x:c>
      <x:c r="J470" s="167" t="n">
        <x:v>0</x:v>
      </x:c>
      <x:c r="K470" s="168"/>
      <x:c r="L470" s="168" t="str">
        <x:f>IF(OR(I470="Mastered",K470=""),"",K470+IF(J470&gt;=5,30,IF(J470=4,14,IF(J470=3,7,IF(J470=2,3,1)))))</x:f>
      </x:c>
      <x:c r="M470" s="171" t="str"/>
      <x:c r="N470" s="171" t="str"/>
      <x:c r="O470" s="171" t="str">
        <x:v>Draft — verify in context</x:v>
      </x:c>
      <x:c r="P470" s="167" t="str">
        <x:v>https://www.oxfordlearnersdictionaries.com/wordlists/oxford3000-5000</x:v>
      </x:c>
    </x:row>
    <x:row r="471" ht="26" customHeight="1">
      <x:c r="A471" s="167" t="n">
        <x:v>470</x:v>
      </x:c>
      <x:c r="B471" s="167" t="str">
        <x:v>evoke</x:v>
      </x:c>
      <x:c r="C471" s="167" t="str">
        <x:v>v.</x:v>
      </x:c>
      <x:c r="D471" s="170" t="str">
        <x:v>викликати</x:v>
      </x:c>
      <x:c r="E471" s="167" t="str">
        <x:v>No</x:v>
      </x:c>
      <x:c r="F471" s="167"/>
      <x:c r="G471" s="167" t="str">
        <x:v>Core</x:v>
      </x:c>
      <x:c r="H471" s="167" t="str">
        <x:v>General</x:v>
      </x:c>
      <x:c r="I471" s="167" t="str">
        <x:v>Not Started</x:v>
      </x:c>
      <x:c r="J471" s="167" t="n">
        <x:v>0</x:v>
      </x:c>
      <x:c r="K471" s="168"/>
      <x:c r="L471" s="168" t="str">
        <x:f>IF(OR(I471="Mastered",K471=""),"",K471+IF(J471&gt;=5,30,IF(J471=4,14,IF(J471=3,7,IF(J471=2,3,1)))))</x:f>
      </x:c>
      <x:c r="M471" s="171" t="str"/>
      <x:c r="N471" s="171" t="str"/>
      <x:c r="O471" s="171" t="str">
        <x:v>Draft — verify in context</x:v>
      </x:c>
      <x:c r="P471" s="167" t="str">
        <x:v>https://www.oxfordlearnersdictionaries.com/wordlists/oxford3000-5000</x:v>
      </x:c>
    </x:row>
    <x:row r="472" ht="26" customHeight="1">
      <x:c r="A472" s="167" t="n">
        <x:v>471</x:v>
      </x:c>
      <x:c r="B472" s="167" t="str">
        <x:v>evolutionary</x:v>
      </x:c>
      <x:c r="C472" s="167" t="str">
        <x:v>adj.</x:v>
      </x:c>
      <x:c r="D472" s="170" t="str">
        <x:v>еволюційний</x:v>
      </x:c>
      <x:c r="E472" s="167" t="str">
        <x:v>No</x:v>
      </x:c>
      <x:c r="F472" s="167"/>
      <x:c r="G472" s="167" t="str">
        <x:v>Core</x:v>
      </x:c>
      <x:c r="H472" s="167" t="str">
        <x:v>General</x:v>
      </x:c>
      <x:c r="I472" s="167" t="str">
        <x:v>Not Started</x:v>
      </x:c>
      <x:c r="J472" s="167" t="n">
        <x:v>0</x:v>
      </x:c>
      <x:c r="K472" s="168"/>
      <x:c r="L472" s="168" t="str">
        <x:f>IF(OR(I472="Mastered",K472=""),"",K472+IF(J472&gt;=5,30,IF(J472=4,14,IF(J472=3,7,IF(J472=2,3,1)))))</x:f>
      </x:c>
      <x:c r="M472" s="171" t="str"/>
      <x:c r="N472" s="171" t="str"/>
      <x:c r="O472" s="171" t="str">
        <x:v>Draft — verify in context</x:v>
      </x:c>
      <x:c r="P472" s="167" t="str">
        <x:v>https://www.oxfordlearnersdictionaries.com/wordlists/oxford3000-5000</x:v>
      </x:c>
    </x:row>
    <x:row r="473" ht="26" customHeight="1">
      <x:c r="A473" s="167" t="n">
        <x:v>472</x:v>
      </x:c>
      <x:c r="B473" s="167" t="str">
        <x:v>exaggerate</x:v>
      </x:c>
      <x:c r="C473" s="167" t="str">
        <x:v>v.</x:v>
      </x:c>
      <x:c r="D473" s="170" t="str">
        <x:v>перебільшувати</x:v>
      </x:c>
      <x:c r="E473" s="167" t="str">
        <x:v>No</x:v>
      </x:c>
      <x:c r="F473" s="167"/>
      <x:c r="G473" s="167" t="str">
        <x:v>Core</x:v>
      </x:c>
      <x:c r="H473" s="167" t="str">
        <x:v>General</x:v>
      </x:c>
      <x:c r="I473" s="167" t="str">
        <x:v>Not Started</x:v>
      </x:c>
      <x:c r="J473" s="167" t="n">
        <x:v>0</x:v>
      </x:c>
      <x:c r="K473" s="168"/>
      <x:c r="L473" s="168" t="str">
        <x:f>IF(OR(I473="Mastered",K473=""),"",K473+IF(J473&gt;=5,30,IF(J473=4,14,IF(J473=3,7,IF(J473=2,3,1)))))</x:f>
      </x:c>
      <x:c r="M473" s="171" t="str"/>
      <x:c r="N473" s="171" t="str"/>
      <x:c r="O473" s="171" t="str">
        <x:v>Draft — verify in context</x:v>
      </x:c>
      <x:c r="P473" s="167" t="str">
        <x:v>https://www.oxfordlearnersdictionaries.com/wordlists/oxford3000-5000</x:v>
      </x:c>
    </x:row>
    <x:row r="474" ht="26" customHeight="1">
      <x:c r="A474" s="167" t="n">
        <x:v>473</x:v>
      </x:c>
      <x:c r="B474" s="167" t="str">
        <x:v>excellence</x:v>
      </x:c>
      <x:c r="C474" s="167" t="str">
        <x:v>n.</x:v>
      </x:c>
      <x:c r="D474" s="170" t="str">
        <x:v>відмінність</x:v>
      </x:c>
      <x:c r="E474" s="167" t="str">
        <x:v>No</x:v>
      </x:c>
      <x:c r="F474" s="167"/>
      <x:c r="G474" s="167" t="str">
        <x:v>Core</x:v>
      </x:c>
      <x:c r="H474" s="167" t="str">
        <x:v>General</x:v>
      </x:c>
      <x:c r="I474" s="167" t="str">
        <x:v>Not Started</x:v>
      </x:c>
      <x:c r="J474" s="167" t="n">
        <x:v>0</x:v>
      </x:c>
      <x:c r="K474" s="168"/>
      <x:c r="L474" s="168" t="str">
        <x:f>IF(OR(I474="Mastered",K474=""),"",K474+IF(J474&gt;=5,30,IF(J474=4,14,IF(J474=3,7,IF(J474=2,3,1)))))</x:f>
      </x:c>
      <x:c r="M474" s="171" t="str"/>
      <x:c r="N474" s="171" t="str"/>
      <x:c r="O474" s="171" t="str">
        <x:v>Draft — verify in context</x:v>
      </x:c>
      <x:c r="P474" s="167" t="str">
        <x:v>https://www.oxfordlearnersdictionaries.com/wordlists/oxford3000-5000</x:v>
      </x:c>
    </x:row>
    <x:row r="475" ht="26" customHeight="1">
      <x:c r="A475" s="167" t="n">
        <x:v>474</x:v>
      </x:c>
      <x:c r="B475" s="167" t="str">
        <x:v>exceptional</x:v>
      </x:c>
      <x:c r="C475" s="167" t="str">
        <x:v>adj.</x:v>
      </x:c>
      <x:c r="D475" s="170" t="str">
        <x:v>винятковий</x:v>
      </x:c>
      <x:c r="E475" s="167" t="str">
        <x:v>No</x:v>
      </x:c>
      <x:c r="F475" s="167"/>
      <x:c r="G475" s="167" t="str">
        <x:v>Core</x:v>
      </x:c>
      <x:c r="H475" s="167" t="str">
        <x:v>General</x:v>
      </x:c>
      <x:c r="I475" s="167" t="str">
        <x:v>Not Started</x:v>
      </x:c>
      <x:c r="J475" s="167" t="n">
        <x:v>0</x:v>
      </x:c>
      <x:c r="K475" s="168"/>
      <x:c r="L475" s="168" t="str">
        <x:f>IF(OR(I475="Mastered",K475=""),"",K475+IF(J475&gt;=5,30,IF(J475=4,14,IF(J475=3,7,IF(J475=2,3,1)))))</x:f>
      </x:c>
      <x:c r="M475" s="171" t="str"/>
      <x:c r="N475" s="171" t="str"/>
      <x:c r="O475" s="171" t="str">
        <x:v>Draft — verify in context</x:v>
      </x:c>
      <x:c r="P475" s="167" t="str">
        <x:v>https://www.oxfordlearnersdictionaries.com/wordlists/oxford3000-5000</x:v>
      </x:c>
    </x:row>
    <x:row r="476" ht="26" customHeight="1">
      <x:c r="A476" s="167" t="n">
        <x:v>475</x:v>
      </x:c>
      <x:c r="B476" s="167" t="str">
        <x:v>excess</x:v>
      </x:c>
      <x:c r="C476" s="167" t="str">
        <x:v>n., adj.</x:v>
      </x:c>
      <x:c r="D476" s="170" t="str">
        <x:v>надлишок</x:v>
      </x:c>
      <x:c r="E476" s="167" t="str">
        <x:v>No</x:v>
      </x:c>
      <x:c r="F476" s="167"/>
      <x:c r="G476" s="167" t="str">
        <x:v>Core</x:v>
      </x:c>
      <x:c r="H476" s="167" t="str">
        <x:v>General</x:v>
      </x:c>
      <x:c r="I476" s="167" t="str">
        <x:v>Not Started</x:v>
      </x:c>
      <x:c r="J476" s="167" t="n">
        <x:v>0</x:v>
      </x:c>
      <x:c r="K476" s="168"/>
      <x:c r="L476" s="168" t="str">
        <x:f>IF(OR(I476="Mastered",K476=""),"",K476+IF(J476&gt;=5,30,IF(J476=4,14,IF(J476=3,7,IF(J476=2,3,1)))))</x:f>
      </x:c>
      <x:c r="M476" s="171" t="str"/>
      <x:c r="N476" s="171" t="str"/>
      <x:c r="O476" s="171" t="str">
        <x:v>Draft — verify in context</x:v>
      </x:c>
      <x:c r="P476" s="167" t="str">
        <x:v>https://www.oxfordlearnersdictionaries.com/wordlists/oxford3000-5000</x:v>
      </x:c>
    </x:row>
    <x:row r="477" ht="26" customHeight="1">
      <x:c r="A477" s="167" t="n">
        <x:v>476</x:v>
      </x:c>
      <x:c r="B477" s="167" t="str">
        <x:v>exclusion</x:v>
      </x:c>
      <x:c r="C477" s="167" t="str">
        <x:v>n.</x:v>
      </x:c>
      <x:c r="D477" s="170" t="str">
        <x:v>виключення</x:v>
      </x:c>
      <x:c r="E477" s="167" t="str">
        <x:v>No</x:v>
      </x:c>
      <x:c r="F477" s="167"/>
      <x:c r="G477" s="167" t="str">
        <x:v>Core</x:v>
      </x:c>
      <x:c r="H477" s="167" t="str">
        <x:v>General</x:v>
      </x:c>
      <x:c r="I477" s="167" t="str">
        <x:v>Not Started</x:v>
      </x:c>
      <x:c r="J477" s="167" t="n">
        <x:v>0</x:v>
      </x:c>
      <x:c r="K477" s="168"/>
      <x:c r="L477" s="168" t="str">
        <x:f>IF(OR(I477="Mastered",K477=""),"",K477+IF(J477&gt;=5,30,IF(J477=4,14,IF(J477=3,7,IF(J477=2,3,1)))))</x:f>
      </x:c>
      <x:c r="M477" s="171" t="str"/>
      <x:c r="N477" s="171" t="str"/>
      <x:c r="O477" s="171" t="str">
        <x:v>Draft — verify in context</x:v>
      </x:c>
      <x:c r="P477" s="167" t="str">
        <x:v>https://www.oxfordlearnersdictionaries.com/wordlists/oxford3000-5000</x:v>
      </x:c>
    </x:row>
    <x:row r="478" ht="26" customHeight="1">
      <x:c r="A478" s="167" t="n">
        <x:v>477</x:v>
      </x:c>
      <x:c r="B478" s="167" t="str">
        <x:v>exclusive</x:v>
      </x:c>
      <x:c r="C478" s="167" t="str">
        <x:v>adj.</x:v>
      </x:c>
      <x:c r="D478" s="170" t="str">
        <x:v>винятковий</x:v>
      </x:c>
      <x:c r="E478" s="167" t="str">
        <x:v>No</x:v>
      </x:c>
      <x:c r="F478" s="167"/>
      <x:c r="G478" s="167" t="str">
        <x:v>Core</x:v>
      </x:c>
      <x:c r="H478" s="167" t="str">
        <x:v>General</x:v>
      </x:c>
      <x:c r="I478" s="167" t="str">
        <x:v>Not Started</x:v>
      </x:c>
      <x:c r="J478" s="167" t="n">
        <x:v>0</x:v>
      </x:c>
      <x:c r="K478" s="168"/>
      <x:c r="L478" s="168" t="str">
        <x:f>IF(OR(I478="Mastered",K478=""),"",K478+IF(J478&gt;=5,30,IF(J478=4,14,IF(J478=3,7,IF(J478=2,3,1)))))</x:f>
      </x:c>
      <x:c r="M478" s="171" t="str"/>
      <x:c r="N478" s="171" t="str"/>
      <x:c r="O478" s="171" t="str">
        <x:v>Draft — verify in context</x:v>
      </x:c>
      <x:c r="P478" s="167" t="str">
        <x:v>https://www.oxfordlearnersdictionaries.com/wordlists/oxford3000-5000</x:v>
      </x:c>
    </x:row>
    <x:row r="479" ht="26" customHeight="1">
      <x:c r="A479" s="167" t="n">
        <x:v>478</x:v>
      </x:c>
      <x:c r="B479" s="167" t="str">
        <x:v>exclusively</x:v>
      </x:c>
      <x:c r="C479" s="167" t="str">
        <x:v>adv.</x:v>
      </x:c>
      <x:c r="D479" s="170" t="str">
        <x:v>виключно</x:v>
      </x:c>
      <x:c r="E479" s="167" t="str">
        <x:v>No</x:v>
      </x:c>
      <x:c r="F479" s="167"/>
      <x:c r="G479" s="167" t="str">
        <x:v>Core</x:v>
      </x:c>
      <x:c r="H479" s="167" t="str">
        <x:v>General</x:v>
      </x:c>
      <x:c r="I479" s="167" t="str">
        <x:v>Not Started</x:v>
      </x:c>
      <x:c r="J479" s="167" t="n">
        <x:v>0</x:v>
      </x:c>
      <x:c r="K479" s="168"/>
      <x:c r="L479" s="168" t="str">
        <x:f>IF(OR(I479="Mastered",K479=""),"",K479+IF(J479&gt;=5,30,IF(J479=4,14,IF(J479=3,7,IF(J479=2,3,1)))))</x:f>
      </x:c>
      <x:c r="M479" s="171" t="str"/>
      <x:c r="N479" s="171" t="str"/>
      <x:c r="O479" s="171" t="str">
        <x:v>Draft — verify in context</x:v>
      </x:c>
      <x:c r="P479" s="167" t="str">
        <x:v>https://www.oxfordlearnersdictionaries.com/wordlists/oxford3000-5000</x:v>
      </x:c>
    </x:row>
    <x:row r="480" ht="26" customHeight="1">
      <x:c r="A480" s="167" t="n">
        <x:v>479</x:v>
      </x:c>
      <x:c r="B480" s="167" t="str">
        <x:v>execute</x:v>
      </x:c>
      <x:c r="C480" s="167" t="str">
        <x:v>v.</x:v>
      </x:c>
      <x:c r="D480" s="170" t="str">
        <x:v>виконувати</x:v>
      </x:c>
      <x:c r="E480" s="167" t="str">
        <x:v>No</x:v>
      </x:c>
      <x:c r="F480" s="167"/>
      <x:c r="G480" s="167" t="str">
        <x:v>Core</x:v>
      </x:c>
      <x:c r="H480" s="167" t="str">
        <x:v>General</x:v>
      </x:c>
      <x:c r="I480" s="167" t="str">
        <x:v>Not Started</x:v>
      </x:c>
      <x:c r="J480" s="167" t="n">
        <x:v>0</x:v>
      </x:c>
      <x:c r="K480" s="168"/>
      <x:c r="L480" s="168" t="str">
        <x:f>IF(OR(I480="Mastered",K480=""),"",K480+IF(J480&gt;=5,30,IF(J480=4,14,IF(J480=3,7,IF(J480=2,3,1)))))</x:f>
      </x:c>
      <x:c r="M480" s="171" t="str"/>
      <x:c r="N480" s="171" t="str"/>
      <x:c r="O480" s="171" t="str">
        <x:v>Draft — verify in context</x:v>
      </x:c>
      <x:c r="P480" s="167" t="str">
        <x:v>https://www.oxfordlearnersdictionaries.com/wordlists/oxford3000-5000</x:v>
      </x:c>
    </x:row>
    <x:row r="481" ht="26" customHeight="1">
      <x:c r="A481" s="167" t="n">
        <x:v>480</x:v>
      </x:c>
      <x:c r="B481" s="167" t="str">
        <x:v>execution</x:v>
      </x:c>
      <x:c r="C481" s="167" t="str">
        <x:v>n.</x:v>
      </x:c>
      <x:c r="D481" s="170" t="str">
        <x:v>виконання</x:v>
      </x:c>
      <x:c r="E481" s="167" t="str">
        <x:v>No</x:v>
      </x:c>
      <x:c r="F481" s="167"/>
      <x:c r="G481" s="167" t="str">
        <x:v>Core</x:v>
      </x:c>
      <x:c r="H481" s="167" t="str">
        <x:v>General</x:v>
      </x:c>
      <x:c r="I481" s="167" t="str">
        <x:v>Not Started</x:v>
      </x:c>
      <x:c r="J481" s="167" t="n">
        <x:v>0</x:v>
      </x:c>
      <x:c r="K481" s="168"/>
      <x:c r="L481" s="168" t="str">
        <x:f>IF(OR(I481="Mastered",K481=""),"",K481+IF(J481&gt;=5,30,IF(J481=4,14,IF(J481=3,7,IF(J481=2,3,1)))))</x:f>
      </x:c>
      <x:c r="M481" s="171" t="str"/>
      <x:c r="N481" s="171" t="str"/>
      <x:c r="O481" s="171" t="str">
        <x:v>Draft — verify in context</x:v>
      </x:c>
      <x:c r="P481" s="167" t="str">
        <x:v>https://www.oxfordlearnersdictionaries.com/wordlists/oxford3000-5000</x:v>
      </x:c>
    </x:row>
    <x:row r="482" ht="26" customHeight="1">
      <x:c r="A482" s="167" t="n">
        <x:v>481</x:v>
      </x:c>
      <x:c r="B482" s="167" t="str">
        <x:v>exert</x:v>
      </x:c>
      <x:c r="C482" s="167" t="str">
        <x:v>v.</x:v>
      </x:c>
      <x:c r="D482" s="170" t="str">
        <x:v>прикладати</x:v>
      </x:c>
      <x:c r="E482" s="167" t="str">
        <x:v>No</x:v>
      </x:c>
      <x:c r="F482" s="167"/>
      <x:c r="G482" s="167" t="str">
        <x:v>Core</x:v>
      </x:c>
      <x:c r="H482" s="167" t="str">
        <x:v>General</x:v>
      </x:c>
      <x:c r="I482" s="167" t="str">
        <x:v>Not Started</x:v>
      </x:c>
      <x:c r="J482" s="167" t="n">
        <x:v>0</x:v>
      </x:c>
      <x:c r="K482" s="168"/>
      <x:c r="L482" s="168" t="str">
        <x:f>IF(OR(I482="Mastered",K482=""),"",K482+IF(J482&gt;=5,30,IF(J482=4,14,IF(J482=3,7,IF(J482=2,3,1)))))</x:f>
      </x:c>
      <x:c r="M482" s="171" t="str"/>
      <x:c r="N482" s="171" t="str"/>
      <x:c r="O482" s="171" t="str">
        <x:v>Draft — verify in context</x:v>
      </x:c>
      <x:c r="P482" s="167" t="str">
        <x:v>https://www.oxfordlearnersdictionaries.com/wordlists/oxford3000-5000</x:v>
      </x:c>
    </x:row>
    <x:row r="483" ht="26" customHeight="1">
      <x:c r="A483" s="167" t="n">
        <x:v>482</x:v>
      </x:c>
      <x:c r="B483" s="167" t="str">
        <x:v>exile</x:v>
      </x:c>
      <x:c r="C483" s="167" t="str">
        <x:v>n.</x:v>
      </x:c>
      <x:c r="D483" s="170" t="str">
        <x:v>вигнання</x:v>
      </x:c>
      <x:c r="E483" s="167" t="str">
        <x:v>No</x:v>
      </x:c>
      <x:c r="F483" s="167"/>
      <x:c r="G483" s="167" t="str">
        <x:v>Core</x:v>
      </x:c>
      <x:c r="H483" s="167" t="str">
        <x:v>General</x:v>
      </x:c>
      <x:c r="I483" s="167" t="str">
        <x:v>Not Started</x:v>
      </x:c>
      <x:c r="J483" s="167" t="n">
        <x:v>0</x:v>
      </x:c>
      <x:c r="K483" s="168"/>
      <x:c r="L483" s="168" t="str">
        <x:f>IF(OR(I483="Mastered",K483=""),"",K483+IF(J483&gt;=5,30,IF(J483=4,14,IF(J483=3,7,IF(J483=2,3,1)))))</x:f>
      </x:c>
      <x:c r="M483" s="171" t="str"/>
      <x:c r="N483" s="171" t="str"/>
      <x:c r="O483" s="171" t="str">
        <x:v>Draft — verify in context</x:v>
      </x:c>
      <x:c r="P483" s="167" t="str">
        <x:v>https://www.oxfordlearnersdictionaries.com/wordlists/oxford3000-5000</x:v>
      </x:c>
    </x:row>
    <x:row r="484" ht="26" customHeight="1">
      <x:c r="A484" s="167" t="n">
        <x:v>483</x:v>
      </x:c>
      <x:c r="B484" s="167" t="str">
        <x:v>exit</x:v>
      </x:c>
      <x:c r="C484" s="167" t="str">
        <x:v>v.</x:v>
      </x:c>
      <x:c r="D484" s="170" t="str">
        <x:v>вихід</x:v>
      </x:c>
      <x:c r="E484" s="167" t="str">
        <x:v>No</x:v>
      </x:c>
      <x:c r="F484" s="167"/>
      <x:c r="G484" s="167" t="str">
        <x:v>Core</x:v>
      </x:c>
      <x:c r="H484" s="167" t="str">
        <x:v>General</x:v>
      </x:c>
      <x:c r="I484" s="167" t="str">
        <x:v>Not Started</x:v>
      </x:c>
      <x:c r="J484" s="167" t="n">
        <x:v>0</x:v>
      </x:c>
      <x:c r="K484" s="168"/>
      <x:c r="L484" s="168" t="str">
        <x:f>IF(OR(I484="Mastered",K484=""),"",K484+IF(J484&gt;=5,30,IF(J484=4,14,IF(J484=3,7,IF(J484=2,3,1)))))</x:f>
      </x:c>
      <x:c r="M484" s="171" t="str"/>
      <x:c r="N484" s="171" t="str"/>
      <x:c r="O484" s="171" t="str">
        <x:v>Draft — verify in context</x:v>
      </x:c>
      <x:c r="P484" s="167" t="str">
        <x:v>https://www.oxfordlearnersdictionaries.com/wordlists/oxford3000-5000</x:v>
      </x:c>
    </x:row>
    <x:row r="485" ht="26" customHeight="1">
      <x:c r="A485" s="167" t="n">
        <x:v>484</x:v>
      </x:c>
      <x:c r="B485" s="167" t="str">
        <x:v>expenditure</x:v>
      </x:c>
      <x:c r="C485" s="167" t="str">
        <x:v>n.</x:v>
      </x:c>
      <x:c r="D485" s="170" t="str">
        <x:v>витрати</x:v>
      </x:c>
      <x:c r="E485" s="167" t="str">
        <x:v>No</x:v>
      </x:c>
      <x:c r="F485" s="167"/>
      <x:c r="G485" s="167" t="str">
        <x:v>High</x:v>
      </x:c>
      <x:c r="H485" s="167" t="str">
        <x:v>Economy &amp; work</x:v>
      </x:c>
      <x:c r="I485" s="167" t="str">
        <x:v>Not Started</x:v>
      </x:c>
      <x:c r="J485" s="167" t="n">
        <x:v>0</x:v>
      </x:c>
      <x:c r="K485" s="168"/>
      <x:c r="L485" s="168" t="str">
        <x:f>IF(OR(I485="Mastered",K485=""),"",K485+IF(J485&gt;=5,30,IF(J485=4,14,IF(J485=3,7,IF(J485=2,3,1)))))</x:f>
      </x:c>
      <x:c r="M485" s="171" t="str"/>
      <x:c r="N485" s="171" t="str"/>
      <x:c r="O485" s="171" t="str">
        <x:v>Draft — verify in context</x:v>
      </x:c>
      <x:c r="P485" s="167" t="str">
        <x:v>https://www.oxfordlearnersdictionaries.com/wordlists/oxford3000-5000</x:v>
      </x:c>
    </x:row>
    <x:row r="486" ht="26" customHeight="1">
      <x:c r="A486" s="167" t="n">
        <x:v>485</x:v>
      </x:c>
      <x:c r="B486" s="167" t="str">
        <x:v>experimental</x:v>
      </x:c>
      <x:c r="C486" s="167" t="str">
        <x:v>adj.</x:v>
      </x:c>
      <x:c r="D486" s="170" t="str">
        <x:v>експериментальний</x:v>
      </x:c>
      <x:c r="E486" s="167" t="str">
        <x:v>No</x:v>
      </x:c>
      <x:c r="F486" s="167"/>
      <x:c r="G486" s="167" t="str">
        <x:v>Core</x:v>
      </x:c>
      <x:c r="H486" s="167" t="str">
        <x:v>General</x:v>
      </x:c>
      <x:c r="I486" s="167" t="str">
        <x:v>Not Started</x:v>
      </x:c>
      <x:c r="J486" s="167" t="n">
        <x:v>0</x:v>
      </x:c>
      <x:c r="K486" s="168"/>
      <x:c r="L486" s="168" t="str">
        <x:f>IF(OR(I486="Mastered",K486=""),"",K486+IF(J486&gt;=5,30,IF(J486=4,14,IF(J486=3,7,IF(J486=2,3,1)))))</x:f>
      </x:c>
      <x:c r="M486" s="171" t="str"/>
      <x:c r="N486" s="171" t="str"/>
      <x:c r="O486" s="171" t="str">
        <x:v>Draft — verify in context</x:v>
      </x:c>
      <x:c r="P486" s="167" t="str">
        <x:v>https://www.oxfordlearnersdictionaries.com/wordlists/oxford3000-5000</x:v>
      </x:c>
    </x:row>
    <x:row r="487" ht="26" customHeight="1">
      <x:c r="A487" s="167" t="n">
        <x:v>486</x:v>
      </x:c>
      <x:c r="B487" s="167" t="str">
        <x:v>expire</x:v>
      </x:c>
      <x:c r="C487" s="167" t="str">
        <x:v>v.</x:v>
      </x:c>
      <x:c r="D487" s="170" t="str">
        <x:v>минає</x:v>
      </x:c>
      <x:c r="E487" s="167" t="str">
        <x:v>No</x:v>
      </x:c>
      <x:c r="F487" s="167"/>
      <x:c r="G487" s="167" t="str">
        <x:v>Core</x:v>
      </x:c>
      <x:c r="H487" s="167" t="str">
        <x:v>General</x:v>
      </x:c>
      <x:c r="I487" s="167" t="str">
        <x:v>Not Started</x:v>
      </x:c>
      <x:c r="J487" s="167" t="n">
        <x:v>0</x:v>
      </x:c>
      <x:c r="K487" s="168"/>
      <x:c r="L487" s="168" t="str">
        <x:f>IF(OR(I487="Mastered",K487=""),"",K487+IF(J487&gt;=5,30,IF(J487=4,14,IF(J487=3,7,IF(J487=2,3,1)))))</x:f>
      </x:c>
      <x:c r="M487" s="171" t="str"/>
      <x:c r="N487" s="171" t="str"/>
      <x:c r="O487" s="171" t="str">
        <x:v>Draft — verify in context</x:v>
      </x:c>
      <x:c r="P487" s="167" t="str">
        <x:v>https://www.oxfordlearnersdictionaries.com/wordlists/oxford3000-5000</x:v>
      </x:c>
    </x:row>
    <x:row r="488" ht="26" customHeight="1">
      <x:c r="A488" s="167" t="n">
        <x:v>487</x:v>
      </x:c>
      <x:c r="B488" s="167" t="str">
        <x:v>explicit</x:v>
      </x:c>
      <x:c r="C488" s="167" t="str">
        <x:v>adj.</x:v>
      </x:c>
      <x:c r="D488" s="170" t="str">
        <x:v>явний</x:v>
      </x:c>
      <x:c r="E488" s="167" t="str">
        <x:v>Yes</x:v>
      </x:c>
      <x:c r="F488" s="167" t="n">
        <x:v>6</x:v>
      </x:c>
      <x:c r="G488" s="167" t="str">
        <x:v>High</x:v>
      </x:c>
      <x:c r="H488" s="167" t="str">
        <x:v>General</x:v>
      </x:c>
      <x:c r="I488" s="167" t="str">
        <x:v>Not Started</x:v>
      </x:c>
      <x:c r="J488" s="167" t="n">
        <x:v>0</x:v>
      </x:c>
      <x:c r="K488" s="168"/>
      <x:c r="L488" s="168" t="str">
        <x:f>IF(OR(I488="Mastered",K488=""),"",K488+IF(J488&gt;=5,30,IF(J488=4,14,IF(J488=3,7,IF(J488=2,3,1)))))</x:f>
      </x:c>
      <x:c r="M488" s="171" t="str"/>
      <x:c r="N488" s="171" t="str"/>
      <x:c r="O488" s="171" t="str">
        <x:v>Draft — verify in context</x:v>
      </x:c>
      <x:c r="P488" s="167" t="str">
        <x:v>https://www.oxfordlearnersdictionaries.com/wordlists/oxford3000-5000</x:v>
      </x:c>
    </x:row>
    <x:row r="489" ht="26" customHeight="1">
      <x:c r="A489" s="167" t="n">
        <x:v>488</x:v>
      </x:c>
      <x:c r="B489" s="167" t="str">
        <x:v>explicitly</x:v>
      </x:c>
      <x:c r="C489" s="167" t="str">
        <x:v>adv.</x:v>
      </x:c>
      <x:c r="D489" s="170" t="str">
        <x:v>явно</x:v>
      </x:c>
      <x:c r="E489" s="167" t="str">
        <x:v>No</x:v>
      </x:c>
      <x:c r="F489" s="167"/>
      <x:c r="G489" s="167" t="str">
        <x:v>Core</x:v>
      </x:c>
      <x:c r="H489" s="167" t="str">
        <x:v>General</x:v>
      </x:c>
      <x:c r="I489" s="167" t="str">
        <x:v>Not Started</x:v>
      </x:c>
      <x:c r="J489" s="167" t="n">
        <x:v>0</x:v>
      </x:c>
      <x:c r="K489" s="168"/>
      <x:c r="L489" s="168" t="str">
        <x:f>IF(OR(I489="Mastered",K489=""),"",K489+IF(J489&gt;=5,30,IF(J489=4,14,IF(J489=3,7,IF(J489=2,3,1)))))</x:f>
      </x:c>
      <x:c r="M489" s="171" t="str"/>
      <x:c r="N489" s="171" t="str"/>
      <x:c r="O489" s="171" t="str">
        <x:v>Draft — verify in context</x:v>
      </x:c>
      <x:c r="P489" s="167" t="str">
        <x:v>https://www.oxfordlearnersdictionaries.com/wordlists/oxford3000-5000</x:v>
      </x:c>
    </x:row>
    <x:row r="490" ht="26" customHeight="1">
      <x:c r="A490" s="167" t="n">
        <x:v>489</x:v>
      </x:c>
      <x:c r="B490" s="167" t="str">
        <x:v>exploitation</x:v>
      </x:c>
      <x:c r="C490" s="167" t="str">
        <x:v>n.</x:v>
      </x:c>
      <x:c r="D490" s="170" t="str">
        <x:v>експлуатація</x:v>
      </x:c>
      <x:c r="E490" s="167" t="str">
        <x:v>Yes</x:v>
      </x:c>
      <x:c r="F490" s="167" t="n">
        <x:v>8</x:v>
      </x:c>
      <x:c r="G490" s="167" t="str">
        <x:v>High</x:v>
      </x:c>
      <x:c r="H490" s="167" t="str">
        <x:v>General</x:v>
      </x:c>
      <x:c r="I490" s="167" t="str">
        <x:v>Not Started</x:v>
      </x:c>
      <x:c r="J490" s="167" t="n">
        <x:v>0</x:v>
      </x:c>
      <x:c r="K490" s="168"/>
      <x:c r="L490" s="168" t="str">
        <x:f>IF(OR(I490="Mastered",K490=""),"",K490+IF(J490&gt;=5,30,IF(J490=4,14,IF(J490=3,7,IF(J490=2,3,1)))))</x:f>
      </x:c>
      <x:c r="M490" s="171" t="str"/>
      <x:c r="N490" s="171" t="str"/>
      <x:c r="O490" s="171" t="str">
        <x:v>Draft — verify in context</x:v>
      </x:c>
      <x:c r="P490" s="167" t="str">
        <x:v>https://www.oxfordlearnersdictionaries.com/wordlists/oxford3000-5000</x:v>
      </x:c>
    </x:row>
    <x:row r="491" ht="26" customHeight="1">
      <x:c r="A491" s="167" t="n">
        <x:v>490</x:v>
      </x:c>
      <x:c r="B491" s="167" t="str">
        <x:v>explosive</x:v>
      </x:c>
      <x:c r="C491" s="167" t="str">
        <x:v>adj., n.</x:v>
      </x:c>
      <x:c r="D491" s="170" t="str">
        <x:v>вибуховий</x:v>
      </x:c>
      <x:c r="E491" s="167" t="str">
        <x:v>No</x:v>
      </x:c>
      <x:c r="F491" s="167"/>
      <x:c r="G491" s="167" t="str">
        <x:v>Core</x:v>
      </x:c>
      <x:c r="H491" s="167" t="str">
        <x:v>General</x:v>
      </x:c>
      <x:c r="I491" s="167" t="str">
        <x:v>Not Started</x:v>
      </x:c>
      <x:c r="J491" s="167" t="n">
        <x:v>0</x:v>
      </x:c>
      <x:c r="K491" s="168"/>
      <x:c r="L491" s="168" t="str">
        <x:f>IF(OR(I491="Mastered",K491=""),"",K491+IF(J491&gt;=5,30,IF(J491=4,14,IF(J491=3,7,IF(J491=2,3,1)))))</x:f>
      </x:c>
      <x:c r="M491" s="171" t="str"/>
      <x:c r="N491" s="171" t="str"/>
      <x:c r="O491" s="171" t="str">
        <x:v>Draft — verify in context</x:v>
      </x:c>
      <x:c r="P491" s="167" t="str">
        <x:v>https://www.oxfordlearnersdictionaries.com/wordlists/oxford3000-5000</x:v>
      </x:c>
    </x:row>
    <x:row r="492" ht="26" customHeight="1">
      <x:c r="A492" s="167" t="n">
        <x:v>491</x:v>
      </x:c>
      <x:c r="B492" s="167" t="str">
        <x:v>extract</x:v>
      </x:c>
      <x:c r="C492" s="167" t="str">
        <x:v>v.</x:v>
      </x:c>
      <x:c r="D492" s="170" t="str">
        <x:v>екстракт</x:v>
      </x:c>
      <x:c r="E492" s="167" t="str">
        <x:v>Yes</x:v>
      </x:c>
      <x:c r="F492" s="167" t="n">
        <x:v>7</x:v>
      </x:c>
      <x:c r="G492" s="167" t="str">
        <x:v>High</x:v>
      </x:c>
      <x:c r="H492" s="167" t="str">
        <x:v>General</x:v>
      </x:c>
      <x:c r="I492" s="167" t="str">
        <x:v>Not Started</x:v>
      </x:c>
      <x:c r="J492" s="167" t="n">
        <x:v>0</x:v>
      </x:c>
      <x:c r="K492" s="168"/>
      <x:c r="L492" s="168" t="str">
        <x:f>IF(OR(I492="Mastered",K492=""),"",K492+IF(J492&gt;=5,30,IF(J492=4,14,IF(J492=3,7,IF(J492=2,3,1)))))</x:f>
      </x:c>
      <x:c r="M492" s="171" t="str"/>
      <x:c r="N492" s="171" t="str"/>
      <x:c r="O492" s="171" t="str">
        <x:v>Draft — verify in context</x:v>
      </x:c>
      <x:c r="P492" s="167" t="str">
        <x:v>https://www.oxfordlearnersdictionaries.com/wordlists/oxford3000-5000</x:v>
      </x:c>
    </x:row>
    <x:row r="493" ht="26" customHeight="1">
      <x:c r="A493" s="167" t="n">
        <x:v>492</x:v>
      </x:c>
      <x:c r="B493" s="167" t="str">
        <x:v>extremist</x:v>
      </x:c>
      <x:c r="C493" s="167" t="str">
        <x:v>n.</x:v>
      </x:c>
      <x:c r="D493" s="170" t="str">
        <x:v>екстреміст</x:v>
      </x:c>
      <x:c r="E493" s="167" t="str">
        <x:v>No</x:v>
      </x:c>
      <x:c r="F493" s="167"/>
      <x:c r="G493" s="167" t="str">
        <x:v>Core</x:v>
      </x:c>
      <x:c r="H493" s="167" t="str">
        <x:v>General</x:v>
      </x:c>
      <x:c r="I493" s="167" t="str">
        <x:v>Not Started</x:v>
      </x:c>
      <x:c r="J493" s="167" t="n">
        <x:v>0</x:v>
      </x:c>
      <x:c r="K493" s="168"/>
      <x:c r="L493" s="168" t="str">
        <x:f>IF(OR(I493="Mastered",K493=""),"",K493+IF(J493&gt;=5,30,IF(J493=4,14,IF(J493=3,7,IF(J493=2,3,1)))))</x:f>
      </x:c>
      <x:c r="M493" s="171" t="str"/>
      <x:c r="N493" s="171" t="str"/>
      <x:c r="O493" s="171" t="str">
        <x:v>Draft — verify in context</x:v>
      </x:c>
      <x:c r="P493" s="167" t="str">
        <x:v>https://www.oxfordlearnersdictionaries.com/wordlists/oxford3000-5000</x:v>
      </x:c>
    </x:row>
    <x:row r="494" ht="26" customHeight="1">
      <x:c r="A494" s="167" t="n">
        <x:v>493</x:v>
      </x:c>
      <x:c r="B494" s="167" t="str">
        <x:v>facilitate</x:v>
      </x:c>
      <x:c r="C494" s="167" t="str">
        <x:v>v.</x:v>
      </x:c>
      <x:c r="D494" s="170" t="str">
        <x:v>сприяти</x:v>
      </x:c>
      <x:c r="E494" s="167" t="str">
        <x:v>Yes</x:v>
      </x:c>
      <x:c r="F494" s="167" t="n">
        <x:v>5</x:v>
      </x:c>
      <x:c r="G494" s="167" t="str">
        <x:v>High</x:v>
      </x:c>
      <x:c r="H494" s="167" t="str">
        <x:v>General</x:v>
      </x:c>
      <x:c r="I494" s="167" t="str">
        <x:v>Not Started</x:v>
      </x:c>
      <x:c r="J494" s="167" t="n">
        <x:v>0</x:v>
      </x:c>
      <x:c r="K494" s="168"/>
      <x:c r="L494" s="168" t="str">
        <x:f>IF(OR(I494="Mastered",K494=""),"",K494+IF(J494&gt;=5,30,IF(J494=4,14,IF(J494=3,7,IF(J494=2,3,1)))))</x:f>
      </x:c>
      <x:c r="M494" s="171" t="str"/>
      <x:c r="N494" s="171" t="str"/>
      <x:c r="O494" s="171" t="str">
        <x:v>Draft — verify in context</x:v>
      </x:c>
      <x:c r="P494" s="167" t="str">
        <x:v>https://www.oxfordlearnersdictionaries.com/wordlists/oxford3000-5000</x:v>
      </x:c>
    </x:row>
    <x:row r="495" ht="26" customHeight="1">
      <x:c r="A495" s="167" t="n">
        <x:v>494</x:v>
      </x:c>
      <x:c r="B495" s="167" t="str">
        <x:v>faction</x:v>
      </x:c>
      <x:c r="C495" s="167" t="str">
        <x:v>n.</x:v>
      </x:c>
      <x:c r="D495" s="170" t="str">
        <x:v>фракція</x:v>
      </x:c>
      <x:c r="E495" s="167" t="str">
        <x:v>No</x:v>
      </x:c>
      <x:c r="F495" s="167"/>
      <x:c r="G495" s="167" t="str">
        <x:v>Core</x:v>
      </x:c>
      <x:c r="H495" s="167" t="str">
        <x:v>General</x:v>
      </x:c>
      <x:c r="I495" s="167" t="str">
        <x:v>Not Started</x:v>
      </x:c>
      <x:c r="J495" s="167" t="n">
        <x:v>0</x:v>
      </x:c>
      <x:c r="K495" s="168"/>
      <x:c r="L495" s="168" t="str">
        <x:f>IF(OR(I495="Mastered",K495=""),"",K495+IF(J495&gt;=5,30,IF(J495=4,14,IF(J495=3,7,IF(J495=2,3,1)))))</x:f>
      </x:c>
      <x:c r="M495" s="171" t="str"/>
      <x:c r="N495" s="171" t="str"/>
      <x:c r="O495" s="171" t="str">
        <x:v>Draft — verify in context</x:v>
      </x:c>
      <x:c r="P495" s="167" t="str">
        <x:v>https://www.oxfordlearnersdictionaries.com/wordlists/oxford3000-5000</x:v>
      </x:c>
    </x:row>
    <x:row r="496" ht="26" customHeight="1">
      <x:c r="A496" s="167" t="n">
        <x:v>495</x:v>
      </x:c>
      <x:c r="B496" s="167" t="str">
        <x:v>faculty</x:v>
      </x:c>
      <x:c r="C496" s="167" t="str">
        <x:v>n.</x:v>
      </x:c>
      <x:c r="D496" s="170" t="str">
        <x:v>факультет</x:v>
      </x:c>
      <x:c r="E496" s="167" t="str">
        <x:v>No</x:v>
      </x:c>
      <x:c r="F496" s="167"/>
      <x:c r="G496" s="167" t="str">
        <x:v>High</x:v>
      </x:c>
      <x:c r="H496" s="167" t="str">
        <x:v>Education</x:v>
      </x:c>
      <x:c r="I496" s="167" t="str">
        <x:v>Not Started</x:v>
      </x:c>
      <x:c r="J496" s="167" t="n">
        <x:v>0</x:v>
      </x:c>
      <x:c r="K496" s="168"/>
      <x:c r="L496" s="168" t="str">
        <x:f>IF(OR(I496="Mastered",K496=""),"",K496+IF(J496&gt;=5,30,IF(J496=4,14,IF(J496=3,7,IF(J496=2,3,1)))))</x:f>
      </x:c>
      <x:c r="M496" s="171" t="str"/>
      <x:c r="N496" s="171" t="str"/>
      <x:c r="O496" s="171" t="str">
        <x:v>Draft — verify in context</x:v>
      </x:c>
      <x:c r="P496" s="167" t="str">
        <x:v>https://www.oxfordlearnersdictionaries.com/wordlists/oxford3000-5000</x:v>
      </x:c>
    </x:row>
    <x:row r="497" ht="26" customHeight="1">
      <x:c r="A497" s="167" t="n">
        <x:v>496</x:v>
      </x:c>
      <x:c r="B497" s="167" t="str">
        <x:v>fade</x:v>
      </x:c>
      <x:c r="C497" s="167" t="str">
        <x:v>v.</x:v>
      </x:c>
      <x:c r="D497" s="170" t="str">
        <x:v>зникати</x:v>
      </x:c>
      <x:c r="E497" s="167" t="str">
        <x:v>No</x:v>
      </x:c>
      <x:c r="F497" s="167"/>
      <x:c r="G497" s="167" t="str">
        <x:v>Core</x:v>
      </x:c>
      <x:c r="H497" s="167" t="str">
        <x:v>General</x:v>
      </x:c>
      <x:c r="I497" s="167" t="str">
        <x:v>Not Started</x:v>
      </x:c>
      <x:c r="J497" s="167" t="n">
        <x:v>0</x:v>
      </x:c>
      <x:c r="K497" s="168"/>
      <x:c r="L497" s="168" t="str">
        <x:f>IF(OR(I497="Mastered",K497=""),"",K497+IF(J497&gt;=5,30,IF(J497=4,14,IF(J497=3,7,IF(J497=2,3,1)))))</x:f>
      </x:c>
      <x:c r="M497" s="171" t="str"/>
      <x:c r="N497" s="171" t="str"/>
      <x:c r="O497" s="171" t="str">
        <x:v>Draft — verify in context</x:v>
      </x:c>
      <x:c r="P497" s="167" t="str">
        <x:v>https://www.oxfordlearnersdictionaries.com/wordlists/oxford3000-5000</x:v>
      </x:c>
    </x:row>
    <x:row r="498" ht="26" customHeight="1">
      <x:c r="A498" s="167" t="n">
        <x:v>497</x:v>
      </x:c>
      <x:c r="B498" s="167" t="str">
        <x:v>fairness</x:v>
      </x:c>
      <x:c r="C498" s="167" t="str">
        <x:v>n.</x:v>
      </x:c>
      <x:c r="D498" s="170" t="str">
        <x:v>справедливість</x:v>
      </x:c>
      <x:c r="E498" s="167" t="str">
        <x:v>No</x:v>
      </x:c>
      <x:c r="F498" s="167"/>
      <x:c r="G498" s="167" t="str">
        <x:v>Core</x:v>
      </x:c>
      <x:c r="H498" s="167" t="str">
        <x:v>General</x:v>
      </x:c>
      <x:c r="I498" s="167" t="str">
        <x:v>Not Started</x:v>
      </x:c>
      <x:c r="J498" s="167" t="n">
        <x:v>0</x:v>
      </x:c>
      <x:c r="K498" s="168"/>
      <x:c r="L498" s="168" t="str">
        <x:f>IF(OR(I498="Mastered",K498=""),"",K498+IF(J498&gt;=5,30,IF(J498=4,14,IF(J498=3,7,IF(J498=2,3,1)))))</x:f>
      </x:c>
      <x:c r="M498" s="171" t="str"/>
      <x:c r="N498" s="171" t="str"/>
      <x:c r="O498" s="171" t="str">
        <x:v>Draft — verify in context</x:v>
      </x:c>
      <x:c r="P498" s="167" t="str">
        <x:v>https://www.oxfordlearnersdictionaries.com/wordlists/oxford3000-5000</x:v>
      </x:c>
    </x:row>
    <x:row r="499" ht="26" customHeight="1">
      <x:c r="A499" s="167" t="n">
        <x:v>498</x:v>
      </x:c>
      <x:c r="B499" s="167" t="str">
        <x:v>fatal</x:v>
      </x:c>
      <x:c r="C499" s="167" t="str">
        <x:v>adj.</x:v>
      </x:c>
      <x:c r="D499" s="170" t="str">
        <x:v>фатальний</x:v>
      </x:c>
      <x:c r="E499" s="167" t="str">
        <x:v>No</x:v>
      </x:c>
      <x:c r="F499" s="167"/>
      <x:c r="G499" s="167" t="str">
        <x:v>Core</x:v>
      </x:c>
      <x:c r="H499" s="167" t="str">
        <x:v>General</x:v>
      </x:c>
      <x:c r="I499" s="167" t="str">
        <x:v>Not Started</x:v>
      </x:c>
      <x:c r="J499" s="167" t="n">
        <x:v>0</x:v>
      </x:c>
      <x:c r="K499" s="168"/>
      <x:c r="L499" s="168" t="str">
        <x:f>IF(OR(I499="Mastered",K499=""),"",K499+IF(J499&gt;=5,30,IF(J499=4,14,IF(J499=3,7,IF(J499=2,3,1)))))</x:f>
      </x:c>
      <x:c r="M499" s="171" t="str"/>
      <x:c r="N499" s="171" t="str"/>
      <x:c r="O499" s="171" t="str">
        <x:v>Draft — verify in context</x:v>
      </x:c>
      <x:c r="P499" s="167" t="str">
        <x:v>https://www.oxfordlearnersdictionaries.com/wordlists/oxford3000-5000</x:v>
      </x:c>
    </x:row>
    <x:row r="500" ht="26" customHeight="1">
      <x:c r="A500" s="167" t="n">
        <x:v>499</x:v>
      </x:c>
      <x:c r="B500" s="167" t="str">
        <x:v>fate</x:v>
      </x:c>
      <x:c r="C500" s="167" t="str">
        <x:v>n.</x:v>
      </x:c>
      <x:c r="D500" s="170" t="str">
        <x:v>доля</x:v>
      </x:c>
      <x:c r="E500" s="167" t="str">
        <x:v>No</x:v>
      </x:c>
      <x:c r="F500" s="167"/>
      <x:c r="G500" s="167" t="str">
        <x:v>Core</x:v>
      </x:c>
      <x:c r="H500" s="167" t="str">
        <x:v>General</x:v>
      </x:c>
      <x:c r="I500" s="167" t="str">
        <x:v>Not Started</x:v>
      </x:c>
      <x:c r="J500" s="167" t="n">
        <x:v>0</x:v>
      </x:c>
      <x:c r="K500" s="168"/>
      <x:c r="L500" s="168" t="str">
        <x:f>IF(OR(I500="Mastered",K500=""),"",K500+IF(J500&gt;=5,30,IF(J500=4,14,IF(J500=3,7,IF(J500=2,3,1)))))</x:f>
      </x:c>
      <x:c r="M500" s="171" t="str"/>
      <x:c r="N500" s="171" t="str"/>
      <x:c r="O500" s="171" t="str">
        <x:v>Draft — verify in context</x:v>
      </x:c>
      <x:c r="P500" s="167" t="str">
        <x:v>https://www.oxfordlearnersdictionaries.com/wordlists/oxford3000-5000</x:v>
      </x:c>
    </x:row>
    <x:row r="501" ht="26" customHeight="1">
      <x:c r="A501" s="167" t="n">
        <x:v>500</x:v>
      </x:c>
      <x:c r="B501" s="167" t="str">
        <x:v>favourable</x:v>
      </x:c>
      <x:c r="C501" s="167" t="str">
        <x:v>adj.</x:v>
      </x:c>
      <x:c r="D501" s="170" t="str">
        <x:v>сприятливий</x:v>
      </x:c>
      <x:c r="E501" s="167" t="str">
        <x:v>No</x:v>
      </x:c>
      <x:c r="F501" s="167"/>
      <x:c r="G501" s="167" t="str">
        <x:v>Core</x:v>
      </x:c>
      <x:c r="H501" s="167" t="str">
        <x:v>General</x:v>
      </x:c>
      <x:c r="I501" s="167" t="str">
        <x:v>Not Started</x:v>
      </x:c>
      <x:c r="J501" s="167" t="n">
        <x:v>0</x:v>
      </x:c>
      <x:c r="K501" s="168"/>
      <x:c r="L501" s="168" t="str">
        <x:f>IF(OR(I501="Mastered",K501=""),"",K501+IF(J501&gt;=5,30,IF(J501=4,14,IF(J501=3,7,IF(J501=2,3,1)))))</x:f>
      </x:c>
      <x:c r="M501" s="171" t="str"/>
      <x:c r="N501" s="171" t="str"/>
      <x:c r="O501" s="171" t="str">
        <x:v>Draft — verify in context</x:v>
      </x:c>
      <x:c r="P501" s="167" t="str">
        <x:v>https://www.oxfordlearnersdictionaries.com/wordlists/oxford3000-5000</x:v>
      </x:c>
    </x:row>
    <x:row r="502" ht="26" customHeight="1">
      <x:c r="A502" s="167" t="n">
        <x:v>501</x:v>
      </x:c>
      <x:c r="B502" s="167" t="str">
        <x:v>feat</x:v>
      </x:c>
      <x:c r="C502" s="167" t="str">
        <x:v>n.</x:v>
      </x:c>
      <x:c r="D502" s="170" t="str">
        <x:v>подвиг; визначне досягнення</x:v>
      </x:c>
      <x:c r="E502" s="167" t="str">
        <x:v>No</x:v>
      </x:c>
      <x:c r="F502" s="167"/>
      <x:c r="G502" s="167" t="str">
        <x:v>Core</x:v>
      </x:c>
      <x:c r="H502" s="167" t="str">
        <x:v>General</x:v>
      </x:c>
      <x:c r="I502" s="167" t="str">
        <x:v>Not Started</x:v>
      </x:c>
      <x:c r="J502" s="167" t="n">
        <x:v>0</x:v>
      </x:c>
      <x:c r="K502" s="168"/>
      <x:c r="L502" s="168" t="str">
        <x:f>IF(OR(I502="Mastered",K502=""),"",K502+IF(J502&gt;=5,30,IF(J502=4,14,IF(J502=3,7,IF(J502=2,3,1)))))</x:f>
      </x:c>
      <x:c r="M502" s="171" t="str"/>
      <x:c r="N502" s="171" t="str"/>
      <x:c r="O502" s="171" t="str">
        <x:v>Draft — verify in context</x:v>
      </x:c>
      <x:c r="P502" s="167" t="str">
        <x:v>https://www.oxfordlearnersdictionaries.com/wordlists/oxford3000-5000</x:v>
      </x:c>
    </x:row>
    <x:row r="503" ht="26" customHeight="1">
      <x:c r="A503" s="167" t="n">
        <x:v>502</x:v>
      </x:c>
      <x:c r="B503" s="167" t="str">
        <x:v>feminist</x:v>
      </x:c>
      <x:c r="C503" s="167" t="str">
        <x:v>adj., n.</x:v>
      </x:c>
      <x:c r="D503" s="170" t="str">
        <x:v>феміністка</x:v>
      </x:c>
      <x:c r="E503" s="167" t="str">
        <x:v>No</x:v>
      </x:c>
      <x:c r="F503" s="167"/>
      <x:c r="G503" s="167" t="str">
        <x:v>Core</x:v>
      </x:c>
      <x:c r="H503" s="167" t="str">
        <x:v>General</x:v>
      </x:c>
      <x:c r="I503" s="167" t="str">
        <x:v>Not Started</x:v>
      </x:c>
      <x:c r="J503" s="167" t="n">
        <x:v>0</x:v>
      </x:c>
      <x:c r="K503" s="168"/>
      <x:c r="L503" s="168" t="str">
        <x:f>IF(OR(I503="Mastered",K503=""),"",K503+IF(J503&gt;=5,30,IF(J503=4,14,IF(J503=3,7,IF(J503=2,3,1)))))</x:f>
      </x:c>
      <x:c r="M503" s="171" t="str"/>
      <x:c r="N503" s="171" t="str"/>
      <x:c r="O503" s="171" t="str">
        <x:v>Draft — verify in context</x:v>
      </x:c>
      <x:c r="P503" s="167" t="str">
        <x:v>https://www.oxfordlearnersdictionaries.com/wordlists/oxford3000-5000</x:v>
      </x:c>
    </x:row>
    <x:row r="504" ht="26" customHeight="1">
      <x:c r="A504" s="167" t="n">
        <x:v>503</x:v>
      </x:c>
      <x:c r="B504" s="167" t="str">
        <x:v>fibre</x:v>
      </x:c>
      <x:c r="C504" s="167" t="str">
        <x:v>n.</x:v>
      </x:c>
      <x:c r="D504" s="170" t="str">
        <x:v>клітковина</x:v>
      </x:c>
      <x:c r="E504" s="167" t="str">
        <x:v>No</x:v>
      </x:c>
      <x:c r="F504" s="167"/>
      <x:c r="G504" s="167" t="str">
        <x:v>Core</x:v>
      </x:c>
      <x:c r="H504" s="167" t="str">
        <x:v>General</x:v>
      </x:c>
      <x:c r="I504" s="167" t="str">
        <x:v>Not Started</x:v>
      </x:c>
      <x:c r="J504" s="167" t="n">
        <x:v>0</x:v>
      </x:c>
      <x:c r="K504" s="168"/>
      <x:c r="L504" s="168" t="str">
        <x:f>IF(OR(I504="Mastered",K504=""),"",K504+IF(J504&gt;=5,30,IF(J504=4,14,IF(J504=3,7,IF(J504=2,3,1)))))</x:f>
      </x:c>
      <x:c r="M504" s="171" t="str"/>
      <x:c r="N504" s="171" t="str"/>
      <x:c r="O504" s="171" t="str">
        <x:v>Draft — verify in context</x:v>
      </x:c>
      <x:c r="P504" s="167" t="str">
        <x:v>https://www.oxfordlearnersdictionaries.com/wordlists/oxford3000-5000</x:v>
      </x:c>
    </x:row>
    <x:row r="505" ht="26" customHeight="1">
      <x:c r="A505" s="167" t="n">
        <x:v>504</x:v>
      </x:c>
      <x:c r="B505" s="167" t="str">
        <x:v>fierce</x:v>
      </x:c>
      <x:c r="C505" s="167" t="str">
        <x:v>adj.</x:v>
      </x:c>
      <x:c r="D505" s="170" t="str">
        <x:v>лютий</x:v>
      </x:c>
      <x:c r="E505" s="167" t="str">
        <x:v>No</x:v>
      </x:c>
      <x:c r="F505" s="167"/>
      <x:c r="G505" s="167" t="str">
        <x:v>Core</x:v>
      </x:c>
      <x:c r="H505" s="167" t="str">
        <x:v>General</x:v>
      </x:c>
      <x:c r="I505" s="167" t="str">
        <x:v>Not Started</x:v>
      </x:c>
      <x:c r="J505" s="167" t="n">
        <x:v>0</x:v>
      </x:c>
      <x:c r="K505" s="168"/>
      <x:c r="L505" s="168" t="str">
        <x:f>IF(OR(I505="Mastered",K505=""),"",K505+IF(J505&gt;=5,30,IF(J505=4,14,IF(J505=3,7,IF(J505=2,3,1)))))</x:f>
      </x:c>
      <x:c r="M505" s="171" t="str"/>
      <x:c r="N505" s="171" t="str"/>
      <x:c r="O505" s="171" t="str">
        <x:v>Draft — verify in context</x:v>
      </x:c>
      <x:c r="P505" s="167" t="str">
        <x:v>https://www.oxfordlearnersdictionaries.com/wordlists/oxford3000-5000</x:v>
      </x:c>
    </x:row>
    <x:row r="506" ht="26" customHeight="1">
      <x:c r="A506" s="167" t="n">
        <x:v>505</x:v>
      </x:c>
      <x:c r="B506" s="167" t="str">
        <x:v>film-maker</x:v>
      </x:c>
      <x:c r="C506" s="167" t="str">
        <x:v>n.</x:v>
      </x:c>
      <x:c r="D506" s="170" t="str">
        <x:v>кінорежисер</x:v>
      </x:c>
      <x:c r="E506" s="167" t="str">
        <x:v>No</x:v>
      </x:c>
      <x:c r="F506" s="167"/>
      <x:c r="G506" s="167" t="str">
        <x:v>Core</x:v>
      </x:c>
      <x:c r="H506" s="167" t="str">
        <x:v>General</x:v>
      </x:c>
      <x:c r="I506" s="167" t="str">
        <x:v>Not Started</x:v>
      </x:c>
      <x:c r="J506" s="167" t="n">
        <x:v>0</x:v>
      </x:c>
      <x:c r="K506" s="168"/>
      <x:c r="L506" s="168" t="str">
        <x:f>IF(OR(I506="Mastered",K506=""),"",K506+IF(J506&gt;=5,30,IF(J506=4,14,IF(J506=3,7,IF(J506=2,3,1)))))</x:f>
      </x:c>
      <x:c r="M506" s="171" t="str"/>
      <x:c r="N506" s="171" t="str"/>
      <x:c r="O506" s="171" t="str">
        <x:v>Draft — verify in context</x:v>
      </x:c>
      <x:c r="P506" s="167" t="str">
        <x:v>https://www.oxfordlearnersdictionaries.com/wordlists/oxford3000-5000</x:v>
      </x:c>
    </x:row>
    <x:row r="507" ht="26" customHeight="1">
      <x:c r="A507" s="167" t="n">
        <x:v>506</x:v>
      </x:c>
      <x:c r="B507" s="167" t="str">
        <x:v>filter</x:v>
      </x:c>
      <x:c r="C507" s="167" t="str">
        <x:v>n., v.</x:v>
      </x:c>
      <x:c r="D507" s="170" t="str">
        <x:v>фільтр</x:v>
      </x:c>
      <x:c r="E507" s="167" t="str">
        <x:v>No</x:v>
      </x:c>
      <x:c r="F507" s="167"/>
      <x:c r="G507" s="167" t="str">
        <x:v>Core</x:v>
      </x:c>
      <x:c r="H507" s="167" t="str">
        <x:v>General</x:v>
      </x:c>
      <x:c r="I507" s="167" t="str">
        <x:v>Not Started</x:v>
      </x:c>
      <x:c r="J507" s="167" t="n">
        <x:v>0</x:v>
      </x:c>
      <x:c r="K507" s="168"/>
      <x:c r="L507" s="168" t="str">
        <x:f>IF(OR(I507="Mastered",K507=""),"",K507+IF(J507&gt;=5,30,IF(J507=4,14,IF(J507=3,7,IF(J507=2,3,1)))))</x:f>
      </x:c>
      <x:c r="M507" s="171" t="str"/>
      <x:c r="N507" s="171" t="str"/>
      <x:c r="O507" s="171" t="str">
        <x:v>Draft — verify in context</x:v>
      </x:c>
      <x:c r="P507" s="167" t="str">
        <x:v>https://www.oxfordlearnersdictionaries.com/wordlists/oxford3000-5000</x:v>
      </x:c>
    </x:row>
    <x:row r="508" ht="26" customHeight="1">
      <x:c r="A508" s="167" t="n">
        <x:v>507</x:v>
      </x:c>
      <x:c r="B508" s="167" t="str">
        <x:v>fine</x:v>
      </x:c>
      <x:c r="C508" s="167" t="str">
        <x:v>n., v.</x:v>
      </x:c>
      <x:c r="D508" s="170" t="str">
        <x:v>добре</x:v>
      </x:c>
      <x:c r="E508" s="167" t="str">
        <x:v>No</x:v>
      </x:c>
      <x:c r="F508" s="167"/>
      <x:c r="G508" s="167" t="str">
        <x:v>Core</x:v>
      </x:c>
      <x:c r="H508" s="167" t="str">
        <x:v>General</x:v>
      </x:c>
      <x:c r="I508" s="167" t="str">
        <x:v>Not Started</x:v>
      </x:c>
      <x:c r="J508" s="167" t="n">
        <x:v>0</x:v>
      </x:c>
      <x:c r="K508" s="168"/>
      <x:c r="L508" s="168" t="str">
        <x:f>IF(OR(I508="Mastered",K508=""),"",K508+IF(J508&gt;=5,30,IF(J508=4,14,IF(J508=3,7,IF(J508=2,3,1)))))</x:f>
      </x:c>
      <x:c r="M508" s="171" t="str"/>
      <x:c r="N508" s="171" t="str"/>
      <x:c r="O508" s="171" t="str">
        <x:v>Draft — verify in context</x:v>
      </x:c>
      <x:c r="P508" s="167" t="str">
        <x:v>https://www.oxfordlearnersdictionaries.com/wordlists/oxford3000-5000</x:v>
      </x:c>
    </x:row>
    <x:row r="509" ht="26" customHeight="1">
      <x:c r="A509" s="167" t="n">
        <x:v>508</x:v>
      </x:c>
      <x:c r="B509" s="167" t="str">
        <x:v>firearm</x:v>
      </x:c>
      <x:c r="C509" s="167" t="str">
        <x:v>n.</x:v>
      </x:c>
      <x:c r="D509" s="170" t="str">
        <x:v>вогнепальна зброя</x:v>
      </x:c>
      <x:c r="E509" s="167" t="str">
        <x:v>No</x:v>
      </x:c>
      <x:c r="F509" s="167"/>
      <x:c r="G509" s="167" t="str">
        <x:v>Core</x:v>
      </x:c>
      <x:c r="H509" s="167" t="str">
        <x:v>General</x:v>
      </x:c>
      <x:c r="I509" s="167" t="str">
        <x:v>Not Started</x:v>
      </x:c>
      <x:c r="J509" s="167" t="n">
        <x:v>0</x:v>
      </x:c>
      <x:c r="K509" s="168"/>
      <x:c r="L509" s="168" t="str">
        <x:f>IF(OR(I509="Mastered",K509=""),"",K509+IF(J509&gt;=5,30,IF(J509=4,14,IF(J509=3,7,IF(J509=2,3,1)))))</x:f>
      </x:c>
      <x:c r="M509" s="171" t="str"/>
      <x:c r="N509" s="171" t="str"/>
      <x:c r="O509" s="171" t="str">
        <x:v>Draft — verify in context</x:v>
      </x:c>
      <x:c r="P509" s="167" t="str">
        <x:v>https://www.oxfordlearnersdictionaries.com/wordlists/oxford3000-5000</x:v>
      </x:c>
    </x:row>
    <x:row r="510" ht="26" customHeight="1">
      <x:c r="A510" s="167" t="n">
        <x:v>509</x:v>
      </x:c>
      <x:c r="B510" s="167" t="str">
        <x:v>fit</x:v>
      </x:c>
      <x:c r="C510" s="167" t="str">
        <x:v>n.</x:v>
      </x:c>
      <x:c r="D510" s="170" t="str">
        <x:v>напад; припадок</x:v>
      </x:c>
      <x:c r="E510" s="167" t="str">
        <x:v>No</x:v>
      </x:c>
      <x:c r="F510" s="167"/>
      <x:c r="G510" s="167" t="str">
        <x:v>Core</x:v>
      </x:c>
      <x:c r="H510" s="167" t="str">
        <x:v>General</x:v>
      </x:c>
      <x:c r="I510" s="167" t="str">
        <x:v>Not Started</x:v>
      </x:c>
      <x:c r="J510" s="167" t="n">
        <x:v>0</x:v>
      </x:c>
      <x:c r="K510" s="168"/>
      <x:c r="L510" s="168" t="str">
        <x:f>IF(OR(I510="Mastered",K510=""),"",K510+IF(J510&gt;=5,30,IF(J510=4,14,IF(J510=3,7,IF(J510=2,3,1)))))</x:f>
      </x:c>
      <x:c r="M510" s="171" t="str"/>
      <x:c r="N510" s="171" t="str"/>
      <x:c r="O510" s="171" t="str">
        <x:v>Draft — verify in context</x:v>
      </x:c>
      <x:c r="P510" s="167" t="str">
        <x:v>https://www.oxfordlearnersdictionaries.com/wordlists/oxford3000-5000</x:v>
      </x:c>
    </x:row>
    <x:row r="511" ht="26" customHeight="1">
      <x:c r="A511" s="167" t="n">
        <x:v>510</x:v>
      </x:c>
      <x:c r="B511" s="167" t="str">
        <x:v>fixture</x:v>
      </x:c>
      <x:c r="C511" s="167" t="str">
        <x:v>n.</x:v>
      </x:c>
      <x:c r="D511" s="170" t="str">
        <x:v>пристосування</x:v>
      </x:c>
      <x:c r="E511" s="167" t="str">
        <x:v>No</x:v>
      </x:c>
      <x:c r="F511" s="167"/>
      <x:c r="G511" s="167" t="str">
        <x:v>Core</x:v>
      </x:c>
      <x:c r="H511" s="167" t="str">
        <x:v>General</x:v>
      </x:c>
      <x:c r="I511" s="167" t="str">
        <x:v>Not Started</x:v>
      </x:c>
      <x:c r="J511" s="167" t="n">
        <x:v>0</x:v>
      </x:c>
      <x:c r="K511" s="168"/>
      <x:c r="L511" s="168" t="str">
        <x:f>IF(OR(I511="Mastered",K511=""),"",K511+IF(J511&gt;=5,30,IF(J511=4,14,IF(J511=3,7,IF(J511=2,3,1)))))</x:f>
      </x:c>
      <x:c r="M511" s="171" t="str"/>
      <x:c r="N511" s="171" t="str"/>
      <x:c r="O511" s="171" t="str">
        <x:v>Draft — verify in context</x:v>
      </x:c>
      <x:c r="P511" s="167" t="str">
        <x:v>https://www.oxfordlearnersdictionaries.com/wordlists/oxford3000-5000</x:v>
      </x:c>
    </x:row>
    <x:row r="512" ht="26" customHeight="1">
      <x:c r="A512" s="167" t="n">
        <x:v>511</x:v>
      </x:c>
      <x:c r="B512" s="167" t="str">
        <x:v>flaw</x:v>
      </x:c>
      <x:c r="C512" s="167" t="str">
        <x:v>n.</x:v>
      </x:c>
      <x:c r="D512" s="170" t="str">
        <x:v>недолік</x:v>
      </x:c>
      <x:c r="E512" s="167" t="str">
        <x:v>No</x:v>
      </x:c>
      <x:c r="F512" s="167"/>
      <x:c r="G512" s="167" t="str">
        <x:v>Core</x:v>
      </x:c>
      <x:c r="H512" s="167" t="str">
        <x:v>General</x:v>
      </x:c>
      <x:c r="I512" s="167" t="str">
        <x:v>Not Started</x:v>
      </x:c>
      <x:c r="J512" s="167" t="n">
        <x:v>0</x:v>
      </x:c>
      <x:c r="K512" s="168"/>
      <x:c r="L512" s="168" t="str">
        <x:f>IF(OR(I512="Mastered",K512=""),"",K512+IF(J512&gt;=5,30,IF(J512=4,14,IF(J512=3,7,IF(J512=2,3,1)))))</x:f>
      </x:c>
      <x:c r="M512" s="171" t="str"/>
      <x:c r="N512" s="171" t="str"/>
      <x:c r="O512" s="171" t="str">
        <x:v>Draft — verify in context</x:v>
      </x:c>
      <x:c r="P512" s="167" t="str">
        <x:v>https://www.oxfordlearnersdictionaries.com/wordlists/oxford3000-5000</x:v>
      </x:c>
    </x:row>
    <x:row r="513" ht="26" customHeight="1">
      <x:c r="A513" s="167" t="n">
        <x:v>512</x:v>
      </x:c>
      <x:c r="B513" s="167" t="str">
        <x:v>flawed</x:v>
      </x:c>
      <x:c r="C513" s="167" t="str">
        <x:v>adj.</x:v>
      </x:c>
      <x:c r="D513" s="170" t="str">
        <x:v>дефектний</x:v>
      </x:c>
      <x:c r="E513" s="167" t="str">
        <x:v>No</x:v>
      </x:c>
      <x:c r="F513" s="167"/>
      <x:c r="G513" s="167" t="str">
        <x:v>Core</x:v>
      </x:c>
      <x:c r="H513" s="167" t="str">
        <x:v>General</x:v>
      </x:c>
      <x:c r="I513" s="167" t="str">
        <x:v>Not Started</x:v>
      </x:c>
      <x:c r="J513" s="167" t="n">
        <x:v>0</x:v>
      </x:c>
      <x:c r="K513" s="168"/>
      <x:c r="L513" s="168" t="str">
        <x:f>IF(OR(I513="Mastered",K513=""),"",K513+IF(J513&gt;=5,30,IF(J513=4,14,IF(J513=3,7,IF(J513=2,3,1)))))</x:f>
      </x:c>
      <x:c r="M513" s="171" t="str"/>
      <x:c r="N513" s="171" t="str"/>
      <x:c r="O513" s="171" t="str">
        <x:v>Draft — verify in context</x:v>
      </x:c>
      <x:c r="P513" s="167" t="str">
        <x:v>https://www.oxfordlearnersdictionaries.com/wordlists/oxford3000-5000</x:v>
      </x:c>
    </x:row>
    <x:row r="514" ht="26" customHeight="1">
      <x:c r="A514" s="167" t="n">
        <x:v>513</x:v>
      </x:c>
      <x:c r="B514" s="167" t="str">
        <x:v>flee</x:v>
      </x:c>
      <x:c r="C514" s="167" t="str">
        <x:v>v.</x:v>
      </x:c>
      <x:c r="D514" s="170" t="str">
        <x:v>тікати</x:v>
      </x:c>
      <x:c r="E514" s="167" t="str">
        <x:v>No</x:v>
      </x:c>
      <x:c r="F514" s="167"/>
      <x:c r="G514" s="167" t="str">
        <x:v>Core</x:v>
      </x:c>
      <x:c r="H514" s="167" t="str">
        <x:v>General</x:v>
      </x:c>
      <x:c r="I514" s="167" t="str">
        <x:v>Not Started</x:v>
      </x:c>
      <x:c r="J514" s="167" t="n">
        <x:v>0</x:v>
      </x:c>
      <x:c r="K514" s="168"/>
      <x:c r="L514" s="168" t="str">
        <x:f>IF(OR(I514="Mastered",K514=""),"",K514+IF(J514&gt;=5,30,IF(J514=4,14,IF(J514=3,7,IF(J514=2,3,1)))))</x:f>
      </x:c>
      <x:c r="M514" s="171" t="str"/>
      <x:c r="N514" s="171" t="str"/>
      <x:c r="O514" s="171" t="str">
        <x:v>Draft — verify in context</x:v>
      </x:c>
      <x:c r="P514" s="167" t="str">
        <x:v>https://www.oxfordlearnersdictionaries.com/wordlists/oxford3000-5000</x:v>
      </x:c>
    </x:row>
    <x:row r="515" ht="26" customHeight="1">
      <x:c r="A515" s="167" t="n">
        <x:v>514</x:v>
      </x:c>
      <x:c r="B515" s="167" t="str">
        <x:v>fleet</x:v>
      </x:c>
      <x:c r="C515" s="167" t="str">
        <x:v>n.</x:v>
      </x:c>
      <x:c r="D515" s="170" t="str">
        <x:v>флот</x:v>
      </x:c>
      <x:c r="E515" s="167" t="str">
        <x:v>No</x:v>
      </x:c>
      <x:c r="F515" s="167"/>
      <x:c r="G515" s="167" t="str">
        <x:v>Core</x:v>
      </x:c>
      <x:c r="H515" s="167" t="str">
        <x:v>General</x:v>
      </x:c>
      <x:c r="I515" s="167" t="str">
        <x:v>Not Started</x:v>
      </x:c>
      <x:c r="J515" s="167" t="n">
        <x:v>0</x:v>
      </x:c>
      <x:c r="K515" s="168"/>
      <x:c r="L515" s="168" t="str">
        <x:f>IF(OR(I515="Mastered",K515=""),"",K515+IF(J515&gt;=5,30,IF(J515=4,14,IF(J515=3,7,IF(J515=2,3,1)))))</x:f>
      </x:c>
      <x:c r="M515" s="171" t="str"/>
      <x:c r="N515" s="171" t="str"/>
      <x:c r="O515" s="171" t="str">
        <x:v>Draft — verify in context</x:v>
      </x:c>
      <x:c r="P515" s="167" t="str">
        <x:v>https://www.oxfordlearnersdictionaries.com/wordlists/oxford3000-5000</x:v>
      </x:c>
    </x:row>
    <x:row r="516" ht="26" customHeight="1">
      <x:c r="A516" s="167" t="n">
        <x:v>515</x:v>
      </x:c>
      <x:c r="B516" s="167" t="str">
        <x:v>flesh</x:v>
      </x:c>
      <x:c r="C516" s="167" t="str">
        <x:v>n.</x:v>
      </x:c>
      <x:c r="D516" s="170" t="str">
        <x:v>плоть</x:v>
      </x:c>
      <x:c r="E516" s="167" t="str">
        <x:v>No</x:v>
      </x:c>
      <x:c r="F516" s="167"/>
      <x:c r="G516" s="167" t="str">
        <x:v>Core</x:v>
      </x:c>
      <x:c r="H516" s="167" t="str">
        <x:v>General</x:v>
      </x:c>
      <x:c r="I516" s="167" t="str">
        <x:v>Not Started</x:v>
      </x:c>
      <x:c r="J516" s="167" t="n">
        <x:v>0</x:v>
      </x:c>
      <x:c r="K516" s="168"/>
      <x:c r="L516" s="168" t="str">
        <x:f>IF(OR(I516="Mastered",K516=""),"",K516+IF(J516&gt;=5,30,IF(J516=4,14,IF(J516=3,7,IF(J516=2,3,1)))))</x:f>
      </x:c>
      <x:c r="M516" s="171" t="str"/>
      <x:c r="N516" s="171" t="str"/>
      <x:c r="O516" s="171" t="str">
        <x:v>Draft — verify in context</x:v>
      </x:c>
      <x:c r="P516" s="167" t="str">
        <x:v>https://www.oxfordlearnersdictionaries.com/wordlists/oxford3000-5000</x:v>
      </x:c>
    </x:row>
    <x:row r="517" ht="26" customHeight="1">
      <x:c r="A517" s="167" t="n">
        <x:v>516</x:v>
      </x:c>
      <x:c r="B517" s="167" t="str">
        <x:v>flexibility</x:v>
      </x:c>
      <x:c r="C517" s="167" t="str">
        <x:v>n.</x:v>
      </x:c>
      <x:c r="D517" s="170" t="str">
        <x:v>гнучкість</x:v>
      </x:c>
      <x:c r="E517" s="167" t="str">
        <x:v>Yes</x:v>
      </x:c>
      <x:c r="F517" s="167" t="n">
        <x:v>6</x:v>
      </x:c>
      <x:c r="G517" s="167" t="str">
        <x:v>High</x:v>
      </x:c>
      <x:c r="H517" s="167" t="str">
        <x:v>General</x:v>
      </x:c>
      <x:c r="I517" s="167" t="str">
        <x:v>Not Started</x:v>
      </x:c>
      <x:c r="J517" s="167" t="n">
        <x:v>0</x:v>
      </x:c>
      <x:c r="K517" s="168"/>
      <x:c r="L517" s="168" t="str">
        <x:f>IF(OR(I517="Mastered",K517=""),"",K517+IF(J517&gt;=5,30,IF(J517=4,14,IF(J517=3,7,IF(J517=2,3,1)))))</x:f>
      </x:c>
      <x:c r="M517" s="171" t="str"/>
      <x:c r="N517" s="171" t="str"/>
      <x:c r="O517" s="171" t="str">
        <x:v>Draft — verify in context</x:v>
      </x:c>
      <x:c r="P517" s="167" t="str">
        <x:v>https://www.oxfordlearnersdictionaries.com/wordlists/oxford3000-5000</x:v>
      </x:c>
    </x:row>
    <x:row r="518" ht="26" customHeight="1">
      <x:c r="A518" s="167" t="n">
        <x:v>517</x:v>
      </x:c>
      <x:c r="B518" s="167" t="str">
        <x:v>flourish</x:v>
      </x:c>
      <x:c r="C518" s="167" t="str">
        <x:v>v.</x:v>
      </x:c>
      <x:c r="D518" s="170" t="str">
        <x:v>процвітати</x:v>
      </x:c>
      <x:c r="E518" s="167" t="str">
        <x:v>No</x:v>
      </x:c>
      <x:c r="F518" s="167"/>
      <x:c r="G518" s="167" t="str">
        <x:v>Core</x:v>
      </x:c>
      <x:c r="H518" s="167" t="str">
        <x:v>General</x:v>
      </x:c>
      <x:c r="I518" s="167" t="str">
        <x:v>Not Started</x:v>
      </x:c>
      <x:c r="J518" s="167" t="n">
        <x:v>0</x:v>
      </x:c>
      <x:c r="K518" s="168"/>
      <x:c r="L518" s="168" t="str">
        <x:f>IF(OR(I518="Mastered",K518=""),"",K518+IF(J518&gt;=5,30,IF(J518=4,14,IF(J518=3,7,IF(J518=2,3,1)))))</x:f>
      </x:c>
      <x:c r="M518" s="171" t="str"/>
      <x:c r="N518" s="171" t="str"/>
      <x:c r="O518" s="171" t="str">
        <x:v>Draft — verify in context</x:v>
      </x:c>
      <x:c r="P518" s="167" t="str">
        <x:v>https://www.oxfordlearnersdictionaries.com/wordlists/oxford3000-5000</x:v>
      </x:c>
    </x:row>
    <x:row r="519" ht="26" customHeight="1">
      <x:c r="A519" s="167" t="n">
        <x:v>518</x:v>
      </x:c>
      <x:c r="B519" s="167" t="str">
        <x:v>fluid</x:v>
      </x:c>
      <x:c r="C519" s="167" t="str">
        <x:v>n.</x:v>
      </x:c>
      <x:c r="D519" s="170" t="str">
        <x:v>рідина</x:v>
      </x:c>
      <x:c r="E519" s="167" t="str">
        <x:v>No</x:v>
      </x:c>
      <x:c r="F519" s="167"/>
      <x:c r="G519" s="167" t="str">
        <x:v>Core</x:v>
      </x:c>
      <x:c r="H519" s="167" t="str">
        <x:v>General</x:v>
      </x:c>
      <x:c r="I519" s="167" t="str">
        <x:v>Not Started</x:v>
      </x:c>
      <x:c r="J519" s="167" t="n">
        <x:v>0</x:v>
      </x:c>
      <x:c r="K519" s="168"/>
      <x:c r="L519" s="168" t="str">
        <x:f>IF(OR(I519="Mastered",K519=""),"",K519+IF(J519&gt;=5,30,IF(J519=4,14,IF(J519=3,7,IF(J519=2,3,1)))))</x:f>
      </x:c>
      <x:c r="M519" s="171" t="str"/>
      <x:c r="N519" s="171" t="str"/>
      <x:c r="O519" s="171" t="str">
        <x:v>Draft — verify in context</x:v>
      </x:c>
      <x:c r="P519" s="167" t="str">
        <x:v>https://www.oxfordlearnersdictionaries.com/wordlists/oxford3000-5000</x:v>
      </x:c>
    </x:row>
    <x:row r="520" ht="26" customHeight="1">
      <x:c r="A520" s="167" t="n">
        <x:v>519</x:v>
      </x:c>
      <x:c r="B520" s="167" t="str">
        <x:v>footage</x:v>
      </x:c>
      <x:c r="C520" s="167" t="str">
        <x:v>n.</x:v>
      </x:c>
      <x:c r="D520" s="170" t="str">
        <x:v>кадри</x:v>
      </x:c>
      <x:c r="E520" s="167" t="str">
        <x:v>No</x:v>
      </x:c>
      <x:c r="F520" s="167"/>
      <x:c r="G520" s="167" t="str">
        <x:v>Core</x:v>
      </x:c>
      <x:c r="H520" s="167" t="str">
        <x:v>General</x:v>
      </x:c>
      <x:c r="I520" s="167" t="str">
        <x:v>Not Started</x:v>
      </x:c>
      <x:c r="J520" s="167" t="n">
        <x:v>0</x:v>
      </x:c>
      <x:c r="K520" s="168"/>
      <x:c r="L520" s="168" t="str">
        <x:f>IF(OR(I520="Mastered",K520=""),"",K520+IF(J520&gt;=5,30,IF(J520=4,14,IF(J520=3,7,IF(J520=2,3,1)))))</x:f>
      </x:c>
      <x:c r="M520" s="171" t="str"/>
      <x:c r="N520" s="171" t="str"/>
      <x:c r="O520" s="171" t="str">
        <x:v>Draft — verify in context</x:v>
      </x:c>
      <x:c r="P520" s="167" t="str">
        <x:v>https://www.oxfordlearnersdictionaries.com/wordlists/oxford3000-5000</x:v>
      </x:c>
    </x:row>
    <x:row r="521" ht="26" customHeight="1">
      <x:c r="A521" s="167" t="n">
        <x:v>520</x:v>
      </x:c>
      <x:c r="B521" s="167" t="str">
        <x:v>foreigner</x:v>
      </x:c>
      <x:c r="C521" s="167" t="str">
        <x:v>n.</x:v>
      </x:c>
      <x:c r="D521" s="170" t="str">
        <x:v>іноземець</x:v>
      </x:c>
      <x:c r="E521" s="167" t="str">
        <x:v>No</x:v>
      </x:c>
      <x:c r="F521" s="167"/>
      <x:c r="G521" s="167" t="str">
        <x:v>Core</x:v>
      </x:c>
      <x:c r="H521" s="167" t="str">
        <x:v>General</x:v>
      </x:c>
      <x:c r="I521" s="167" t="str">
        <x:v>Not Started</x:v>
      </x:c>
      <x:c r="J521" s="167" t="n">
        <x:v>0</x:v>
      </x:c>
      <x:c r="K521" s="168"/>
      <x:c r="L521" s="168" t="str">
        <x:f>IF(OR(I521="Mastered",K521=""),"",K521+IF(J521&gt;=5,30,IF(J521=4,14,IF(J521=3,7,IF(J521=2,3,1)))))</x:f>
      </x:c>
      <x:c r="M521" s="171" t="str"/>
      <x:c r="N521" s="171" t="str"/>
      <x:c r="O521" s="171" t="str">
        <x:v>Draft — verify in context</x:v>
      </x:c>
      <x:c r="P521" s="167" t="str">
        <x:v>https://www.oxfordlearnersdictionaries.com/wordlists/oxford3000-5000</x:v>
      </x:c>
    </x:row>
    <x:row r="522" ht="26" customHeight="1">
      <x:c r="A522" s="167" t="n">
        <x:v>521</x:v>
      </x:c>
      <x:c r="B522" s="167" t="str">
        <x:v>forge</x:v>
      </x:c>
      <x:c r="C522" s="167" t="str">
        <x:v>v.</x:v>
      </x:c>
      <x:c r="D522" s="170" t="str">
        <x:v>кузня</x:v>
      </x:c>
      <x:c r="E522" s="167" t="str">
        <x:v>No</x:v>
      </x:c>
      <x:c r="F522" s="167"/>
      <x:c r="G522" s="167" t="str">
        <x:v>Core</x:v>
      </x:c>
      <x:c r="H522" s="167" t="str">
        <x:v>General</x:v>
      </x:c>
      <x:c r="I522" s="167" t="str">
        <x:v>Not Started</x:v>
      </x:c>
      <x:c r="J522" s="167" t="n">
        <x:v>0</x:v>
      </x:c>
      <x:c r="K522" s="168"/>
      <x:c r="L522" s="168" t="str">
        <x:f>IF(OR(I522="Mastered",K522=""),"",K522+IF(J522&gt;=5,30,IF(J522=4,14,IF(J522=3,7,IF(J522=2,3,1)))))</x:f>
      </x:c>
      <x:c r="M522" s="171" t="str"/>
      <x:c r="N522" s="171" t="str"/>
      <x:c r="O522" s="171" t="str">
        <x:v>Draft — verify in context</x:v>
      </x:c>
      <x:c r="P522" s="167" t="str">
        <x:v>https://www.oxfordlearnersdictionaries.com/wordlists/oxford3000-5000</x:v>
      </x:c>
    </x:row>
    <x:row r="523" ht="26" customHeight="1">
      <x:c r="A523" s="167" t="n">
        <x:v>522</x:v>
      </x:c>
      <x:c r="B523" s="167" t="str">
        <x:v>formula</x:v>
      </x:c>
      <x:c r="C523" s="167" t="str">
        <x:v>n.</x:v>
      </x:c>
      <x:c r="D523" s="170" t="str">
        <x:v>формула</x:v>
      </x:c>
      <x:c r="E523" s="167" t="str">
        <x:v>Yes</x:v>
      </x:c>
      <x:c r="F523" s="167" t="n">
        <x:v>1</x:v>
      </x:c>
      <x:c r="G523" s="167" t="str">
        <x:v>High</x:v>
      </x:c>
      <x:c r="H523" s="167" t="str">
        <x:v>General</x:v>
      </x:c>
      <x:c r="I523" s="167" t="str">
        <x:v>Not Started</x:v>
      </x:c>
      <x:c r="J523" s="167" t="n">
        <x:v>0</x:v>
      </x:c>
      <x:c r="K523" s="168"/>
      <x:c r="L523" s="168" t="str">
        <x:f>IF(OR(I523="Mastered",K523=""),"",K523+IF(J523&gt;=5,30,IF(J523=4,14,IF(J523=3,7,IF(J523=2,3,1)))))</x:f>
      </x:c>
      <x:c r="M523" s="171" t="str"/>
      <x:c r="N523" s="171" t="str"/>
      <x:c r="O523" s="171" t="str">
        <x:v>Draft — verify in context</x:v>
      </x:c>
      <x:c r="P523" s="167" t="str">
        <x:v>https://www.oxfordlearnersdictionaries.com/wordlists/oxford3000-5000</x:v>
      </x:c>
    </x:row>
    <x:row r="524" ht="26" customHeight="1">
      <x:c r="A524" s="167" t="n">
        <x:v>523</x:v>
      </x:c>
      <x:c r="B524" s="167" t="str">
        <x:v>formulate</x:v>
      </x:c>
      <x:c r="C524" s="167" t="str">
        <x:v>v.</x:v>
      </x:c>
      <x:c r="D524" s="170" t="str">
        <x:v>формулювати</x:v>
      </x:c>
      <x:c r="E524" s="167" t="str">
        <x:v>No</x:v>
      </x:c>
      <x:c r="F524" s="167"/>
      <x:c r="G524" s="167" t="str">
        <x:v>Core</x:v>
      </x:c>
      <x:c r="H524" s="167" t="str">
        <x:v>General</x:v>
      </x:c>
      <x:c r="I524" s="167" t="str">
        <x:v>Not Started</x:v>
      </x:c>
      <x:c r="J524" s="167" t="n">
        <x:v>0</x:v>
      </x:c>
      <x:c r="K524" s="168"/>
      <x:c r="L524" s="168" t="str">
        <x:f>IF(OR(I524="Mastered",K524=""),"",K524+IF(J524&gt;=5,30,IF(J524=4,14,IF(J524=3,7,IF(J524=2,3,1)))))</x:f>
      </x:c>
      <x:c r="M524" s="171" t="str"/>
      <x:c r="N524" s="171" t="str"/>
      <x:c r="O524" s="171" t="str">
        <x:v>Draft — verify in context</x:v>
      </x:c>
      <x:c r="P524" s="167" t="str">
        <x:v>https://www.oxfordlearnersdictionaries.com/wordlists/oxford3000-5000</x:v>
      </x:c>
    </x:row>
    <x:row r="525" ht="26" customHeight="1">
      <x:c r="A525" s="167" t="n">
        <x:v>524</x:v>
      </x:c>
      <x:c r="B525" s="167" t="str">
        <x:v>forth</x:v>
      </x:c>
      <x:c r="C525" s="167" t="str">
        <x:v>adv.</x:v>
      </x:c>
      <x:c r="D525" s="170" t="str">
        <x:v>вперед</x:v>
      </x:c>
      <x:c r="E525" s="167" t="str">
        <x:v>No</x:v>
      </x:c>
      <x:c r="F525" s="167"/>
      <x:c r="G525" s="167" t="str">
        <x:v>Core</x:v>
      </x:c>
      <x:c r="H525" s="167" t="str">
        <x:v>General</x:v>
      </x:c>
      <x:c r="I525" s="167" t="str">
        <x:v>Not Started</x:v>
      </x:c>
      <x:c r="J525" s="167" t="n">
        <x:v>0</x:v>
      </x:c>
      <x:c r="K525" s="168"/>
      <x:c r="L525" s="168" t="str">
        <x:f>IF(OR(I525="Mastered",K525=""),"",K525+IF(J525&gt;=5,30,IF(J525=4,14,IF(J525=3,7,IF(J525=2,3,1)))))</x:f>
      </x:c>
      <x:c r="M525" s="171" t="str"/>
      <x:c r="N525" s="171" t="str"/>
      <x:c r="O525" s="171" t="str">
        <x:v>Draft — verify in context</x:v>
      </x:c>
      <x:c r="P525" s="167" t="str">
        <x:v>https://www.oxfordlearnersdictionaries.com/wordlists/oxford3000-5000</x:v>
      </x:c>
    </x:row>
    <x:row r="526" ht="26" customHeight="1">
      <x:c r="A526" s="167" t="n">
        <x:v>525</x:v>
      </x:c>
      <x:c r="B526" s="167" t="str">
        <x:v>forthcoming</x:v>
      </x:c>
      <x:c r="C526" s="167" t="str">
        <x:v>adj.</x:v>
      </x:c>
      <x:c r="D526" s="170" t="str">
        <x:v>майбутній</x:v>
      </x:c>
      <x:c r="E526" s="167" t="str">
        <x:v>Yes</x:v>
      </x:c>
      <x:c r="F526" s="167" t="n">
        <x:v>10</x:v>
      </x:c>
      <x:c r="G526" s="167" t="str">
        <x:v>High</x:v>
      </x:c>
      <x:c r="H526" s="167" t="str">
        <x:v>General</x:v>
      </x:c>
      <x:c r="I526" s="167" t="str">
        <x:v>Not Started</x:v>
      </x:c>
      <x:c r="J526" s="167" t="n">
        <x:v>0</x:v>
      </x:c>
      <x:c r="K526" s="168"/>
      <x:c r="L526" s="168" t="str">
        <x:f>IF(OR(I526="Mastered",K526=""),"",K526+IF(J526&gt;=5,30,IF(J526=4,14,IF(J526=3,7,IF(J526=2,3,1)))))</x:f>
      </x:c>
      <x:c r="M526" s="171" t="str"/>
      <x:c r="N526" s="171" t="str"/>
      <x:c r="O526" s="171" t="str">
        <x:v>Draft — verify in context</x:v>
      </x:c>
      <x:c r="P526" s="167" t="str">
        <x:v>https://www.oxfordlearnersdictionaries.com/wordlists/oxford3000-5000</x:v>
      </x:c>
    </x:row>
    <x:row r="527" ht="26" customHeight="1">
      <x:c r="A527" s="167" t="n">
        <x:v>526</x:v>
      </x:c>
      <x:c r="B527" s="167" t="str">
        <x:v>foster</x:v>
      </x:c>
      <x:c r="C527" s="167" t="str">
        <x:v>v.</x:v>
      </x:c>
      <x:c r="D527" s="170" t="str">
        <x:v>виховувати</x:v>
      </x:c>
      <x:c r="E527" s="167" t="str">
        <x:v>No</x:v>
      </x:c>
      <x:c r="F527" s="167"/>
      <x:c r="G527" s="167" t="str">
        <x:v>Core</x:v>
      </x:c>
      <x:c r="H527" s="167" t="str">
        <x:v>General</x:v>
      </x:c>
      <x:c r="I527" s="167" t="str">
        <x:v>Not Started</x:v>
      </x:c>
      <x:c r="J527" s="167" t="n">
        <x:v>0</x:v>
      </x:c>
      <x:c r="K527" s="168"/>
      <x:c r="L527" s="168" t="str">
        <x:f>IF(OR(I527="Mastered",K527=""),"",K527+IF(J527&gt;=5,30,IF(J527=4,14,IF(J527=3,7,IF(J527=2,3,1)))))</x:f>
      </x:c>
      <x:c r="M527" s="171" t="str"/>
      <x:c r="N527" s="171" t="str"/>
      <x:c r="O527" s="171" t="str">
        <x:v>Draft — verify in context</x:v>
      </x:c>
      <x:c r="P527" s="167" t="str">
        <x:v>https://www.oxfordlearnersdictionaries.com/wordlists/oxford3000-5000</x:v>
      </x:c>
    </x:row>
    <x:row r="528" ht="26" customHeight="1">
      <x:c r="A528" s="167" t="n">
        <x:v>527</x:v>
      </x:c>
      <x:c r="B528" s="167" t="str">
        <x:v>fragile</x:v>
      </x:c>
      <x:c r="C528" s="167" t="str">
        <x:v>adj.</x:v>
      </x:c>
      <x:c r="D528" s="170" t="str">
        <x:v>крихкий</x:v>
      </x:c>
      <x:c r="E528" s="167" t="str">
        <x:v>No</x:v>
      </x:c>
      <x:c r="F528" s="167"/>
      <x:c r="G528" s="167" t="str">
        <x:v>Core</x:v>
      </x:c>
      <x:c r="H528" s="167" t="str">
        <x:v>General</x:v>
      </x:c>
      <x:c r="I528" s="167" t="str">
        <x:v>Not Started</x:v>
      </x:c>
      <x:c r="J528" s="167" t="n">
        <x:v>0</x:v>
      </x:c>
      <x:c r="K528" s="168"/>
      <x:c r="L528" s="168" t="str">
        <x:f>IF(OR(I528="Mastered",K528=""),"",K528+IF(J528&gt;=5,30,IF(J528=4,14,IF(J528=3,7,IF(J528=2,3,1)))))</x:f>
      </x:c>
      <x:c r="M528" s="171" t="str"/>
      <x:c r="N528" s="171" t="str"/>
      <x:c r="O528" s="171" t="str">
        <x:v>Draft — verify in context</x:v>
      </x:c>
      <x:c r="P528" s="167" t="str">
        <x:v>https://www.oxfordlearnersdictionaries.com/wordlists/oxford3000-5000</x:v>
      </x:c>
    </x:row>
    <x:row r="529" ht="26" customHeight="1">
      <x:c r="A529" s="167" t="n">
        <x:v>528</x:v>
      </x:c>
      <x:c r="B529" s="167" t="str">
        <x:v>franchise</x:v>
      </x:c>
      <x:c r="C529" s="167" t="str">
        <x:v>n.</x:v>
      </x:c>
      <x:c r="D529" s="170" t="str">
        <x:v>франшиза; право на здійснення діяльності</x:v>
      </x:c>
      <x:c r="E529" s="167" t="str">
        <x:v>No</x:v>
      </x:c>
      <x:c r="F529" s="167"/>
      <x:c r="G529" s="167" t="str">
        <x:v>Core</x:v>
      </x:c>
      <x:c r="H529" s="167" t="str">
        <x:v>General</x:v>
      </x:c>
      <x:c r="I529" s="167" t="str">
        <x:v>Not Started</x:v>
      </x:c>
      <x:c r="J529" s="167" t="n">
        <x:v>0</x:v>
      </x:c>
      <x:c r="K529" s="168"/>
      <x:c r="L529" s="168" t="str">
        <x:f>IF(OR(I529="Mastered",K529=""),"",K529+IF(J529&gt;=5,30,IF(J529=4,14,IF(J529=3,7,IF(J529=2,3,1)))))</x:f>
      </x:c>
      <x:c r="M529" s="171" t="str"/>
      <x:c r="N529" s="171" t="str"/>
      <x:c r="O529" s="171" t="str">
        <x:v>Draft — verify in context</x:v>
      </x:c>
      <x:c r="P529" s="167" t="str">
        <x:v>https://www.oxfordlearnersdictionaries.com/wordlists/oxford3000-5000</x:v>
      </x:c>
    </x:row>
    <x:row r="530" ht="26" customHeight="1">
      <x:c r="A530" s="167" t="n">
        <x:v>529</x:v>
      </x:c>
      <x:c r="B530" s="167" t="str">
        <x:v>frankly</x:v>
      </x:c>
      <x:c r="C530" s="167" t="str">
        <x:v>adv.</x:v>
      </x:c>
      <x:c r="D530" s="170" t="str">
        <x:v>відверто</x:v>
      </x:c>
      <x:c r="E530" s="167" t="str">
        <x:v>No</x:v>
      </x:c>
      <x:c r="F530" s="167"/>
      <x:c r="G530" s="167" t="str">
        <x:v>Core</x:v>
      </x:c>
      <x:c r="H530" s="167" t="str">
        <x:v>General</x:v>
      </x:c>
      <x:c r="I530" s="167" t="str">
        <x:v>Not Started</x:v>
      </x:c>
      <x:c r="J530" s="167" t="n">
        <x:v>0</x:v>
      </x:c>
      <x:c r="K530" s="168"/>
      <x:c r="L530" s="168" t="str">
        <x:f>IF(OR(I530="Mastered",K530=""),"",K530+IF(J530&gt;=5,30,IF(J530=4,14,IF(J530=3,7,IF(J530=2,3,1)))))</x:f>
      </x:c>
      <x:c r="M530" s="171" t="str"/>
      <x:c r="N530" s="171" t="str"/>
      <x:c r="O530" s="171" t="str">
        <x:v>Draft — verify in context</x:v>
      </x:c>
      <x:c r="P530" s="167" t="str">
        <x:v>https://www.oxfordlearnersdictionaries.com/wordlists/oxford3000-5000</x:v>
      </x:c>
    </x:row>
    <x:row r="531" ht="26" customHeight="1">
      <x:c r="A531" s="167" t="n">
        <x:v>530</x:v>
      </x:c>
      <x:c r="B531" s="167" t="str">
        <x:v>frustrated</x:v>
      </x:c>
      <x:c r="C531" s="167" t="str">
        <x:v>adj.</x:v>
      </x:c>
      <x:c r="D531" s="170" t="str">
        <x:v>розчарований</x:v>
      </x:c>
      <x:c r="E531" s="167" t="str">
        <x:v>No</x:v>
      </x:c>
      <x:c r="F531" s="167"/>
      <x:c r="G531" s="167" t="str">
        <x:v>Core</x:v>
      </x:c>
      <x:c r="H531" s="167" t="str">
        <x:v>General</x:v>
      </x:c>
      <x:c r="I531" s="167" t="str">
        <x:v>Not Started</x:v>
      </x:c>
      <x:c r="J531" s="167" t="n">
        <x:v>0</x:v>
      </x:c>
      <x:c r="K531" s="168"/>
      <x:c r="L531" s="168" t="str">
        <x:f>IF(OR(I531="Mastered",K531=""),"",K531+IF(J531&gt;=5,30,IF(J531=4,14,IF(J531=3,7,IF(J531=2,3,1)))))</x:f>
      </x:c>
      <x:c r="M531" s="171" t="str"/>
      <x:c r="N531" s="171" t="str"/>
      <x:c r="O531" s="171" t="str">
        <x:v>Draft — verify in context</x:v>
      </x:c>
      <x:c r="P531" s="167" t="str">
        <x:v>https://www.oxfordlearnersdictionaries.com/wordlists/oxford3000-5000</x:v>
      </x:c>
    </x:row>
    <x:row r="532" ht="26" customHeight="1">
      <x:c r="A532" s="167" t="n">
        <x:v>531</x:v>
      </x:c>
      <x:c r="B532" s="167" t="str">
        <x:v>frustrating</x:v>
      </x:c>
      <x:c r="C532" s="167" t="str">
        <x:v>adj.</x:v>
      </x:c>
      <x:c r="D532" s="170" t="str">
        <x:v>розчарування</x:v>
      </x:c>
      <x:c r="E532" s="167" t="str">
        <x:v>No</x:v>
      </x:c>
      <x:c r="F532" s="167"/>
      <x:c r="G532" s="167" t="str">
        <x:v>Core</x:v>
      </x:c>
      <x:c r="H532" s="167" t="str">
        <x:v>General</x:v>
      </x:c>
      <x:c r="I532" s="167" t="str">
        <x:v>Not Started</x:v>
      </x:c>
      <x:c r="J532" s="167" t="n">
        <x:v>0</x:v>
      </x:c>
      <x:c r="K532" s="168"/>
      <x:c r="L532" s="168" t="str">
        <x:f>IF(OR(I532="Mastered",K532=""),"",K532+IF(J532&gt;=5,30,IF(J532=4,14,IF(J532=3,7,IF(J532=2,3,1)))))</x:f>
      </x:c>
      <x:c r="M532" s="171" t="str"/>
      <x:c r="N532" s="171" t="str"/>
      <x:c r="O532" s="171" t="str">
        <x:v>Draft — verify in context</x:v>
      </x:c>
      <x:c r="P532" s="167" t="str">
        <x:v>https://www.oxfordlearnersdictionaries.com/wordlists/oxford3000-5000</x:v>
      </x:c>
    </x:row>
    <x:row r="533" ht="26" customHeight="1">
      <x:c r="A533" s="167" t="n">
        <x:v>532</x:v>
      </x:c>
      <x:c r="B533" s="167" t="str">
        <x:v>frustration</x:v>
      </x:c>
      <x:c r="C533" s="167" t="str">
        <x:v>n.</x:v>
      </x:c>
      <x:c r="D533" s="170" t="str">
        <x:v>розчарування</x:v>
      </x:c>
      <x:c r="E533" s="167" t="str">
        <x:v>No</x:v>
      </x:c>
      <x:c r="F533" s="167"/>
      <x:c r="G533" s="167" t="str">
        <x:v>Core</x:v>
      </x:c>
      <x:c r="H533" s="167" t="str">
        <x:v>General</x:v>
      </x:c>
      <x:c r="I533" s="167" t="str">
        <x:v>Not Started</x:v>
      </x:c>
      <x:c r="J533" s="167" t="n">
        <x:v>0</x:v>
      </x:c>
      <x:c r="K533" s="168"/>
      <x:c r="L533" s="168" t="str">
        <x:f>IF(OR(I533="Mastered",K533=""),"",K533+IF(J533&gt;=5,30,IF(J533=4,14,IF(J533=3,7,IF(J533=2,3,1)))))</x:f>
      </x:c>
      <x:c r="M533" s="171" t="str"/>
      <x:c r="N533" s="171" t="str"/>
      <x:c r="O533" s="171" t="str">
        <x:v>Draft — verify in context</x:v>
      </x:c>
      <x:c r="P533" s="167" t="str">
        <x:v>https://www.oxfordlearnersdictionaries.com/wordlists/oxford3000-5000</x:v>
      </x:c>
    </x:row>
    <x:row r="534" ht="26" customHeight="1">
      <x:c r="A534" s="167" t="n">
        <x:v>533</x:v>
      </x:c>
      <x:c r="B534" s="167" t="str">
        <x:v>functional</x:v>
      </x:c>
      <x:c r="C534" s="167" t="str">
        <x:v>adj.</x:v>
      </x:c>
      <x:c r="D534" s="170" t="str">
        <x:v>функціональний</x:v>
      </x:c>
      <x:c r="E534" s="167" t="str">
        <x:v>No</x:v>
      </x:c>
      <x:c r="F534" s="167"/>
      <x:c r="G534" s="167" t="str">
        <x:v>Core</x:v>
      </x:c>
      <x:c r="H534" s="167" t="str">
        <x:v>General</x:v>
      </x:c>
      <x:c r="I534" s="167" t="str">
        <x:v>Not Started</x:v>
      </x:c>
      <x:c r="J534" s="167" t="n">
        <x:v>0</x:v>
      </x:c>
      <x:c r="K534" s="168"/>
      <x:c r="L534" s="168" t="str">
        <x:f>IF(OR(I534="Mastered",K534=""),"",K534+IF(J534&gt;=5,30,IF(J534=4,14,IF(J534=3,7,IF(J534=2,3,1)))))</x:f>
      </x:c>
      <x:c r="M534" s="171" t="str"/>
      <x:c r="N534" s="171" t="str"/>
      <x:c r="O534" s="171" t="str">
        <x:v>Draft — verify in context</x:v>
      </x:c>
      <x:c r="P534" s="167" t="str">
        <x:v>https://www.oxfordlearnersdictionaries.com/wordlists/oxford3000-5000</x:v>
      </x:c>
    </x:row>
    <x:row r="535" ht="26" customHeight="1">
      <x:c r="A535" s="167" t="n">
        <x:v>534</x:v>
      </x:c>
      <x:c r="B535" s="167" t="str">
        <x:v>fundraising</x:v>
      </x:c>
      <x:c r="C535" s="167" t="str">
        <x:v>n.</x:v>
      </x:c>
      <x:c r="D535" s="170" t="str">
        <x:v>збір коштів</x:v>
      </x:c>
      <x:c r="E535" s="167" t="str">
        <x:v>No</x:v>
      </x:c>
      <x:c r="F535" s="167"/>
      <x:c r="G535" s="167" t="str">
        <x:v>Core</x:v>
      </x:c>
      <x:c r="H535" s="167" t="str">
        <x:v>General</x:v>
      </x:c>
      <x:c r="I535" s="167" t="str">
        <x:v>Not Started</x:v>
      </x:c>
      <x:c r="J535" s="167" t="n">
        <x:v>0</x:v>
      </x:c>
      <x:c r="K535" s="168"/>
      <x:c r="L535" s="168" t="str">
        <x:f>IF(OR(I535="Mastered",K535=""),"",K535+IF(J535&gt;=5,30,IF(J535=4,14,IF(J535=3,7,IF(J535=2,3,1)))))</x:f>
      </x:c>
      <x:c r="M535" s="171" t="str"/>
      <x:c r="N535" s="171" t="str"/>
      <x:c r="O535" s="171" t="str">
        <x:v>Draft — verify in context</x:v>
      </x:c>
      <x:c r="P535" s="167" t="str">
        <x:v>https://www.oxfordlearnersdictionaries.com/wordlists/oxford3000-5000</x:v>
      </x:c>
    </x:row>
    <x:row r="536" ht="26" customHeight="1">
      <x:c r="A536" s="167" t="n">
        <x:v>535</x:v>
      </x:c>
      <x:c r="B536" s="167" t="str">
        <x:v>funeral</x:v>
      </x:c>
      <x:c r="C536" s="167" t="str">
        <x:v>n.</x:v>
      </x:c>
      <x:c r="D536" s="170" t="str">
        <x:v>похорон</x:v>
      </x:c>
      <x:c r="E536" s="167" t="str">
        <x:v>No</x:v>
      </x:c>
      <x:c r="F536" s="167"/>
      <x:c r="G536" s="167" t="str">
        <x:v>Core</x:v>
      </x:c>
      <x:c r="H536" s="167" t="str">
        <x:v>General</x:v>
      </x:c>
      <x:c r="I536" s="167" t="str">
        <x:v>Not Started</x:v>
      </x:c>
      <x:c r="J536" s="167" t="n">
        <x:v>0</x:v>
      </x:c>
      <x:c r="K536" s="168"/>
      <x:c r="L536" s="168" t="str">
        <x:f>IF(OR(I536="Mastered",K536=""),"",K536+IF(J536&gt;=5,30,IF(J536=4,14,IF(J536=3,7,IF(J536=2,3,1)))))</x:f>
      </x:c>
      <x:c r="M536" s="171" t="str"/>
      <x:c r="N536" s="171" t="str"/>
      <x:c r="O536" s="171" t="str">
        <x:v>Draft — verify in context</x:v>
      </x:c>
      <x:c r="P536" s="167" t="str">
        <x:v>https://www.oxfordlearnersdictionaries.com/wordlists/oxford3000-5000</x:v>
      </x:c>
    </x:row>
    <x:row r="537" ht="26" customHeight="1">
      <x:c r="A537" s="167" t="n">
        <x:v>536</x:v>
      </x:c>
      <x:c r="B537" s="167" t="str">
        <x:v>gallon</x:v>
      </x:c>
      <x:c r="C537" s="167" t="str">
        <x:v>n.</x:v>
      </x:c>
      <x:c r="D537" s="170" t="str">
        <x:v>галон</x:v>
      </x:c>
      <x:c r="E537" s="167" t="str">
        <x:v>No</x:v>
      </x:c>
      <x:c r="F537" s="167"/>
      <x:c r="G537" s="167" t="str">
        <x:v>Core</x:v>
      </x:c>
      <x:c r="H537" s="167" t="str">
        <x:v>General</x:v>
      </x:c>
      <x:c r="I537" s="167" t="str">
        <x:v>Not Started</x:v>
      </x:c>
      <x:c r="J537" s="167" t="n">
        <x:v>0</x:v>
      </x:c>
      <x:c r="K537" s="168"/>
      <x:c r="L537" s="168" t="str">
        <x:f>IF(OR(I537="Mastered",K537=""),"",K537+IF(J537&gt;=5,30,IF(J537=4,14,IF(J537=3,7,IF(J537=2,3,1)))))</x:f>
      </x:c>
      <x:c r="M537" s="171" t="str"/>
      <x:c r="N537" s="171" t="str"/>
      <x:c r="O537" s="171" t="str">
        <x:v>Draft — verify in context</x:v>
      </x:c>
      <x:c r="P537" s="167" t="str">
        <x:v>https://www.oxfordlearnersdictionaries.com/wordlists/oxford3000-5000</x:v>
      </x:c>
    </x:row>
    <x:row r="538" ht="26" customHeight="1">
      <x:c r="A538" s="167" t="n">
        <x:v>537</x:v>
      </x:c>
      <x:c r="B538" s="167" t="str">
        <x:v>gambling</x:v>
      </x:c>
      <x:c r="C538" s="167" t="str">
        <x:v>n.</x:v>
      </x:c>
      <x:c r="D538" s="170" t="str">
        <x:v>азартні ігри</x:v>
      </x:c>
      <x:c r="E538" s="167" t="str">
        <x:v>No</x:v>
      </x:c>
      <x:c r="F538" s="167"/>
      <x:c r="G538" s="167" t="str">
        <x:v>Core</x:v>
      </x:c>
      <x:c r="H538" s="167" t="str">
        <x:v>General</x:v>
      </x:c>
      <x:c r="I538" s="167" t="str">
        <x:v>Not Started</x:v>
      </x:c>
      <x:c r="J538" s="167" t="n">
        <x:v>0</x:v>
      </x:c>
      <x:c r="K538" s="168"/>
      <x:c r="L538" s="168" t="str">
        <x:f>IF(OR(I538="Mastered",K538=""),"",K538+IF(J538&gt;=5,30,IF(J538=4,14,IF(J538=3,7,IF(J538=2,3,1)))))</x:f>
      </x:c>
      <x:c r="M538" s="171" t="str"/>
      <x:c r="N538" s="171" t="str"/>
      <x:c r="O538" s="171" t="str">
        <x:v>Draft — verify in context</x:v>
      </x:c>
      <x:c r="P538" s="167" t="str">
        <x:v>https://www.oxfordlearnersdictionaries.com/wordlists/oxford3000-5000</x:v>
      </x:c>
    </x:row>
    <x:row r="539" ht="26" customHeight="1">
      <x:c r="A539" s="167" t="n">
        <x:v>538</x:v>
      </x:c>
      <x:c r="B539" s="167" t="str">
        <x:v>gathering</x:v>
      </x:c>
      <x:c r="C539" s="167" t="str">
        <x:v>n.</x:v>
      </x:c>
      <x:c r="D539" s="170" t="str">
        <x:v>збирання</x:v>
      </x:c>
      <x:c r="E539" s="167" t="str">
        <x:v>No</x:v>
      </x:c>
      <x:c r="F539" s="167"/>
      <x:c r="G539" s="167" t="str">
        <x:v>Core</x:v>
      </x:c>
      <x:c r="H539" s="167" t="str">
        <x:v>General</x:v>
      </x:c>
      <x:c r="I539" s="167" t="str">
        <x:v>Not Started</x:v>
      </x:c>
      <x:c r="J539" s="167" t="n">
        <x:v>0</x:v>
      </x:c>
      <x:c r="K539" s="168"/>
      <x:c r="L539" s="168" t="str">
        <x:f>IF(OR(I539="Mastered",K539=""),"",K539+IF(J539&gt;=5,30,IF(J539=4,14,IF(J539=3,7,IF(J539=2,3,1)))))</x:f>
      </x:c>
      <x:c r="M539" s="171" t="str"/>
      <x:c r="N539" s="171" t="str"/>
      <x:c r="O539" s="171" t="str">
        <x:v>Draft — verify in context</x:v>
      </x:c>
      <x:c r="P539" s="167" t="str">
        <x:v>https://www.oxfordlearnersdictionaries.com/wordlists/oxford3000-5000</x:v>
      </x:c>
    </x:row>
    <x:row r="540" ht="26" customHeight="1">
      <x:c r="A540" s="167" t="n">
        <x:v>539</x:v>
      </x:c>
      <x:c r="B540" s="167" t="str">
        <x:v>gaze</x:v>
      </x:c>
      <x:c r="C540" s="167" t="str">
        <x:v>n., v.</x:v>
      </x:c>
      <x:c r="D540" s="170" t="str">
        <x:v>погляд</x:v>
      </x:c>
      <x:c r="E540" s="167" t="str">
        <x:v>No</x:v>
      </x:c>
      <x:c r="F540" s="167"/>
      <x:c r="G540" s="167" t="str">
        <x:v>Core</x:v>
      </x:c>
      <x:c r="H540" s="167" t="str">
        <x:v>General</x:v>
      </x:c>
      <x:c r="I540" s="167" t="str">
        <x:v>Not Started</x:v>
      </x:c>
      <x:c r="J540" s="167" t="n">
        <x:v>0</x:v>
      </x:c>
      <x:c r="K540" s="168"/>
      <x:c r="L540" s="168" t="str">
        <x:f>IF(OR(I540="Mastered",K540=""),"",K540+IF(J540&gt;=5,30,IF(J540=4,14,IF(J540=3,7,IF(J540=2,3,1)))))</x:f>
      </x:c>
      <x:c r="M540" s="171" t="str"/>
      <x:c r="N540" s="171" t="str"/>
      <x:c r="O540" s="171" t="str">
        <x:v>Draft — verify in context</x:v>
      </x:c>
      <x:c r="P540" s="167" t="str">
        <x:v>https://www.oxfordlearnersdictionaries.com/wordlists/oxford3000-5000</x:v>
      </x:c>
    </x:row>
    <x:row r="541" ht="26" customHeight="1">
      <x:c r="A541" s="167" t="n">
        <x:v>540</x:v>
      </x:c>
      <x:c r="B541" s="167" t="str">
        <x:v>gear</x:v>
      </x:c>
      <x:c r="C541" s="167" t="str">
        <x:v>n.</x:v>
      </x:c>
      <x:c r="D541" s="170" t="str">
        <x:v>шестерня</x:v>
      </x:c>
      <x:c r="E541" s="167" t="str">
        <x:v>No</x:v>
      </x:c>
      <x:c r="F541" s="167"/>
      <x:c r="G541" s="167" t="str">
        <x:v>Core</x:v>
      </x:c>
      <x:c r="H541" s="167" t="str">
        <x:v>General</x:v>
      </x:c>
      <x:c r="I541" s="167" t="str">
        <x:v>Not Started</x:v>
      </x:c>
      <x:c r="J541" s="167" t="n">
        <x:v>0</x:v>
      </x:c>
      <x:c r="K541" s="168"/>
      <x:c r="L541" s="168" t="str">
        <x:f>IF(OR(I541="Mastered",K541=""),"",K541+IF(J541&gt;=5,30,IF(J541=4,14,IF(J541=3,7,IF(J541=2,3,1)))))</x:f>
      </x:c>
      <x:c r="M541" s="171" t="str"/>
      <x:c r="N541" s="171" t="str"/>
      <x:c r="O541" s="171" t="str">
        <x:v>Draft — verify in context</x:v>
      </x:c>
      <x:c r="P541" s="167" t="str">
        <x:v>https://www.oxfordlearnersdictionaries.com/wordlists/oxford3000-5000</x:v>
      </x:c>
    </x:row>
    <x:row r="542" ht="26" customHeight="1">
      <x:c r="A542" s="167" t="n">
        <x:v>541</x:v>
      </x:c>
      <x:c r="B542" s="167" t="str">
        <x:v>generic</x:v>
      </x:c>
      <x:c r="C542" s="167" t="str">
        <x:v>adj.</x:v>
      </x:c>
      <x:c r="D542" s="170" t="str">
        <x:v>родовий</x:v>
      </x:c>
      <x:c r="E542" s="167" t="str">
        <x:v>No</x:v>
      </x:c>
      <x:c r="F542" s="167"/>
      <x:c r="G542" s="167" t="str">
        <x:v>Core</x:v>
      </x:c>
      <x:c r="H542" s="167" t="str">
        <x:v>General</x:v>
      </x:c>
      <x:c r="I542" s="167" t="str">
        <x:v>Not Started</x:v>
      </x:c>
      <x:c r="J542" s="167" t="n">
        <x:v>0</x:v>
      </x:c>
      <x:c r="K542" s="168"/>
      <x:c r="L542" s="168" t="str">
        <x:f>IF(OR(I542="Mastered",K542=""),"",K542+IF(J542&gt;=5,30,IF(J542=4,14,IF(J542=3,7,IF(J542=2,3,1)))))</x:f>
      </x:c>
      <x:c r="M542" s="171" t="str"/>
      <x:c r="N542" s="171" t="str"/>
      <x:c r="O542" s="171" t="str">
        <x:v>Draft — verify in context</x:v>
      </x:c>
      <x:c r="P542" s="167" t="str">
        <x:v>https://www.oxfordlearnersdictionaries.com/wordlists/oxford3000-5000</x:v>
      </x:c>
    </x:row>
    <x:row r="543" ht="26" customHeight="1">
      <x:c r="A543" s="167" t="n">
        <x:v>542</x:v>
      </x:c>
      <x:c r="B543" s="167" t="str">
        <x:v>genocide</x:v>
      </x:c>
      <x:c r="C543" s="167" t="str">
        <x:v>n.</x:v>
      </x:c>
      <x:c r="D543" s="170" t="str">
        <x:v>геноцид</x:v>
      </x:c>
      <x:c r="E543" s="167" t="str">
        <x:v>No</x:v>
      </x:c>
      <x:c r="F543" s="167"/>
      <x:c r="G543" s="167" t="str">
        <x:v>Core</x:v>
      </x:c>
      <x:c r="H543" s="167" t="str">
        <x:v>General</x:v>
      </x:c>
      <x:c r="I543" s="167" t="str">
        <x:v>Not Started</x:v>
      </x:c>
      <x:c r="J543" s="167" t="n">
        <x:v>0</x:v>
      </x:c>
      <x:c r="K543" s="168"/>
      <x:c r="L543" s="168" t="str">
        <x:f>IF(OR(I543="Mastered",K543=""),"",K543+IF(J543&gt;=5,30,IF(J543=4,14,IF(J543=3,7,IF(J543=2,3,1)))))</x:f>
      </x:c>
      <x:c r="M543" s="171" t="str"/>
      <x:c r="N543" s="171" t="str"/>
      <x:c r="O543" s="171" t="str">
        <x:v>Draft — verify in context</x:v>
      </x:c>
      <x:c r="P543" s="167" t="str">
        <x:v>https://www.oxfordlearnersdictionaries.com/wordlists/oxford3000-5000</x:v>
      </x:c>
    </x:row>
    <x:row r="544" ht="26" customHeight="1">
      <x:c r="A544" s="167" t="n">
        <x:v>543</x:v>
      </x:c>
      <x:c r="B544" s="167" t="str">
        <x:v>glance</x:v>
      </x:c>
      <x:c r="C544" s="167" t="str">
        <x:v>n., v.</x:v>
      </x:c>
      <x:c r="D544" s="170" t="str">
        <x:v>погляд</x:v>
      </x:c>
      <x:c r="E544" s="167" t="str">
        <x:v>No</x:v>
      </x:c>
      <x:c r="F544" s="167"/>
      <x:c r="G544" s="167" t="str">
        <x:v>Core</x:v>
      </x:c>
      <x:c r="H544" s="167" t="str">
        <x:v>General</x:v>
      </x:c>
      <x:c r="I544" s="167" t="str">
        <x:v>Not Started</x:v>
      </x:c>
      <x:c r="J544" s="167" t="n">
        <x:v>0</x:v>
      </x:c>
      <x:c r="K544" s="168"/>
      <x:c r="L544" s="168" t="str">
        <x:f>IF(OR(I544="Mastered",K544=""),"",K544+IF(J544&gt;=5,30,IF(J544=4,14,IF(J544=3,7,IF(J544=2,3,1)))))</x:f>
      </x:c>
      <x:c r="M544" s="171" t="str"/>
      <x:c r="N544" s="171" t="str"/>
      <x:c r="O544" s="171" t="str">
        <x:v>Draft — verify in context</x:v>
      </x:c>
      <x:c r="P544" s="167" t="str">
        <x:v>https://www.oxfordlearnersdictionaries.com/wordlists/oxford3000-5000</x:v>
      </x:c>
    </x:row>
    <x:row r="545" ht="26" customHeight="1">
      <x:c r="A545" s="167" t="n">
        <x:v>544</x:v>
      </x:c>
      <x:c r="B545" s="167" t="str">
        <x:v>glimpse</x:v>
      </x:c>
      <x:c r="C545" s="167" t="str">
        <x:v>n.</x:v>
      </x:c>
      <x:c r="D545" s="170" t="str">
        <x:v>проблиск</x:v>
      </x:c>
      <x:c r="E545" s="167" t="str">
        <x:v>No</x:v>
      </x:c>
      <x:c r="F545" s="167"/>
      <x:c r="G545" s="167" t="str">
        <x:v>Core</x:v>
      </x:c>
      <x:c r="H545" s="167" t="str">
        <x:v>General</x:v>
      </x:c>
      <x:c r="I545" s="167" t="str">
        <x:v>Not Started</x:v>
      </x:c>
      <x:c r="J545" s="167" t="n">
        <x:v>0</x:v>
      </x:c>
      <x:c r="K545" s="168"/>
      <x:c r="L545" s="168" t="str">
        <x:f>IF(OR(I545="Mastered",K545=""),"",K545+IF(J545&gt;=5,30,IF(J545=4,14,IF(J545=3,7,IF(J545=2,3,1)))))</x:f>
      </x:c>
      <x:c r="M545" s="171" t="str"/>
      <x:c r="N545" s="171" t="str"/>
      <x:c r="O545" s="171" t="str">
        <x:v>Draft — verify in context</x:v>
      </x:c>
      <x:c r="P545" s="167" t="str">
        <x:v>https://www.oxfordlearnersdictionaries.com/wordlists/oxford3000-5000</x:v>
      </x:c>
    </x:row>
    <x:row r="546" ht="26" customHeight="1">
      <x:c r="A546" s="167" t="n">
        <x:v>545</x:v>
      </x:c>
      <x:c r="B546" s="167" t="str">
        <x:v>glorious</x:v>
      </x:c>
      <x:c r="C546" s="167" t="str">
        <x:v>adj.</x:v>
      </x:c>
      <x:c r="D546" s="170" t="str">
        <x:v>славний</x:v>
      </x:c>
      <x:c r="E546" s="167" t="str">
        <x:v>No</x:v>
      </x:c>
      <x:c r="F546" s="167"/>
      <x:c r="G546" s="167" t="str">
        <x:v>Core</x:v>
      </x:c>
      <x:c r="H546" s="167" t="str">
        <x:v>General</x:v>
      </x:c>
      <x:c r="I546" s="167" t="str">
        <x:v>Not Started</x:v>
      </x:c>
      <x:c r="J546" s="167" t="n">
        <x:v>0</x:v>
      </x:c>
      <x:c r="K546" s="168"/>
      <x:c r="L546" s="168" t="str">
        <x:f>IF(OR(I546="Mastered",K546=""),"",K546+IF(J546&gt;=5,30,IF(J546=4,14,IF(J546=3,7,IF(J546=2,3,1)))))</x:f>
      </x:c>
      <x:c r="M546" s="171" t="str"/>
      <x:c r="N546" s="171" t="str"/>
      <x:c r="O546" s="171" t="str">
        <x:v>Draft — verify in context</x:v>
      </x:c>
      <x:c r="P546" s="167" t="str">
        <x:v>https://www.oxfordlearnersdictionaries.com/wordlists/oxford3000-5000</x:v>
      </x:c>
    </x:row>
    <x:row r="547" ht="26" customHeight="1">
      <x:c r="A547" s="167" t="n">
        <x:v>546</x:v>
      </x:c>
      <x:c r="B547" s="167" t="str">
        <x:v>glory</x:v>
      </x:c>
      <x:c r="C547" s="167" t="str">
        <x:v>n.</x:v>
      </x:c>
      <x:c r="D547" s="170" t="str">
        <x:v>слава</x:v>
      </x:c>
      <x:c r="E547" s="167" t="str">
        <x:v>No</x:v>
      </x:c>
      <x:c r="F547" s="167"/>
      <x:c r="G547" s="167" t="str">
        <x:v>Core</x:v>
      </x:c>
      <x:c r="H547" s="167" t="str">
        <x:v>General</x:v>
      </x:c>
      <x:c r="I547" s="167" t="str">
        <x:v>Not Started</x:v>
      </x:c>
      <x:c r="J547" s="167" t="n">
        <x:v>0</x:v>
      </x:c>
      <x:c r="K547" s="168"/>
      <x:c r="L547" s="168" t="str">
        <x:f>IF(OR(I547="Mastered",K547=""),"",K547+IF(J547&gt;=5,30,IF(J547=4,14,IF(J547=3,7,IF(J547=2,3,1)))))</x:f>
      </x:c>
      <x:c r="M547" s="171" t="str"/>
      <x:c r="N547" s="171" t="str"/>
      <x:c r="O547" s="171" t="str">
        <x:v>Draft — verify in context</x:v>
      </x:c>
      <x:c r="P547" s="167" t="str">
        <x:v>https://www.oxfordlearnersdictionaries.com/wordlists/oxford3000-5000</x:v>
      </x:c>
    </x:row>
    <x:row r="548" ht="26" customHeight="1">
      <x:c r="A548" s="167" t="n">
        <x:v>547</x:v>
      </x:c>
      <x:c r="B548" s="167" t="str">
        <x:v>governance</x:v>
      </x:c>
      <x:c r="C548" s="167" t="str">
        <x:v>n.</x:v>
      </x:c>
      <x:c r="D548" s="170" t="str">
        <x:v>управління</x:v>
      </x:c>
      <x:c r="E548" s="167" t="str">
        <x:v>No</x:v>
      </x:c>
      <x:c r="F548" s="167"/>
      <x:c r="G548" s="167" t="str">
        <x:v>High</x:v>
      </x:c>
      <x:c r="H548" s="167" t="str">
        <x:v>Government &amp; law</x:v>
      </x:c>
      <x:c r="I548" s="167" t="str">
        <x:v>Not Started</x:v>
      </x:c>
      <x:c r="J548" s="167" t="n">
        <x:v>0</x:v>
      </x:c>
      <x:c r="K548" s="168"/>
      <x:c r="L548" s="168" t="str">
        <x:f>IF(OR(I548="Mastered",K548=""),"",K548+IF(J548&gt;=5,30,IF(J548=4,14,IF(J548=3,7,IF(J548=2,3,1)))))</x:f>
      </x:c>
      <x:c r="M548" s="171" t="str"/>
      <x:c r="N548" s="171" t="str"/>
      <x:c r="O548" s="171" t="str">
        <x:v>Draft — verify in context</x:v>
      </x:c>
      <x:c r="P548" s="167" t="str">
        <x:v>https://www.oxfordlearnersdictionaries.com/wordlists/oxford3000-5000</x:v>
      </x:c>
    </x:row>
    <x:row r="549" ht="26" customHeight="1">
      <x:c r="A549" s="167" t="n">
        <x:v>548</x:v>
      </x:c>
      <x:c r="B549" s="167" t="str">
        <x:v>grace</x:v>
      </x:c>
      <x:c r="C549" s="167" t="str">
        <x:v>n.</x:v>
      </x:c>
      <x:c r="D549" s="170" t="str">
        <x:v>благодать</x:v>
      </x:c>
      <x:c r="E549" s="167" t="str">
        <x:v>No</x:v>
      </x:c>
      <x:c r="F549" s="167"/>
      <x:c r="G549" s="167" t="str">
        <x:v>Core</x:v>
      </x:c>
      <x:c r="H549" s="167" t="str">
        <x:v>General</x:v>
      </x:c>
      <x:c r="I549" s="167" t="str">
        <x:v>Not Started</x:v>
      </x:c>
      <x:c r="J549" s="167" t="n">
        <x:v>0</x:v>
      </x:c>
      <x:c r="K549" s="168"/>
      <x:c r="L549" s="168" t="str">
        <x:f>IF(OR(I549="Mastered",K549=""),"",K549+IF(J549&gt;=5,30,IF(J549=4,14,IF(J549=3,7,IF(J549=2,3,1)))))</x:f>
      </x:c>
      <x:c r="M549" s="171" t="str"/>
      <x:c r="N549" s="171" t="str"/>
      <x:c r="O549" s="171" t="str">
        <x:v>Draft — verify in context</x:v>
      </x:c>
      <x:c r="P549" s="167" t="str">
        <x:v>https://www.oxfordlearnersdictionaries.com/wordlists/oxford3000-5000</x:v>
      </x:c>
    </x:row>
    <x:row r="550" ht="26" customHeight="1">
      <x:c r="A550" s="167" t="n">
        <x:v>549</x:v>
      </x:c>
      <x:c r="B550" s="167" t="str">
        <x:v>grasp</x:v>
      </x:c>
      <x:c r="C550" s="167" t="str">
        <x:v>v., n.</x:v>
      </x:c>
      <x:c r="D550" s="170" t="str">
        <x:v>хапати</x:v>
      </x:c>
      <x:c r="E550" s="167" t="str">
        <x:v>No</x:v>
      </x:c>
      <x:c r="F550" s="167"/>
      <x:c r="G550" s="167" t="str">
        <x:v>Core</x:v>
      </x:c>
      <x:c r="H550" s="167" t="str">
        <x:v>General</x:v>
      </x:c>
      <x:c r="I550" s="167" t="str">
        <x:v>Not Started</x:v>
      </x:c>
      <x:c r="J550" s="167" t="n">
        <x:v>0</x:v>
      </x:c>
      <x:c r="K550" s="168"/>
      <x:c r="L550" s="168" t="str">
        <x:f>IF(OR(I550="Mastered",K550=""),"",K550+IF(J550&gt;=5,30,IF(J550=4,14,IF(J550=3,7,IF(J550=2,3,1)))))</x:f>
      </x:c>
      <x:c r="M550" s="171" t="str"/>
      <x:c r="N550" s="171" t="str"/>
      <x:c r="O550" s="171" t="str">
        <x:v>Draft — verify in context</x:v>
      </x:c>
      <x:c r="P550" s="167" t="str">
        <x:v>https://www.oxfordlearnersdictionaries.com/wordlists/oxford3000-5000</x:v>
      </x:c>
    </x:row>
    <x:row r="551" ht="26" customHeight="1">
      <x:c r="A551" s="167" t="n">
        <x:v>550</x:v>
      </x:c>
      <x:c r="B551" s="167" t="str">
        <x:v>grave (for dead person)</x:v>
      </x:c>
      <x:c r="C551" s="167" t="str">
        <x:v>n.</x:v>
      </x:c>
      <x:c r="D551" s="170" t="str">
        <x:v>могила</x:v>
      </x:c>
      <x:c r="E551" s="167" t="str">
        <x:v>No</x:v>
      </x:c>
      <x:c r="F551" s="167"/>
      <x:c r="G551" s="167" t="str">
        <x:v>Core</x:v>
      </x:c>
      <x:c r="H551" s="167" t="str">
        <x:v>General</x:v>
      </x:c>
      <x:c r="I551" s="167" t="str">
        <x:v>Not Started</x:v>
      </x:c>
      <x:c r="J551" s="167" t="n">
        <x:v>0</x:v>
      </x:c>
      <x:c r="K551" s="168"/>
      <x:c r="L551" s="168" t="str">
        <x:f>IF(OR(I551="Mastered",K551=""),"",K551+IF(J551&gt;=5,30,IF(J551=4,14,IF(J551=3,7,IF(J551=2,3,1)))))</x:f>
      </x:c>
      <x:c r="M551" s="171" t="str"/>
      <x:c r="N551" s="171" t="str"/>
      <x:c r="O551" s="171" t="str">
        <x:v>Draft — verify in context</x:v>
      </x:c>
      <x:c r="P551" s="167" t="str">
        <x:v>https://www.oxfordlearnersdictionaries.com/wordlists/oxford3000-5000</x:v>
      </x:c>
    </x:row>
    <x:row r="552" ht="26" customHeight="1">
      <x:c r="A552" s="167" t="n">
        <x:v>551</x:v>
      </x:c>
      <x:c r="B552" s="167" t="str">
        <x:v>grave (serious)</x:v>
      </x:c>
      <x:c r="C552" s="167" t="str">
        <x:v>adj.</x:v>
      </x:c>
      <x:c r="D552" s="170" t="str">
        <x:v>серйозний; тяжкий</x:v>
      </x:c>
      <x:c r="E552" s="167" t="str">
        <x:v>No</x:v>
      </x:c>
      <x:c r="F552" s="167"/>
      <x:c r="G552" s="167" t="str">
        <x:v>Core</x:v>
      </x:c>
      <x:c r="H552" s="167" t="str">
        <x:v>General</x:v>
      </x:c>
      <x:c r="I552" s="167" t="str">
        <x:v>Not Started</x:v>
      </x:c>
      <x:c r="J552" s="167" t="n">
        <x:v>0</x:v>
      </x:c>
      <x:c r="K552" s="168"/>
      <x:c r="L552" s="168" t="str">
        <x:f>IF(OR(I552="Mastered",K552=""),"",K552+IF(J552&gt;=5,30,IF(J552=4,14,IF(J552=3,7,IF(J552=2,3,1)))))</x:f>
      </x:c>
      <x:c r="M552" s="171" t="str"/>
      <x:c r="N552" s="171" t="str"/>
      <x:c r="O552" s="171" t="str">
        <x:v>Draft — verify in context</x:v>
      </x:c>
      <x:c r="P552" s="167" t="str">
        <x:v>https://www.oxfordlearnersdictionaries.com/wordlists/oxford3000-5000</x:v>
      </x:c>
    </x:row>
    <x:row r="553" ht="26" customHeight="1">
      <x:c r="A553" s="167" t="n">
        <x:v>552</x:v>
      </x:c>
      <x:c r="B553" s="167" t="str">
        <x:v>gravity</x:v>
      </x:c>
      <x:c r="C553" s="167" t="str">
        <x:v>n.</x:v>
      </x:c>
      <x:c r="D553" s="170" t="str">
        <x:v>гравітація</x:v>
      </x:c>
      <x:c r="E553" s="167" t="str">
        <x:v>No</x:v>
      </x:c>
      <x:c r="F553" s="167"/>
      <x:c r="G553" s="167" t="str">
        <x:v>Core</x:v>
      </x:c>
      <x:c r="H553" s="167" t="str">
        <x:v>General</x:v>
      </x:c>
      <x:c r="I553" s="167" t="str">
        <x:v>Not Started</x:v>
      </x:c>
      <x:c r="J553" s="167" t="n">
        <x:v>0</x:v>
      </x:c>
      <x:c r="K553" s="168"/>
      <x:c r="L553" s="168" t="str">
        <x:f>IF(OR(I553="Mastered",K553=""),"",K553+IF(J553&gt;=5,30,IF(J553=4,14,IF(J553=3,7,IF(J553=2,3,1)))))</x:f>
      </x:c>
      <x:c r="M553" s="171" t="str"/>
      <x:c r="N553" s="171" t="str"/>
      <x:c r="O553" s="171" t="str">
        <x:v>Draft — verify in context</x:v>
      </x:c>
      <x:c r="P553" s="167" t="str">
        <x:v>https://www.oxfordlearnersdictionaries.com/wordlists/oxford3000-5000</x:v>
      </x:c>
    </x:row>
    <x:row r="554" ht="26" customHeight="1">
      <x:c r="A554" s="167" t="n">
        <x:v>553</x:v>
      </x:c>
      <x:c r="B554" s="167" t="str">
        <x:v>grid</x:v>
      </x:c>
      <x:c r="C554" s="167" t="str">
        <x:v>n.</x:v>
      </x:c>
      <x:c r="D554" s="170" t="str">
        <x:v>сітка</x:v>
      </x:c>
      <x:c r="E554" s="167" t="str">
        <x:v>No</x:v>
      </x:c>
      <x:c r="F554" s="167"/>
      <x:c r="G554" s="167" t="str">
        <x:v>Core</x:v>
      </x:c>
      <x:c r="H554" s="167" t="str">
        <x:v>General</x:v>
      </x:c>
      <x:c r="I554" s="167" t="str">
        <x:v>Not Started</x:v>
      </x:c>
      <x:c r="J554" s="167" t="n">
        <x:v>0</x:v>
      </x:c>
      <x:c r="K554" s="168"/>
      <x:c r="L554" s="168" t="str">
        <x:f>IF(OR(I554="Mastered",K554=""),"",K554+IF(J554&gt;=5,30,IF(J554=4,14,IF(J554=3,7,IF(J554=2,3,1)))))</x:f>
      </x:c>
      <x:c r="M554" s="171" t="str"/>
      <x:c r="N554" s="171" t="str"/>
      <x:c r="O554" s="171" t="str">
        <x:v>Draft — verify in context</x:v>
      </x:c>
      <x:c r="P554" s="167" t="str">
        <x:v>https://www.oxfordlearnersdictionaries.com/wordlists/oxford3000-5000</x:v>
      </x:c>
    </x:row>
    <x:row r="555" ht="26" customHeight="1">
      <x:c r="A555" s="167" t="n">
        <x:v>554</x:v>
      </x:c>
      <x:c r="B555" s="167" t="str">
        <x:v>grief</x:v>
      </x:c>
      <x:c r="C555" s="167" t="str">
        <x:v>n.</x:v>
      </x:c>
      <x:c r="D555" s="170" t="str">
        <x:v>горе</x:v>
      </x:c>
      <x:c r="E555" s="167" t="str">
        <x:v>No</x:v>
      </x:c>
      <x:c r="F555" s="167"/>
      <x:c r="G555" s="167" t="str">
        <x:v>Core</x:v>
      </x:c>
      <x:c r="H555" s="167" t="str">
        <x:v>General</x:v>
      </x:c>
      <x:c r="I555" s="167" t="str">
        <x:v>Not Started</x:v>
      </x:c>
      <x:c r="J555" s="167" t="n">
        <x:v>0</x:v>
      </x:c>
      <x:c r="K555" s="168"/>
      <x:c r="L555" s="168" t="str">
        <x:f>IF(OR(I555="Mastered",K555=""),"",K555+IF(J555&gt;=5,30,IF(J555=4,14,IF(J555=3,7,IF(J555=2,3,1)))))</x:f>
      </x:c>
      <x:c r="M555" s="171" t="str"/>
      <x:c r="N555" s="171" t="str"/>
      <x:c r="O555" s="171" t="str">
        <x:v>Draft — verify in context</x:v>
      </x:c>
      <x:c r="P555" s="167" t="str">
        <x:v>https://www.oxfordlearnersdictionaries.com/wordlists/oxford3000-5000</x:v>
      </x:c>
    </x:row>
    <x:row r="556" ht="26" customHeight="1">
      <x:c r="A556" s="167" t="n">
        <x:v>555</x:v>
      </x:c>
      <x:c r="B556" s="167" t="str">
        <x:v>grin</x:v>
      </x:c>
      <x:c r="C556" s="167" t="str">
        <x:v>v., n.</x:v>
      </x:c>
      <x:c r="D556" s="170" t="str">
        <x:v>посміхатися</x:v>
      </x:c>
      <x:c r="E556" s="167" t="str">
        <x:v>No</x:v>
      </x:c>
      <x:c r="F556" s="167"/>
      <x:c r="G556" s="167" t="str">
        <x:v>Core</x:v>
      </x:c>
      <x:c r="H556" s="167" t="str">
        <x:v>General</x:v>
      </x:c>
      <x:c r="I556" s="167" t="str">
        <x:v>Not Started</x:v>
      </x:c>
      <x:c r="J556" s="167" t="n">
        <x:v>0</x:v>
      </x:c>
      <x:c r="K556" s="168"/>
      <x:c r="L556" s="168" t="str">
        <x:f>IF(OR(I556="Mastered",K556=""),"",K556+IF(J556&gt;=5,30,IF(J556=4,14,IF(J556=3,7,IF(J556=2,3,1)))))</x:f>
      </x:c>
      <x:c r="M556" s="171" t="str"/>
      <x:c r="N556" s="171" t="str"/>
      <x:c r="O556" s="171" t="str">
        <x:v>Draft — verify in context</x:v>
      </x:c>
      <x:c r="P556" s="167" t="str">
        <x:v>https://www.oxfordlearnersdictionaries.com/wordlists/oxford3000-5000</x:v>
      </x:c>
    </x:row>
    <x:row r="557" ht="26" customHeight="1">
      <x:c r="A557" s="167" t="n">
        <x:v>556</x:v>
      </x:c>
      <x:c r="B557" s="167" t="str">
        <x:v>grind</x:v>
      </x:c>
      <x:c r="C557" s="167" t="str">
        <x:v>v.</x:v>
      </x:c>
      <x:c r="D557" s="170" t="str">
        <x:v>молоти</x:v>
      </x:c>
      <x:c r="E557" s="167" t="str">
        <x:v>No</x:v>
      </x:c>
      <x:c r="F557" s="167"/>
      <x:c r="G557" s="167" t="str">
        <x:v>Core</x:v>
      </x:c>
      <x:c r="H557" s="167" t="str">
        <x:v>General</x:v>
      </x:c>
      <x:c r="I557" s="167" t="str">
        <x:v>Not Started</x:v>
      </x:c>
      <x:c r="J557" s="167" t="n">
        <x:v>0</x:v>
      </x:c>
      <x:c r="K557" s="168"/>
      <x:c r="L557" s="168" t="str">
        <x:f>IF(OR(I557="Mastered",K557=""),"",K557+IF(J557&gt;=5,30,IF(J557=4,14,IF(J557=3,7,IF(J557=2,3,1)))))</x:f>
      </x:c>
      <x:c r="M557" s="171" t="str"/>
      <x:c r="N557" s="171" t="str"/>
      <x:c r="O557" s="171" t="str">
        <x:v>Draft — verify in context</x:v>
      </x:c>
      <x:c r="P557" s="167" t="str">
        <x:v>https://www.oxfordlearnersdictionaries.com/wordlists/oxford3000-5000</x:v>
      </x:c>
    </x:row>
    <x:row r="558" ht="26" customHeight="1">
      <x:c r="A558" s="167" t="n">
        <x:v>557</x:v>
      </x:c>
      <x:c r="B558" s="167" t="str">
        <x:v>grip</x:v>
      </x:c>
      <x:c r="C558" s="167" t="str">
        <x:v>n., v.</x:v>
      </x:c>
      <x:c r="D558" s="170" t="str">
        <x:v>зчеплення</x:v>
      </x:c>
      <x:c r="E558" s="167" t="str">
        <x:v>No</x:v>
      </x:c>
      <x:c r="F558" s="167"/>
      <x:c r="G558" s="167" t="str">
        <x:v>Core</x:v>
      </x:c>
      <x:c r="H558" s="167" t="str">
        <x:v>General</x:v>
      </x:c>
      <x:c r="I558" s="167" t="str">
        <x:v>Not Started</x:v>
      </x:c>
      <x:c r="J558" s="167" t="n">
        <x:v>0</x:v>
      </x:c>
      <x:c r="K558" s="168"/>
      <x:c r="L558" s="168" t="str">
        <x:f>IF(OR(I558="Mastered",K558=""),"",K558+IF(J558&gt;=5,30,IF(J558=4,14,IF(J558=3,7,IF(J558=2,3,1)))))</x:f>
      </x:c>
      <x:c r="M558" s="171" t="str"/>
      <x:c r="N558" s="171" t="str"/>
      <x:c r="O558" s="171" t="str">
        <x:v>Draft — verify in context</x:v>
      </x:c>
      <x:c r="P558" s="167" t="str">
        <x:v>https://www.oxfordlearnersdictionaries.com/wordlists/oxford3000-5000</x:v>
      </x:c>
    </x:row>
    <x:row r="559" ht="26" customHeight="1">
      <x:c r="A559" s="167" t="n">
        <x:v>558</x:v>
      </x:c>
      <x:c r="B559" s="167" t="str">
        <x:v>gross</x:v>
      </x:c>
      <x:c r="C559" s="167" t="str">
        <x:v>adj.</x:v>
      </x:c>
      <x:c r="D559" s="170" t="str">
        <x:v>грубий</x:v>
      </x:c>
      <x:c r="E559" s="167" t="str">
        <x:v>No</x:v>
      </x:c>
      <x:c r="F559" s="167"/>
      <x:c r="G559" s="167" t="str">
        <x:v>Core</x:v>
      </x:c>
      <x:c r="H559" s="167" t="str">
        <x:v>General</x:v>
      </x:c>
      <x:c r="I559" s="167" t="str">
        <x:v>Not Started</x:v>
      </x:c>
      <x:c r="J559" s="167" t="n">
        <x:v>0</x:v>
      </x:c>
      <x:c r="K559" s="168"/>
      <x:c r="L559" s="168" t="str">
        <x:f>IF(OR(I559="Mastered",K559=""),"",K559+IF(J559&gt;=5,30,IF(J559=4,14,IF(J559=3,7,IF(J559=2,3,1)))))</x:f>
      </x:c>
      <x:c r="M559" s="171" t="str"/>
      <x:c r="N559" s="171" t="str"/>
      <x:c r="O559" s="171" t="str">
        <x:v>Draft — verify in context</x:v>
      </x:c>
      <x:c r="P559" s="167" t="str">
        <x:v>https://www.oxfordlearnersdictionaries.com/wordlists/oxford3000-5000</x:v>
      </x:c>
    </x:row>
    <x:row r="560" ht="26" customHeight="1">
      <x:c r="A560" s="167" t="n">
        <x:v>559</x:v>
      </x:c>
      <x:c r="B560" s="167" t="str">
        <x:v>guerrilla</x:v>
      </x:c>
      <x:c r="C560" s="167" t="str">
        <x:v>n.</x:v>
      </x:c>
      <x:c r="D560" s="170" t="str">
        <x:v>партизан</x:v>
      </x:c>
      <x:c r="E560" s="167" t="str">
        <x:v>No</x:v>
      </x:c>
      <x:c r="F560" s="167"/>
      <x:c r="G560" s="167" t="str">
        <x:v>Core</x:v>
      </x:c>
      <x:c r="H560" s="167" t="str">
        <x:v>General</x:v>
      </x:c>
      <x:c r="I560" s="167" t="str">
        <x:v>Not Started</x:v>
      </x:c>
      <x:c r="J560" s="167" t="n">
        <x:v>0</x:v>
      </x:c>
      <x:c r="K560" s="168"/>
      <x:c r="L560" s="168" t="str">
        <x:f>IF(OR(I560="Mastered",K560=""),"",K560+IF(J560&gt;=5,30,IF(J560=4,14,IF(J560=3,7,IF(J560=2,3,1)))))</x:f>
      </x:c>
      <x:c r="M560" s="171" t="str"/>
      <x:c r="N560" s="171" t="str"/>
      <x:c r="O560" s="171" t="str">
        <x:v>Draft — verify in context</x:v>
      </x:c>
      <x:c r="P560" s="167" t="str">
        <x:v>https://www.oxfordlearnersdictionaries.com/wordlists/oxford3000-5000</x:v>
      </x:c>
    </x:row>
    <x:row r="561" ht="26" customHeight="1">
      <x:c r="A561" s="167" t="n">
        <x:v>560</x:v>
      </x:c>
      <x:c r="B561" s="167" t="str">
        <x:v>guidance</x:v>
      </x:c>
      <x:c r="C561" s="167" t="str">
        <x:v>n.</x:v>
      </x:c>
      <x:c r="D561" s="170" t="str">
        <x:v>керівництво</x:v>
      </x:c>
      <x:c r="E561" s="167" t="str">
        <x:v>No</x:v>
      </x:c>
      <x:c r="F561" s="167"/>
      <x:c r="G561" s="167" t="str">
        <x:v>Core</x:v>
      </x:c>
      <x:c r="H561" s="167" t="str">
        <x:v>General</x:v>
      </x:c>
      <x:c r="I561" s="167" t="str">
        <x:v>Not Started</x:v>
      </x:c>
      <x:c r="J561" s="167" t="n">
        <x:v>0</x:v>
      </x:c>
      <x:c r="K561" s="168"/>
      <x:c r="L561" s="168" t="str">
        <x:f>IF(OR(I561="Mastered",K561=""),"",K561+IF(J561&gt;=5,30,IF(J561=4,14,IF(J561=3,7,IF(J561=2,3,1)))))</x:f>
      </x:c>
      <x:c r="M561" s="171" t="str"/>
      <x:c r="N561" s="171" t="str"/>
      <x:c r="O561" s="171" t="str">
        <x:v>Draft — verify in context</x:v>
      </x:c>
      <x:c r="P561" s="167" t="str">
        <x:v>https://www.oxfordlearnersdictionaries.com/wordlists/oxford3000-5000</x:v>
      </x:c>
    </x:row>
    <x:row r="562" ht="26" customHeight="1">
      <x:c r="A562" s="167" t="n">
        <x:v>561</x:v>
      </x:c>
      <x:c r="B562" s="167" t="str">
        <x:v>guilt</x:v>
      </x:c>
      <x:c r="C562" s="167" t="str">
        <x:v>n.</x:v>
      </x:c>
      <x:c r="D562" s="170" t="str">
        <x:v>вина</x:v>
      </x:c>
      <x:c r="E562" s="167" t="str">
        <x:v>No</x:v>
      </x:c>
      <x:c r="F562" s="167"/>
      <x:c r="G562" s="167" t="str">
        <x:v>Core</x:v>
      </x:c>
      <x:c r="H562" s="167" t="str">
        <x:v>General</x:v>
      </x:c>
      <x:c r="I562" s="167" t="str">
        <x:v>Not Started</x:v>
      </x:c>
      <x:c r="J562" s="167" t="n">
        <x:v>0</x:v>
      </x:c>
      <x:c r="K562" s="168"/>
      <x:c r="L562" s="168" t="str">
        <x:f>IF(OR(I562="Mastered",K562=""),"",K562+IF(J562&gt;=5,30,IF(J562=4,14,IF(J562=3,7,IF(J562=2,3,1)))))</x:f>
      </x:c>
      <x:c r="M562" s="171" t="str"/>
      <x:c r="N562" s="171" t="str"/>
      <x:c r="O562" s="171" t="str">
        <x:v>Draft — verify in context</x:v>
      </x:c>
      <x:c r="P562" s="167" t="str">
        <x:v>https://www.oxfordlearnersdictionaries.com/wordlists/oxford3000-5000</x:v>
      </x:c>
    </x:row>
    <x:row r="563" ht="26" customHeight="1">
      <x:c r="A563" s="167" t="n">
        <x:v>562</x:v>
      </x:c>
      <x:c r="B563" s="167" t="str">
        <x:v>gut</x:v>
      </x:c>
      <x:c r="C563" s="167" t="str">
        <x:v>n.</x:v>
      </x:c>
      <x:c r="D563" s="170" t="str">
        <x:v>кишка</x:v>
      </x:c>
      <x:c r="E563" s="167" t="str">
        <x:v>No</x:v>
      </x:c>
      <x:c r="F563" s="167"/>
      <x:c r="G563" s="167" t="str">
        <x:v>Core</x:v>
      </x:c>
      <x:c r="H563" s="167" t="str">
        <x:v>General</x:v>
      </x:c>
      <x:c r="I563" s="167" t="str">
        <x:v>Not Started</x:v>
      </x:c>
      <x:c r="J563" s="167" t="n">
        <x:v>0</x:v>
      </x:c>
      <x:c r="K563" s="168"/>
      <x:c r="L563" s="168" t="str">
        <x:f>IF(OR(I563="Mastered",K563=""),"",K563+IF(J563&gt;=5,30,IF(J563=4,14,IF(J563=3,7,IF(J563=2,3,1)))))</x:f>
      </x:c>
      <x:c r="M563" s="171" t="str"/>
      <x:c r="N563" s="171" t="str"/>
      <x:c r="O563" s="171" t="str">
        <x:v>Draft — verify in context</x:v>
      </x:c>
      <x:c r="P563" s="167" t="str">
        <x:v>https://www.oxfordlearnersdictionaries.com/wordlists/oxford3000-5000</x:v>
      </x:c>
    </x:row>
    <x:row r="564" ht="26" customHeight="1">
      <x:c r="A564" s="167" t="n">
        <x:v>563</x:v>
      </x:c>
      <x:c r="B564" s="167" t="str">
        <x:v>hail</x:v>
      </x:c>
      <x:c r="C564" s="167" t="str">
        <x:v>v.</x:v>
      </x:c>
      <x:c r="D564" s="170" t="str">
        <x:v>град</x:v>
      </x:c>
      <x:c r="E564" s="167" t="str">
        <x:v>No</x:v>
      </x:c>
      <x:c r="F564" s="167"/>
      <x:c r="G564" s="167" t="str">
        <x:v>Core</x:v>
      </x:c>
      <x:c r="H564" s="167" t="str">
        <x:v>General</x:v>
      </x:c>
      <x:c r="I564" s="167" t="str">
        <x:v>Not Started</x:v>
      </x:c>
      <x:c r="J564" s="167" t="n">
        <x:v>0</x:v>
      </x:c>
      <x:c r="K564" s="168"/>
      <x:c r="L564" s="168" t="str">
        <x:f>IF(OR(I564="Mastered",K564=""),"",K564+IF(J564&gt;=5,30,IF(J564=4,14,IF(J564=3,7,IF(J564=2,3,1)))))</x:f>
      </x:c>
      <x:c r="M564" s="171" t="str"/>
      <x:c r="N564" s="171" t="str"/>
      <x:c r="O564" s="171" t="str">
        <x:v>Draft — verify in context</x:v>
      </x:c>
      <x:c r="P564" s="167" t="str">
        <x:v>https://www.oxfordlearnersdictionaries.com/wordlists/oxford3000-5000</x:v>
      </x:c>
    </x:row>
    <x:row r="565" ht="26" customHeight="1">
      <x:c r="A565" s="167" t="n">
        <x:v>564</x:v>
      </x:c>
      <x:c r="B565" s="167" t="str">
        <x:v>halfway</x:v>
      </x:c>
      <x:c r="C565" s="167" t="str">
        <x:v>adv.</x:v>
      </x:c>
      <x:c r="D565" s="170" t="str">
        <x:v>на півдорозі</x:v>
      </x:c>
      <x:c r="E565" s="167" t="str">
        <x:v>No</x:v>
      </x:c>
      <x:c r="F565" s="167"/>
      <x:c r="G565" s="167" t="str">
        <x:v>Core</x:v>
      </x:c>
      <x:c r="H565" s="167" t="str">
        <x:v>General</x:v>
      </x:c>
      <x:c r="I565" s="167" t="str">
        <x:v>Not Started</x:v>
      </x:c>
      <x:c r="J565" s="167" t="n">
        <x:v>0</x:v>
      </x:c>
      <x:c r="K565" s="168"/>
      <x:c r="L565" s="168" t="str">
        <x:f>IF(OR(I565="Mastered",K565=""),"",K565+IF(J565&gt;=5,30,IF(J565=4,14,IF(J565=3,7,IF(J565=2,3,1)))))</x:f>
      </x:c>
      <x:c r="M565" s="171" t="str"/>
      <x:c r="N565" s="171" t="str"/>
      <x:c r="O565" s="171" t="str">
        <x:v>Draft — verify in context</x:v>
      </x:c>
      <x:c r="P565" s="167" t="str">
        <x:v>https://www.oxfordlearnersdictionaries.com/wordlists/oxford3000-5000</x:v>
      </x:c>
    </x:row>
    <x:row r="566" ht="26" customHeight="1">
      <x:c r="A566" s="167" t="n">
        <x:v>565</x:v>
      </x:c>
      <x:c r="B566" s="167" t="str">
        <x:v>halt</x:v>
      </x:c>
      <x:c r="C566" s="167" t="str">
        <x:v>v., n.</x:v>
      </x:c>
      <x:c r="D566" s="170" t="str">
        <x:v>зупинка</x:v>
      </x:c>
      <x:c r="E566" s="167" t="str">
        <x:v>No</x:v>
      </x:c>
      <x:c r="F566" s="167"/>
      <x:c r="G566" s="167" t="str">
        <x:v>Core</x:v>
      </x:c>
      <x:c r="H566" s="167" t="str">
        <x:v>General</x:v>
      </x:c>
      <x:c r="I566" s="167" t="str">
        <x:v>Not Started</x:v>
      </x:c>
      <x:c r="J566" s="167" t="n">
        <x:v>0</x:v>
      </x:c>
      <x:c r="K566" s="168"/>
      <x:c r="L566" s="168" t="str">
        <x:f>IF(OR(I566="Mastered",K566=""),"",K566+IF(J566&gt;=5,30,IF(J566=4,14,IF(J566=3,7,IF(J566=2,3,1)))))</x:f>
      </x:c>
      <x:c r="M566" s="171" t="str"/>
      <x:c r="N566" s="171" t="str"/>
      <x:c r="O566" s="171" t="str">
        <x:v>Draft — verify in context</x:v>
      </x:c>
      <x:c r="P566" s="167" t="str">
        <x:v>https://www.oxfordlearnersdictionaries.com/wordlists/oxford3000-5000</x:v>
      </x:c>
    </x:row>
    <x:row r="567" ht="26" customHeight="1">
      <x:c r="A567" s="167" t="n">
        <x:v>566</x:v>
      </x:c>
      <x:c r="B567" s="167" t="str">
        <x:v>handful</x:v>
      </x:c>
      <x:c r="C567" s="167" t="str">
        <x:v>n.</x:v>
      </x:c>
      <x:c r="D567" s="170" t="str">
        <x:v>жменя</x:v>
      </x:c>
      <x:c r="E567" s="167" t="str">
        <x:v>No</x:v>
      </x:c>
      <x:c r="F567" s="167"/>
      <x:c r="G567" s="167" t="str">
        <x:v>Core</x:v>
      </x:c>
      <x:c r="H567" s="167" t="str">
        <x:v>General</x:v>
      </x:c>
      <x:c r="I567" s="167" t="str">
        <x:v>Not Started</x:v>
      </x:c>
      <x:c r="J567" s="167" t="n">
        <x:v>0</x:v>
      </x:c>
      <x:c r="K567" s="168"/>
      <x:c r="L567" s="168" t="str">
        <x:f>IF(OR(I567="Mastered",K567=""),"",K567+IF(J567&gt;=5,30,IF(J567=4,14,IF(J567=3,7,IF(J567=2,3,1)))))</x:f>
      </x:c>
      <x:c r="M567" s="171" t="str"/>
      <x:c r="N567" s="171" t="str"/>
      <x:c r="O567" s="171" t="str">
        <x:v>Draft — verify in context</x:v>
      </x:c>
      <x:c r="P567" s="167" t="str">
        <x:v>https://www.oxfordlearnersdictionaries.com/wordlists/oxford3000-5000</x:v>
      </x:c>
    </x:row>
    <x:row r="568" ht="26" customHeight="1">
      <x:c r="A568" s="167" t="n">
        <x:v>567</x:v>
      </x:c>
      <x:c r="B568" s="167" t="str">
        <x:v>handling</x:v>
      </x:c>
      <x:c r="C568" s="167" t="str">
        <x:v>n.</x:v>
      </x:c>
      <x:c r="D568" s="170" t="str">
        <x:v>поводження</x:v>
      </x:c>
      <x:c r="E568" s="167" t="str">
        <x:v>No</x:v>
      </x:c>
      <x:c r="F568" s="167"/>
      <x:c r="G568" s="167" t="str">
        <x:v>Core</x:v>
      </x:c>
      <x:c r="H568" s="167" t="str">
        <x:v>General</x:v>
      </x:c>
      <x:c r="I568" s="167" t="str">
        <x:v>Not Started</x:v>
      </x:c>
      <x:c r="J568" s="167" t="n">
        <x:v>0</x:v>
      </x:c>
      <x:c r="K568" s="168"/>
      <x:c r="L568" s="168" t="str">
        <x:f>IF(OR(I568="Mastered",K568=""),"",K568+IF(J568&gt;=5,30,IF(J568=4,14,IF(J568=3,7,IF(J568=2,3,1)))))</x:f>
      </x:c>
      <x:c r="M568" s="171" t="str"/>
      <x:c r="N568" s="171" t="str"/>
      <x:c r="O568" s="171" t="str">
        <x:v>Draft — verify in context</x:v>
      </x:c>
      <x:c r="P568" s="167" t="str">
        <x:v>https://www.oxfordlearnersdictionaries.com/wordlists/oxford3000-5000</x:v>
      </x:c>
    </x:row>
    <x:row r="569" ht="26" customHeight="1">
      <x:c r="A569" s="167" t="n">
        <x:v>568</x:v>
      </x:c>
      <x:c r="B569" s="167" t="str">
        <x:v>handy</x:v>
      </x:c>
      <x:c r="C569" s="167" t="str">
        <x:v>adj.</x:v>
      </x:c>
      <x:c r="D569" s="170" t="str">
        <x:v>зручний</x:v>
      </x:c>
      <x:c r="E569" s="167" t="str">
        <x:v>No</x:v>
      </x:c>
      <x:c r="F569" s="167"/>
      <x:c r="G569" s="167" t="str">
        <x:v>Core</x:v>
      </x:c>
      <x:c r="H569" s="167" t="str">
        <x:v>General</x:v>
      </x:c>
      <x:c r="I569" s="167" t="str">
        <x:v>Not Started</x:v>
      </x:c>
      <x:c r="J569" s="167" t="n">
        <x:v>0</x:v>
      </x:c>
      <x:c r="K569" s="168"/>
      <x:c r="L569" s="168" t="str">
        <x:f>IF(OR(I569="Mastered",K569=""),"",K569+IF(J569&gt;=5,30,IF(J569=4,14,IF(J569=3,7,IF(J569=2,3,1)))))</x:f>
      </x:c>
      <x:c r="M569" s="171" t="str"/>
      <x:c r="N569" s="171" t="str"/>
      <x:c r="O569" s="171" t="str">
        <x:v>Draft — verify in context</x:v>
      </x:c>
      <x:c r="P569" s="167" t="str">
        <x:v>https://www.oxfordlearnersdictionaries.com/wordlists/oxford3000-5000</x:v>
      </x:c>
    </x:row>
    <x:row r="570" ht="26" customHeight="1">
      <x:c r="A570" s="167" t="n">
        <x:v>569</x:v>
      </x:c>
      <x:c r="B570" s="167" t="str">
        <x:v>harassment</x:v>
      </x:c>
      <x:c r="C570" s="167" t="str">
        <x:v>n.</x:v>
      </x:c>
      <x:c r="D570" s="170" t="str">
        <x:v>переслідування</x:v>
      </x:c>
      <x:c r="E570" s="167" t="str">
        <x:v>No</x:v>
      </x:c>
      <x:c r="F570" s="167"/>
      <x:c r="G570" s="167" t="str">
        <x:v>Core</x:v>
      </x:c>
      <x:c r="H570" s="167" t="str">
        <x:v>General</x:v>
      </x:c>
      <x:c r="I570" s="167" t="str">
        <x:v>Not Started</x:v>
      </x:c>
      <x:c r="J570" s="167" t="n">
        <x:v>0</x:v>
      </x:c>
      <x:c r="K570" s="168"/>
      <x:c r="L570" s="168" t="str">
        <x:f>IF(OR(I570="Mastered",K570=""),"",K570+IF(J570&gt;=5,30,IF(J570=4,14,IF(J570=3,7,IF(J570=2,3,1)))))</x:f>
      </x:c>
      <x:c r="M570" s="171" t="str"/>
      <x:c r="N570" s="171" t="str"/>
      <x:c r="O570" s="171" t="str">
        <x:v>Draft — verify in context</x:v>
      </x:c>
      <x:c r="P570" s="167" t="str">
        <x:v>https://www.oxfordlearnersdictionaries.com/wordlists/oxford3000-5000</x:v>
      </x:c>
    </x:row>
    <x:row r="571" ht="26" customHeight="1">
      <x:c r="A571" s="167" t="n">
        <x:v>570</x:v>
      </x:c>
      <x:c r="B571" s="167" t="str">
        <x:v>hardware</x:v>
      </x:c>
      <x:c r="C571" s="167" t="str">
        <x:v>n.</x:v>
      </x:c>
      <x:c r="D571" s="170" t="str">
        <x:v>обладнання</x:v>
      </x:c>
      <x:c r="E571" s="167" t="str">
        <x:v>No</x:v>
      </x:c>
      <x:c r="F571" s="167"/>
      <x:c r="G571" s="167" t="str">
        <x:v>High</x:v>
      </x:c>
      <x:c r="H571" s="167" t="str">
        <x:v>Technology</x:v>
      </x:c>
      <x:c r="I571" s="167" t="str">
        <x:v>Not Started</x:v>
      </x:c>
      <x:c r="J571" s="167" t="n">
        <x:v>0</x:v>
      </x:c>
      <x:c r="K571" s="168"/>
      <x:c r="L571" s="168" t="str">
        <x:f>IF(OR(I571="Mastered",K571=""),"",K571+IF(J571&gt;=5,30,IF(J571=4,14,IF(J571=3,7,IF(J571=2,3,1)))))</x:f>
      </x:c>
      <x:c r="M571" s="171" t="str"/>
      <x:c r="N571" s="171" t="str"/>
      <x:c r="O571" s="171" t="str">
        <x:v>Draft — verify in context</x:v>
      </x:c>
      <x:c r="P571" s="167" t="str">
        <x:v>https://www.oxfordlearnersdictionaries.com/wordlists/oxford3000-5000</x:v>
      </x:c>
    </x:row>
    <x:row r="572" ht="26" customHeight="1">
      <x:c r="A572" s="167" t="n">
        <x:v>571</x:v>
      </x:c>
      <x:c r="B572" s="167" t="str">
        <x:v>harmony</x:v>
      </x:c>
      <x:c r="C572" s="167" t="str">
        <x:v>n.</x:v>
      </x:c>
      <x:c r="D572" s="170" t="str">
        <x:v>гармонія</x:v>
      </x:c>
      <x:c r="E572" s="167" t="str">
        <x:v>No</x:v>
      </x:c>
      <x:c r="F572" s="167"/>
      <x:c r="G572" s="167" t="str">
        <x:v>Core</x:v>
      </x:c>
      <x:c r="H572" s="167" t="str">
        <x:v>General</x:v>
      </x:c>
      <x:c r="I572" s="167" t="str">
        <x:v>Not Started</x:v>
      </x:c>
      <x:c r="J572" s="167" t="n">
        <x:v>0</x:v>
      </x:c>
      <x:c r="K572" s="168"/>
      <x:c r="L572" s="168" t="str">
        <x:f>IF(OR(I572="Mastered",K572=""),"",K572+IF(J572&gt;=5,30,IF(J572=4,14,IF(J572=3,7,IF(J572=2,3,1)))))</x:f>
      </x:c>
      <x:c r="M572" s="171" t="str"/>
      <x:c r="N572" s="171" t="str"/>
      <x:c r="O572" s="171" t="str">
        <x:v>Draft — verify in context</x:v>
      </x:c>
      <x:c r="P572" s="167" t="str">
        <x:v>https://www.oxfordlearnersdictionaries.com/wordlists/oxford3000-5000</x:v>
      </x:c>
    </x:row>
    <x:row r="573" ht="26" customHeight="1">
      <x:c r="A573" s="167" t="n">
        <x:v>572</x:v>
      </x:c>
      <x:c r="B573" s="167" t="str">
        <x:v>harsh</x:v>
      </x:c>
      <x:c r="C573" s="167" t="str">
        <x:v>adj.</x:v>
      </x:c>
      <x:c r="D573" s="170" t="str">
        <x:v>суворий</x:v>
      </x:c>
      <x:c r="E573" s="167" t="str">
        <x:v>No</x:v>
      </x:c>
      <x:c r="F573" s="167"/>
      <x:c r="G573" s="167" t="str">
        <x:v>Core</x:v>
      </x:c>
      <x:c r="H573" s="167" t="str">
        <x:v>General</x:v>
      </x:c>
      <x:c r="I573" s="167" t="str">
        <x:v>Not Started</x:v>
      </x:c>
      <x:c r="J573" s="167" t="n">
        <x:v>0</x:v>
      </x:c>
      <x:c r="K573" s="168"/>
      <x:c r="L573" s="168" t="str">
        <x:f>IF(OR(I573="Mastered",K573=""),"",K573+IF(J573&gt;=5,30,IF(J573=4,14,IF(J573=3,7,IF(J573=2,3,1)))))</x:f>
      </x:c>
      <x:c r="M573" s="171" t="str"/>
      <x:c r="N573" s="171" t="str"/>
      <x:c r="O573" s="171" t="str">
        <x:v>Draft — verify in context</x:v>
      </x:c>
      <x:c r="P573" s="167" t="str">
        <x:v>https://www.oxfordlearnersdictionaries.com/wordlists/oxford3000-5000</x:v>
      </x:c>
    </x:row>
    <x:row r="574" ht="26" customHeight="1">
      <x:c r="A574" s="167" t="n">
        <x:v>573</x:v>
      </x:c>
      <x:c r="B574" s="167" t="str">
        <x:v>harvest</x:v>
      </x:c>
      <x:c r="C574" s="167" t="str">
        <x:v>n., v.</x:v>
      </x:c>
      <x:c r="D574" s="170" t="str">
        <x:v>урожай</x:v>
      </x:c>
      <x:c r="E574" s="167" t="str">
        <x:v>No</x:v>
      </x:c>
      <x:c r="F574" s="167"/>
      <x:c r="G574" s="167" t="str">
        <x:v>Core</x:v>
      </x:c>
      <x:c r="H574" s="167" t="str">
        <x:v>General</x:v>
      </x:c>
      <x:c r="I574" s="167" t="str">
        <x:v>Not Started</x:v>
      </x:c>
      <x:c r="J574" s="167" t="n">
        <x:v>0</x:v>
      </x:c>
      <x:c r="K574" s="168"/>
      <x:c r="L574" s="168" t="str">
        <x:f>IF(OR(I574="Mastered",K574=""),"",K574+IF(J574&gt;=5,30,IF(J574=4,14,IF(J574=3,7,IF(J574=2,3,1)))))</x:f>
      </x:c>
      <x:c r="M574" s="171" t="str"/>
      <x:c r="N574" s="171" t="str"/>
      <x:c r="O574" s="171" t="str">
        <x:v>Draft — verify in context</x:v>
      </x:c>
      <x:c r="P574" s="167" t="str">
        <x:v>https://www.oxfordlearnersdictionaries.com/wordlists/oxford3000-5000</x:v>
      </x:c>
    </x:row>
    <x:row r="575" ht="26" customHeight="1">
      <x:c r="A575" s="167" t="n">
        <x:v>574</x:v>
      </x:c>
      <x:c r="B575" s="167" t="str">
        <x:v>hatred</x:v>
      </x:c>
      <x:c r="C575" s="167" t="str">
        <x:v>n.</x:v>
      </x:c>
      <x:c r="D575" s="170" t="str">
        <x:v>ненависть</x:v>
      </x:c>
      <x:c r="E575" s="167" t="str">
        <x:v>No</x:v>
      </x:c>
      <x:c r="F575" s="167"/>
      <x:c r="G575" s="167" t="str">
        <x:v>Core</x:v>
      </x:c>
      <x:c r="H575" s="167" t="str">
        <x:v>General</x:v>
      </x:c>
      <x:c r="I575" s="167" t="str">
        <x:v>Not Started</x:v>
      </x:c>
      <x:c r="J575" s="167" t="n">
        <x:v>0</x:v>
      </x:c>
      <x:c r="K575" s="168"/>
      <x:c r="L575" s="168" t="str">
        <x:f>IF(OR(I575="Mastered",K575=""),"",K575+IF(J575&gt;=5,30,IF(J575=4,14,IF(J575=3,7,IF(J575=2,3,1)))))</x:f>
      </x:c>
      <x:c r="M575" s="171" t="str"/>
      <x:c r="N575" s="171" t="str"/>
      <x:c r="O575" s="171" t="str">
        <x:v>Draft — verify in context</x:v>
      </x:c>
      <x:c r="P575" s="167" t="str">
        <x:v>https://www.oxfordlearnersdictionaries.com/wordlists/oxford3000-5000</x:v>
      </x:c>
    </x:row>
    <x:row r="576" ht="26" customHeight="1">
      <x:c r="A576" s="167" t="n">
        <x:v>575</x:v>
      </x:c>
      <x:c r="B576" s="167" t="str">
        <x:v>haunt</x:v>
      </x:c>
      <x:c r="C576" s="167" t="str">
        <x:v>v.</x:v>
      </x:c>
      <x:c r="D576" s="170" t="str">
        <x:v>переслідувати</x:v>
      </x:c>
      <x:c r="E576" s="167" t="str">
        <x:v>No</x:v>
      </x:c>
      <x:c r="F576" s="167"/>
      <x:c r="G576" s="167" t="str">
        <x:v>Core</x:v>
      </x:c>
      <x:c r="H576" s="167" t="str">
        <x:v>General</x:v>
      </x:c>
      <x:c r="I576" s="167" t="str">
        <x:v>Not Started</x:v>
      </x:c>
      <x:c r="J576" s="167" t="n">
        <x:v>0</x:v>
      </x:c>
      <x:c r="K576" s="168"/>
      <x:c r="L576" s="168" t="str">
        <x:f>IF(OR(I576="Mastered",K576=""),"",K576+IF(J576&gt;=5,30,IF(J576=4,14,IF(J576=3,7,IF(J576=2,3,1)))))</x:f>
      </x:c>
      <x:c r="M576" s="171" t="str"/>
      <x:c r="N576" s="171" t="str"/>
      <x:c r="O576" s="171" t="str">
        <x:v>Draft — verify in context</x:v>
      </x:c>
      <x:c r="P576" s="167" t="str">
        <x:v>https://www.oxfordlearnersdictionaries.com/wordlists/oxford3000-5000</x:v>
      </x:c>
    </x:row>
    <x:row r="577" ht="26" customHeight="1">
      <x:c r="A577" s="167" t="n">
        <x:v>576</x:v>
      </x:c>
      <x:c r="B577" s="167" t="str">
        <x:v>hazard</x:v>
      </x:c>
      <x:c r="C577" s="167" t="str">
        <x:v>n.</x:v>
      </x:c>
      <x:c r="D577" s="170" t="str">
        <x:v>небезпека; ризик</x:v>
      </x:c>
      <x:c r="E577" s="167" t="str">
        <x:v>No</x:v>
      </x:c>
      <x:c r="F577" s="167"/>
      <x:c r="G577" s="167" t="str">
        <x:v>Core</x:v>
      </x:c>
      <x:c r="H577" s="167" t="str">
        <x:v>General</x:v>
      </x:c>
      <x:c r="I577" s="167" t="str">
        <x:v>Not Started</x:v>
      </x:c>
      <x:c r="J577" s="167" t="n">
        <x:v>0</x:v>
      </x:c>
      <x:c r="K577" s="168"/>
      <x:c r="L577" s="168" t="str">
        <x:f>IF(OR(I577="Mastered",K577=""),"",K577+IF(J577&gt;=5,30,IF(J577=4,14,IF(J577=3,7,IF(J577=2,3,1)))))</x:f>
      </x:c>
      <x:c r="M577" s="171" t="str"/>
      <x:c r="N577" s="171" t="str"/>
      <x:c r="O577" s="171" t="str">
        <x:v>Draft — verify in context</x:v>
      </x:c>
      <x:c r="P577" s="167" t="str">
        <x:v>https://www.oxfordlearnersdictionaries.com/wordlists/oxford3000-5000</x:v>
      </x:c>
    </x:row>
    <x:row r="578" ht="26" customHeight="1">
      <x:c r="A578" s="167" t="n">
        <x:v>577</x:v>
      </x:c>
      <x:c r="B578" s="167" t="str">
        <x:v>heighten</x:v>
      </x:c>
      <x:c r="C578" s="167" t="str">
        <x:v>v.</x:v>
      </x:c>
      <x:c r="D578" s="170" t="str">
        <x:v>підвищувати</x:v>
      </x:c>
      <x:c r="E578" s="167" t="str">
        <x:v>No</x:v>
      </x:c>
      <x:c r="F578" s="167"/>
      <x:c r="G578" s="167" t="str">
        <x:v>Core</x:v>
      </x:c>
      <x:c r="H578" s="167" t="str">
        <x:v>General</x:v>
      </x:c>
      <x:c r="I578" s="167" t="str">
        <x:v>Not Started</x:v>
      </x:c>
      <x:c r="J578" s="167" t="n">
        <x:v>0</x:v>
      </x:c>
      <x:c r="K578" s="168"/>
      <x:c r="L578" s="168" t="str">
        <x:f>IF(OR(I578="Mastered",K578=""),"",K578+IF(J578&gt;=5,30,IF(J578=4,14,IF(J578=3,7,IF(J578=2,3,1)))))</x:f>
      </x:c>
      <x:c r="M578" s="171" t="str"/>
      <x:c r="N578" s="171" t="str"/>
      <x:c r="O578" s="171" t="str">
        <x:v>Draft — verify in context</x:v>
      </x:c>
      <x:c r="P578" s="167" t="str">
        <x:v>https://www.oxfordlearnersdictionaries.com/wordlists/oxford3000-5000</x:v>
      </x:c>
    </x:row>
    <x:row r="579" ht="26" customHeight="1">
      <x:c r="A579" s="167" t="n">
        <x:v>578</x:v>
      </x:c>
      <x:c r="B579" s="167" t="str">
        <x:v>heritage</x:v>
      </x:c>
      <x:c r="C579" s="167" t="str">
        <x:v>n.</x:v>
      </x:c>
      <x:c r="D579" s="170" t="str">
        <x:v>спадщина</x:v>
      </x:c>
      <x:c r="E579" s="167" t="str">
        <x:v>No</x:v>
      </x:c>
      <x:c r="F579" s="167"/>
      <x:c r="G579" s="167" t="str">
        <x:v>High</x:v>
      </x:c>
      <x:c r="H579" s="167" t="str">
        <x:v>Society &amp; culture</x:v>
      </x:c>
      <x:c r="I579" s="167" t="str">
        <x:v>Not Started</x:v>
      </x:c>
      <x:c r="J579" s="167" t="n">
        <x:v>0</x:v>
      </x:c>
      <x:c r="K579" s="168"/>
      <x:c r="L579" s="168" t="str">
        <x:f>IF(OR(I579="Mastered",K579=""),"",K579+IF(J579&gt;=5,30,IF(J579=4,14,IF(J579=3,7,IF(J579=2,3,1)))))</x:f>
      </x:c>
      <x:c r="M579" s="171" t="str"/>
      <x:c r="N579" s="171" t="str"/>
      <x:c r="O579" s="171" t="str">
        <x:v>Draft — verify in context</x:v>
      </x:c>
      <x:c r="P579" s="167" t="str">
        <x:v>https://www.oxfordlearnersdictionaries.com/wordlists/oxford3000-5000</x:v>
      </x:c>
    </x:row>
    <x:row r="580" ht="26" customHeight="1">
      <x:c r="A580" s="167" t="n">
        <x:v>579</x:v>
      </x:c>
      <x:c r="B580" s="167" t="str">
        <x:v>hierarchy</x:v>
      </x:c>
      <x:c r="C580" s="167" t="str">
        <x:v>n.</x:v>
      </x:c>
      <x:c r="D580" s="170" t="str">
        <x:v>ієрархія</x:v>
      </x:c>
      <x:c r="E580" s="167" t="str">
        <x:v>No</x:v>
      </x:c>
      <x:c r="F580" s="167"/>
      <x:c r="G580" s="167" t="str">
        <x:v>Core</x:v>
      </x:c>
      <x:c r="H580" s="167" t="str">
        <x:v>General</x:v>
      </x:c>
      <x:c r="I580" s="167" t="str">
        <x:v>Not Started</x:v>
      </x:c>
      <x:c r="J580" s="167" t="n">
        <x:v>0</x:v>
      </x:c>
      <x:c r="K580" s="168"/>
      <x:c r="L580" s="168" t="str">
        <x:f>IF(OR(I580="Mastered",K580=""),"",K580+IF(J580&gt;=5,30,IF(J580=4,14,IF(J580=3,7,IF(J580=2,3,1)))))</x:f>
      </x:c>
      <x:c r="M580" s="171" t="str"/>
      <x:c r="N580" s="171" t="str"/>
      <x:c r="O580" s="171" t="str">
        <x:v>Draft — verify in context</x:v>
      </x:c>
      <x:c r="P580" s="167" t="str">
        <x:v>https://www.oxfordlearnersdictionaries.com/wordlists/oxford3000-5000</x:v>
      </x:c>
    </x:row>
    <x:row r="581" ht="26" customHeight="1">
      <x:c r="A581" s="167" t="n">
        <x:v>580</x:v>
      </x:c>
      <x:c r="B581" s="167" t="str">
        <x:v>high-profile</x:v>
      </x:c>
      <x:c r="C581" s="167" t="str">
        <x:v>adj.</x:v>
      </x:c>
      <x:c r="D581" s="170" t="str">
        <x:v>гучний</x:v>
      </x:c>
      <x:c r="E581" s="167" t="str">
        <x:v>No</x:v>
      </x:c>
      <x:c r="F581" s="167"/>
      <x:c r="G581" s="167" t="str">
        <x:v>Core</x:v>
      </x:c>
      <x:c r="H581" s="167" t="str">
        <x:v>General</x:v>
      </x:c>
      <x:c r="I581" s="167" t="str">
        <x:v>Not Started</x:v>
      </x:c>
      <x:c r="J581" s="167" t="n">
        <x:v>0</x:v>
      </x:c>
      <x:c r="K581" s="168"/>
      <x:c r="L581" s="168" t="str">
        <x:f>IF(OR(I581="Mastered",K581=""),"",K581+IF(J581&gt;=5,30,IF(J581=4,14,IF(J581=3,7,IF(J581=2,3,1)))))</x:f>
      </x:c>
      <x:c r="M581" s="171" t="str"/>
      <x:c r="N581" s="171" t="str"/>
      <x:c r="O581" s="171" t="str">
        <x:v>Draft — verify in context</x:v>
      </x:c>
      <x:c r="P581" s="167" t="str">
        <x:v>https://www.oxfordlearnersdictionaries.com/wordlists/oxford3000-5000</x:v>
      </x:c>
    </x:row>
    <x:row r="582" ht="26" customHeight="1">
      <x:c r="A582" s="167" t="n">
        <x:v>581</x:v>
      </x:c>
      <x:c r="B582" s="167" t="str">
        <x:v>hint</x:v>
      </x:c>
      <x:c r="C582" s="167" t="str">
        <x:v>n., v.</x:v>
      </x:c>
      <x:c r="D582" s="170" t="str">
        <x:v>підказка</x:v>
      </x:c>
      <x:c r="E582" s="167" t="str">
        <x:v>No</x:v>
      </x:c>
      <x:c r="F582" s="167"/>
      <x:c r="G582" s="167" t="str">
        <x:v>Core</x:v>
      </x:c>
      <x:c r="H582" s="167" t="str">
        <x:v>General</x:v>
      </x:c>
      <x:c r="I582" s="167" t="str">
        <x:v>Not Started</x:v>
      </x:c>
      <x:c r="J582" s="167" t="n">
        <x:v>0</x:v>
      </x:c>
      <x:c r="K582" s="168"/>
      <x:c r="L582" s="168" t="str">
        <x:f>IF(OR(I582="Mastered",K582=""),"",K582+IF(J582&gt;=5,30,IF(J582=4,14,IF(J582=3,7,IF(J582=2,3,1)))))</x:f>
      </x:c>
      <x:c r="M582" s="171" t="str"/>
      <x:c r="N582" s="171" t="str"/>
      <x:c r="O582" s="171" t="str">
        <x:v>Draft — verify in context</x:v>
      </x:c>
      <x:c r="P582" s="167" t="str">
        <x:v>https://www.oxfordlearnersdictionaries.com/wordlists/oxford3000-5000</x:v>
      </x:c>
    </x:row>
    <x:row r="583" ht="26" customHeight="1">
      <x:c r="A583" s="167" t="n">
        <x:v>582</x:v>
      </x:c>
      <x:c r="B583" s="167" t="str">
        <x:v>homeland</x:v>
      </x:c>
      <x:c r="C583" s="167" t="str">
        <x:v>n.</x:v>
      </x:c>
      <x:c r="D583" s="170" t="str">
        <x:v>батьківщина</x:v>
      </x:c>
      <x:c r="E583" s="167" t="str">
        <x:v>No</x:v>
      </x:c>
      <x:c r="F583" s="167"/>
      <x:c r="G583" s="167" t="str">
        <x:v>Core</x:v>
      </x:c>
      <x:c r="H583" s="167" t="str">
        <x:v>General</x:v>
      </x:c>
      <x:c r="I583" s="167" t="str">
        <x:v>Not Started</x:v>
      </x:c>
      <x:c r="J583" s="167" t="n">
        <x:v>0</x:v>
      </x:c>
      <x:c r="K583" s="168"/>
      <x:c r="L583" s="168" t="str">
        <x:f>IF(OR(I583="Mastered",K583=""),"",K583+IF(J583&gt;=5,30,IF(J583=4,14,IF(J583=3,7,IF(J583=2,3,1)))))</x:f>
      </x:c>
      <x:c r="M583" s="171" t="str"/>
      <x:c r="N583" s="171" t="str"/>
      <x:c r="O583" s="171" t="str">
        <x:v>Draft — verify in context</x:v>
      </x:c>
      <x:c r="P583" s="167" t="str">
        <x:v>https://www.oxfordlearnersdictionaries.com/wordlists/oxford3000-5000</x:v>
      </x:c>
    </x:row>
    <x:row r="584" ht="26" customHeight="1">
      <x:c r="A584" s="167" t="n">
        <x:v>583</x:v>
      </x:c>
      <x:c r="B584" s="167" t="str">
        <x:v>hook</x:v>
      </x:c>
      <x:c r="C584" s="167" t="str">
        <x:v>v.</x:v>
      </x:c>
      <x:c r="D584" s="170" t="str">
        <x:v>гачок</x:v>
      </x:c>
      <x:c r="E584" s="167" t="str">
        <x:v>No</x:v>
      </x:c>
      <x:c r="F584" s="167"/>
      <x:c r="G584" s="167" t="str">
        <x:v>Core</x:v>
      </x:c>
      <x:c r="H584" s="167" t="str">
        <x:v>General</x:v>
      </x:c>
      <x:c r="I584" s="167" t="str">
        <x:v>Not Started</x:v>
      </x:c>
      <x:c r="J584" s="167" t="n">
        <x:v>0</x:v>
      </x:c>
      <x:c r="K584" s="168"/>
      <x:c r="L584" s="168" t="str">
        <x:f>IF(OR(I584="Mastered",K584=""),"",K584+IF(J584&gt;=5,30,IF(J584=4,14,IF(J584=3,7,IF(J584=2,3,1)))))</x:f>
      </x:c>
      <x:c r="M584" s="171" t="str"/>
      <x:c r="N584" s="171" t="str"/>
      <x:c r="O584" s="171" t="str">
        <x:v>Draft — verify in context</x:v>
      </x:c>
      <x:c r="P584" s="167" t="str">
        <x:v>https://www.oxfordlearnersdictionaries.com/wordlists/oxford3000-5000</x:v>
      </x:c>
    </x:row>
    <x:row r="585" ht="26" customHeight="1">
      <x:c r="A585" s="167" t="n">
        <x:v>584</x:v>
      </x:c>
      <x:c r="B585" s="167" t="str">
        <x:v>hopeful</x:v>
      </x:c>
      <x:c r="C585" s="167" t="str">
        <x:v>adj.</x:v>
      </x:c>
      <x:c r="D585" s="170" t="str">
        <x:v>обнадійливий</x:v>
      </x:c>
      <x:c r="E585" s="167" t="str">
        <x:v>No</x:v>
      </x:c>
      <x:c r="F585" s="167"/>
      <x:c r="G585" s="167" t="str">
        <x:v>Core</x:v>
      </x:c>
      <x:c r="H585" s="167" t="str">
        <x:v>General</x:v>
      </x:c>
      <x:c r="I585" s="167" t="str">
        <x:v>Not Started</x:v>
      </x:c>
      <x:c r="J585" s="167" t="n">
        <x:v>0</x:v>
      </x:c>
      <x:c r="K585" s="168"/>
      <x:c r="L585" s="168" t="str">
        <x:f>IF(OR(I585="Mastered",K585=""),"",K585+IF(J585&gt;=5,30,IF(J585=4,14,IF(J585=3,7,IF(J585=2,3,1)))))</x:f>
      </x:c>
      <x:c r="M585" s="171" t="str"/>
      <x:c r="N585" s="171" t="str"/>
      <x:c r="O585" s="171" t="str">
        <x:v>Draft — verify in context</x:v>
      </x:c>
      <x:c r="P585" s="167" t="str">
        <x:v>https://www.oxfordlearnersdictionaries.com/wordlists/oxford3000-5000</x:v>
      </x:c>
    </x:row>
    <x:row r="586" ht="26" customHeight="1">
      <x:c r="A586" s="167" t="n">
        <x:v>585</x:v>
      </x:c>
      <x:c r="B586" s="167" t="str">
        <x:v>horizon</x:v>
      </x:c>
      <x:c r="C586" s="167" t="str">
        <x:v>n.</x:v>
      </x:c>
      <x:c r="D586" s="170" t="str">
        <x:v>горизонт</x:v>
      </x:c>
      <x:c r="E586" s="167" t="str">
        <x:v>No</x:v>
      </x:c>
      <x:c r="F586" s="167"/>
      <x:c r="G586" s="167" t="str">
        <x:v>Core</x:v>
      </x:c>
      <x:c r="H586" s="167" t="str">
        <x:v>General</x:v>
      </x:c>
      <x:c r="I586" s="167" t="str">
        <x:v>Not Started</x:v>
      </x:c>
      <x:c r="J586" s="167" t="n">
        <x:v>0</x:v>
      </x:c>
      <x:c r="K586" s="168"/>
      <x:c r="L586" s="168" t="str">
        <x:f>IF(OR(I586="Mastered",K586=""),"",K586+IF(J586&gt;=5,30,IF(J586=4,14,IF(J586=3,7,IF(J586=2,3,1)))))</x:f>
      </x:c>
      <x:c r="M586" s="171" t="str"/>
      <x:c r="N586" s="171" t="str"/>
      <x:c r="O586" s="171" t="str">
        <x:v>Draft — verify in context</x:v>
      </x:c>
      <x:c r="P586" s="167" t="str">
        <x:v>https://www.oxfordlearnersdictionaries.com/wordlists/oxford3000-5000</x:v>
      </x:c>
    </x:row>
    <x:row r="587" ht="26" customHeight="1">
      <x:c r="A587" s="167" t="n">
        <x:v>586</x:v>
      </x:c>
      <x:c r="B587" s="167" t="str">
        <x:v>horn</x:v>
      </x:c>
      <x:c r="C587" s="167" t="str">
        <x:v>n.</x:v>
      </x:c>
      <x:c r="D587" s="170" t="str">
        <x:v>ріг</x:v>
      </x:c>
      <x:c r="E587" s="167" t="str">
        <x:v>No</x:v>
      </x:c>
      <x:c r="F587" s="167"/>
      <x:c r="G587" s="167" t="str">
        <x:v>Core</x:v>
      </x:c>
      <x:c r="H587" s="167" t="str">
        <x:v>General</x:v>
      </x:c>
      <x:c r="I587" s="167" t="str">
        <x:v>Not Started</x:v>
      </x:c>
      <x:c r="J587" s="167" t="n">
        <x:v>0</x:v>
      </x:c>
      <x:c r="K587" s="168"/>
      <x:c r="L587" s="168" t="str">
        <x:f>IF(OR(I587="Mastered",K587=""),"",K587+IF(J587&gt;=5,30,IF(J587=4,14,IF(J587=3,7,IF(J587=2,3,1)))))</x:f>
      </x:c>
      <x:c r="M587" s="171" t="str"/>
      <x:c r="N587" s="171" t="str"/>
      <x:c r="O587" s="171" t="str">
        <x:v>Draft — verify in context</x:v>
      </x:c>
      <x:c r="P587" s="167" t="str">
        <x:v>https://www.oxfordlearnersdictionaries.com/wordlists/oxford3000-5000</x:v>
      </x:c>
    </x:row>
    <x:row r="588" ht="26" customHeight="1">
      <x:c r="A588" s="167" t="n">
        <x:v>587</x:v>
      </x:c>
      <x:c r="B588" s="167" t="str">
        <x:v>hostage</x:v>
      </x:c>
      <x:c r="C588" s="167" t="str">
        <x:v>n.</x:v>
      </x:c>
      <x:c r="D588" s="170" t="str">
        <x:v>заручник</x:v>
      </x:c>
      <x:c r="E588" s="167" t="str">
        <x:v>No</x:v>
      </x:c>
      <x:c r="F588" s="167"/>
      <x:c r="G588" s="167" t="str">
        <x:v>Core</x:v>
      </x:c>
      <x:c r="H588" s="167" t="str">
        <x:v>General</x:v>
      </x:c>
      <x:c r="I588" s="167" t="str">
        <x:v>Not Started</x:v>
      </x:c>
      <x:c r="J588" s="167" t="n">
        <x:v>0</x:v>
      </x:c>
      <x:c r="K588" s="168"/>
      <x:c r="L588" s="168" t="str">
        <x:f>IF(OR(I588="Mastered",K588=""),"",K588+IF(J588&gt;=5,30,IF(J588=4,14,IF(J588=3,7,IF(J588=2,3,1)))))</x:f>
      </x:c>
      <x:c r="M588" s="171" t="str"/>
      <x:c r="N588" s="171" t="str"/>
      <x:c r="O588" s="171" t="str">
        <x:v>Draft — verify in context</x:v>
      </x:c>
      <x:c r="P588" s="167" t="str">
        <x:v>https://www.oxfordlearnersdictionaries.com/wordlists/oxford3000-5000</x:v>
      </x:c>
    </x:row>
    <x:row r="589" ht="26" customHeight="1">
      <x:c r="A589" s="167" t="n">
        <x:v>588</x:v>
      </x:c>
      <x:c r="B589" s="167" t="str">
        <x:v>hostile</x:v>
      </x:c>
      <x:c r="C589" s="167" t="str">
        <x:v>adj.</x:v>
      </x:c>
      <x:c r="D589" s="170" t="str">
        <x:v>ворожий</x:v>
      </x:c>
      <x:c r="E589" s="167" t="str">
        <x:v>No</x:v>
      </x:c>
      <x:c r="F589" s="167"/>
      <x:c r="G589" s="167" t="str">
        <x:v>Core</x:v>
      </x:c>
      <x:c r="H589" s="167" t="str">
        <x:v>General</x:v>
      </x:c>
      <x:c r="I589" s="167" t="str">
        <x:v>Not Started</x:v>
      </x:c>
      <x:c r="J589" s="167" t="n">
        <x:v>0</x:v>
      </x:c>
      <x:c r="K589" s="168"/>
      <x:c r="L589" s="168" t="str">
        <x:f>IF(OR(I589="Mastered",K589=""),"",K589+IF(J589&gt;=5,30,IF(J589=4,14,IF(J589=3,7,IF(J589=2,3,1)))))</x:f>
      </x:c>
      <x:c r="M589" s="171" t="str"/>
      <x:c r="N589" s="171" t="str"/>
      <x:c r="O589" s="171" t="str">
        <x:v>Draft — verify in context</x:v>
      </x:c>
      <x:c r="P589" s="167" t="str">
        <x:v>https://www.oxfordlearnersdictionaries.com/wordlists/oxford3000-5000</x:v>
      </x:c>
    </x:row>
    <x:row r="590" ht="26" customHeight="1">
      <x:c r="A590" s="167" t="n">
        <x:v>589</x:v>
      </x:c>
      <x:c r="B590" s="167" t="str">
        <x:v>hostility</x:v>
      </x:c>
      <x:c r="C590" s="167" t="str">
        <x:v>n.</x:v>
      </x:c>
      <x:c r="D590" s="170" t="str">
        <x:v>ворожість</x:v>
      </x:c>
      <x:c r="E590" s="167" t="str">
        <x:v>No</x:v>
      </x:c>
      <x:c r="F590" s="167"/>
      <x:c r="G590" s="167" t="str">
        <x:v>Core</x:v>
      </x:c>
      <x:c r="H590" s="167" t="str">
        <x:v>General</x:v>
      </x:c>
      <x:c r="I590" s="167" t="str">
        <x:v>Not Started</x:v>
      </x:c>
      <x:c r="J590" s="167" t="n">
        <x:v>0</x:v>
      </x:c>
      <x:c r="K590" s="168"/>
      <x:c r="L590" s="168" t="str">
        <x:f>IF(OR(I590="Mastered",K590=""),"",K590+IF(J590&gt;=5,30,IF(J590=4,14,IF(J590=3,7,IF(J590=2,3,1)))))</x:f>
      </x:c>
      <x:c r="M590" s="171" t="str"/>
      <x:c r="N590" s="171" t="str"/>
      <x:c r="O590" s="171" t="str">
        <x:v>Draft — verify in context</x:v>
      </x:c>
      <x:c r="P590" s="167" t="str">
        <x:v>https://www.oxfordlearnersdictionaries.com/wordlists/oxford3000-5000</x:v>
      </x:c>
    </x:row>
    <x:row r="591" ht="26" customHeight="1">
      <x:c r="A591" s="167" t="n">
        <x:v>590</x:v>
      </x:c>
      <x:c r="B591" s="167" t="str">
        <x:v>humanitarian</x:v>
      </x:c>
      <x:c r="C591" s="167" t="str">
        <x:v>adj.</x:v>
      </x:c>
      <x:c r="D591" s="170" t="str">
        <x:v>гуманітарний</x:v>
      </x:c>
      <x:c r="E591" s="167" t="str">
        <x:v>No</x:v>
      </x:c>
      <x:c r="F591" s="167"/>
      <x:c r="G591" s="167" t="str">
        <x:v>High</x:v>
      </x:c>
      <x:c r="H591" s="167" t="str">
        <x:v>Society &amp; culture</x:v>
      </x:c>
      <x:c r="I591" s="167" t="str">
        <x:v>Not Started</x:v>
      </x:c>
      <x:c r="J591" s="167" t="n">
        <x:v>0</x:v>
      </x:c>
      <x:c r="K591" s="168"/>
      <x:c r="L591" s="168" t="str">
        <x:f>IF(OR(I591="Mastered",K591=""),"",K591+IF(J591&gt;=5,30,IF(J591=4,14,IF(J591=3,7,IF(J591=2,3,1)))))</x:f>
      </x:c>
      <x:c r="M591" s="171" t="str"/>
      <x:c r="N591" s="171" t="str"/>
      <x:c r="O591" s="171" t="str">
        <x:v>Draft — verify in context</x:v>
      </x:c>
      <x:c r="P591" s="167" t="str">
        <x:v>https://www.oxfordlearnersdictionaries.com/wordlists/oxford3000-5000</x:v>
      </x:c>
    </x:row>
    <x:row r="592" ht="26" customHeight="1">
      <x:c r="A592" s="167" t="n">
        <x:v>591</x:v>
      </x:c>
      <x:c r="B592" s="167" t="str">
        <x:v>humanity</x:v>
      </x:c>
      <x:c r="C592" s="167" t="str">
        <x:v>n.</x:v>
      </x:c>
      <x:c r="D592" s="170" t="str">
        <x:v>людство</x:v>
      </x:c>
      <x:c r="E592" s="167" t="str">
        <x:v>No</x:v>
      </x:c>
      <x:c r="F592" s="167"/>
      <x:c r="G592" s="167" t="str">
        <x:v>Core</x:v>
      </x:c>
      <x:c r="H592" s="167" t="str">
        <x:v>General</x:v>
      </x:c>
      <x:c r="I592" s="167" t="str">
        <x:v>Not Started</x:v>
      </x:c>
      <x:c r="J592" s="167" t="n">
        <x:v>0</x:v>
      </x:c>
      <x:c r="K592" s="168"/>
      <x:c r="L592" s="168" t="str">
        <x:f>IF(OR(I592="Mastered",K592=""),"",K592+IF(J592&gt;=5,30,IF(J592=4,14,IF(J592=3,7,IF(J592=2,3,1)))))</x:f>
      </x:c>
      <x:c r="M592" s="171" t="str"/>
      <x:c r="N592" s="171" t="str"/>
      <x:c r="O592" s="171" t="str">
        <x:v>Draft — verify in context</x:v>
      </x:c>
      <x:c r="P592" s="167" t="str">
        <x:v>https://www.oxfordlearnersdictionaries.com/wordlists/oxford3000-5000</x:v>
      </x:c>
    </x:row>
    <x:row r="593" ht="26" customHeight="1">
      <x:c r="A593" s="167" t="n">
        <x:v>592</x:v>
      </x:c>
      <x:c r="B593" s="167" t="str">
        <x:v>humble</x:v>
      </x:c>
      <x:c r="C593" s="167" t="str">
        <x:v>adj.</x:v>
      </x:c>
      <x:c r="D593" s="170" t="str">
        <x:v>скромний</x:v>
      </x:c>
      <x:c r="E593" s="167" t="str">
        <x:v>No</x:v>
      </x:c>
      <x:c r="F593" s="167"/>
      <x:c r="G593" s="167" t="str">
        <x:v>Core</x:v>
      </x:c>
      <x:c r="H593" s="167" t="str">
        <x:v>General</x:v>
      </x:c>
      <x:c r="I593" s="167" t="str">
        <x:v>Not Started</x:v>
      </x:c>
      <x:c r="J593" s="167" t="n">
        <x:v>0</x:v>
      </x:c>
      <x:c r="K593" s="168"/>
      <x:c r="L593" s="168" t="str">
        <x:f>IF(OR(I593="Mastered",K593=""),"",K593+IF(J593&gt;=5,30,IF(J593=4,14,IF(J593=3,7,IF(J593=2,3,1)))))</x:f>
      </x:c>
      <x:c r="M593" s="171" t="str"/>
      <x:c r="N593" s="171" t="str"/>
      <x:c r="O593" s="171" t="str">
        <x:v>Draft — verify in context</x:v>
      </x:c>
      <x:c r="P593" s="167" t="str">
        <x:v>https://www.oxfordlearnersdictionaries.com/wordlists/oxford3000-5000</x:v>
      </x:c>
    </x:row>
    <x:row r="594" ht="26" customHeight="1">
      <x:c r="A594" s="167" t="n">
        <x:v>593</x:v>
      </x:c>
      <x:c r="B594" s="167" t="str">
        <x:v>hydrogen</x:v>
      </x:c>
      <x:c r="C594" s="167" t="str">
        <x:v>n.</x:v>
      </x:c>
      <x:c r="D594" s="170" t="str">
        <x:v>водень</x:v>
      </x:c>
      <x:c r="E594" s="167" t="str">
        <x:v>No</x:v>
      </x:c>
      <x:c r="F594" s="167"/>
      <x:c r="G594" s="167" t="str">
        <x:v>Core</x:v>
      </x:c>
      <x:c r="H594" s="167" t="str">
        <x:v>General</x:v>
      </x:c>
      <x:c r="I594" s="167" t="str">
        <x:v>Not Started</x:v>
      </x:c>
      <x:c r="J594" s="167" t="n">
        <x:v>0</x:v>
      </x:c>
      <x:c r="K594" s="168"/>
      <x:c r="L594" s="168" t="str">
        <x:f>IF(OR(I594="Mastered",K594=""),"",K594+IF(J594&gt;=5,30,IF(J594=4,14,IF(J594=3,7,IF(J594=2,3,1)))))</x:f>
      </x:c>
      <x:c r="M594" s="171" t="str"/>
      <x:c r="N594" s="171" t="str"/>
      <x:c r="O594" s="171" t="str">
        <x:v>Draft — verify in context</x:v>
      </x:c>
      <x:c r="P594" s="167" t="str">
        <x:v>https://www.oxfordlearnersdictionaries.com/wordlists/oxford3000-5000</x:v>
      </x:c>
    </x:row>
    <x:row r="595" ht="26" customHeight="1">
      <x:c r="A595" s="167" t="n">
        <x:v>594</x:v>
      </x:c>
      <x:c r="B595" s="167" t="str">
        <x:v>identification</x:v>
      </x:c>
      <x:c r="C595" s="167" t="str">
        <x:v>n.</x:v>
      </x:c>
      <x:c r="D595" s="170" t="str">
        <x:v>ідентифікація</x:v>
      </x:c>
      <x:c r="E595" s="167" t="str">
        <x:v>No</x:v>
      </x:c>
      <x:c r="F595" s="167"/>
      <x:c r="G595" s="167" t="str">
        <x:v>Core</x:v>
      </x:c>
      <x:c r="H595" s="167" t="str">
        <x:v>General</x:v>
      </x:c>
      <x:c r="I595" s="167" t="str">
        <x:v>Not Started</x:v>
      </x:c>
      <x:c r="J595" s="167" t="n">
        <x:v>0</x:v>
      </x:c>
      <x:c r="K595" s="168"/>
      <x:c r="L595" s="168" t="str">
        <x:f>IF(OR(I595="Mastered",K595=""),"",K595+IF(J595&gt;=5,30,IF(J595=4,14,IF(J595=3,7,IF(J595=2,3,1)))))</x:f>
      </x:c>
      <x:c r="M595" s="171" t="str"/>
      <x:c r="N595" s="171" t="str"/>
      <x:c r="O595" s="171" t="str">
        <x:v>Draft — verify in context</x:v>
      </x:c>
      <x:c r="P595" s="167" t="str">
        <x:v>https://www.oxfordlearnersdictionaries.com/wordlists/oxford3000-5000</x:v>
      </x:c>
    </x:row>
    <x:row r="596" ht="26" customHeight="1">
      <x:c r="A596" s="167" t="n">
        <x:v>595</x:v>
      </x:c>
      <x:c r="B596" s="167" t="str">
        <x:v>ideological</x:v>
      </x:c>
      <x:c r="C596" s="167" t="str">
        <x:v>adj.</x:v>
      </x:c>
      <x:c r="D596" s="170" t="str">
        <x:v>ідеологічний</x:v>
      </x:c>
      <x:c r="E596" s="167" t="str">
        <x:v>No</x:v>
      </x:c>
      <x:c r="F596" s="167"/>
      <x:c r="G596" s="167" t="str">
        <x:v>Core</x:v>
      </x:c>
      <x:c r="H596" s="167" t="str">
        <x:v>General</x:v>
      </x:c>
      <x:c r="I596" s="167" t="str">
        <x:v>Not Started</x:v>
      </x:c>
      <x:c r="J596" s="167" t="n">
        <x:v>0</x:v>
      </x:c>
      <x:c r="K596" s="168"/>
      <x:c r="L596" s="168" t="str">
        <x:f>IF(OR(I596="Mastered",K596=""),"",K596+IF(J596&gt;=5,30,IF(J596=4,14,IF(J596=3,7,IF(J596=2,3,1)))))</x:f>
      </x:c>
      <x:c r="M596" s="171" t="str"/>
      <x:c r="N596" s="171" t="str"/>
      <x:c r="O596" s="171" t="str">
        <x:v>Draft — verify in context</x:v>
      </x:c>
      <x:c r="P596" s="167" t="str">
        <x:v>https://www.oxfordlearnersdictionaries.com/wordlists/oxford3000-5000</x:v>
      </x:c>
    </x:row>
    <x:row r="597" ht="26" customHeight="1">
      <x:c r="A597" s="167" t="n">
        <x:v>596</x:v>
      </x:c>
      <x:c r="B597" s="167" t="str">
        <x:v>ideology</x:v>
      </x:c>
      <x:c r="C597" s="167" t="str">
        <x:v>n.</x:v>
      </x:c>
      <x:c r="D597" s="170" t="str">
        <x:v>ідеологія</x:v>
      </x:c>
      <x:c r="E597" s="167" t="str">
        <x:v>Yes</x:v>
      </x:c>
      <x:c r="F597" s="167" t="n">
        <x:v>7</x:v>
      </x:c>
      <x:c r="G597" s="167" t="str">
        <x:v>High</x:v>
      </x:c>
      <x:c r="H597" s="167" t="str">
        <x:v>Society &amp; culture</x:v>
      </x:c>
      <x:c r="I597" s="167" t="str">
        <x:v>Not Started</x:v>
      </x:c>
      <x:c r="J597" s="167" t="n">
        <x:v>0</x:v>
      </x:c>
      <x:c r="K597" s="168"/>
      <x:c r="L597" s="168" t="str">
        <x:f>IF(OR(I597="Mastered",K597=""),"",K597+IF(J597&gt;=5,30,IF(J597=4,14,IF(J597=3,7,IF(J597=2,3,1)))))</x:f>
      </x:c>
      <x:c r="M597" s="171" t="str"/>
      <x:c r="N597" s="171" t="str"/>
      <x:c r="O597" s="171" t="str">
        <x:v>Draft — verify in context</x:v>
      </x:c>
      <x:c r="P597" s="167" t="str">
        <x:v>https://www.oxfordlearnersdictionaries.com/wordlists/oxford3000-5000</x:v>
      </x:c>
    </x:row>
    <x:row r="598" ht="26" customHeight="1">
      <x:c r="A598" s="167" t="n">
        <x:v>597</x:v>
      </x:c>
      <x:c r="B598" s="167" t="str">
        <x:v>idiot</x:v>
      </x:c>
      <x:c r="C598" s="167" t="str">
        <x:v>n.</x:v>
      </x:c>
      <x:c r="D598" s="170" t="str">
        <x:v>ідіот</x:v>
      </x:c>
      <x:c r="E598" s="167" t="str">
        <x:v>No</x:v>
      </x:c>
      <x:c r="F598" s="167"/>
      <x:c r="G598" s="167" t="str">
        <x:v>Core</x:v>
      </x:c>
      <x:c r="H598" s="167" t="str">
        <x:v>General</x:v>
      </x:c>
      <x:c r="I598" s="167" t="str">
        <x:v>Not Started</x:v>
      </x:c>
      <x:c r="J598" s="167" t="n">
        <x:v>0</x:v>
      </x:c>
      <x:c r="K598" s="168"/>
      <x:c r="L598" s="168" t="str">
        <x:f>IF(OR(I598="Mastered",K598=""),"",K598+IF(J598&gt;=5,30,IF(J598=4,14,IF(J598=3,7,IF(J598=2,3,1)))))</x:f>
      </x:c>
      <x:c r="M598" s="171" t="str"/>
      <x:c r="N598" s="171" t="str"/>
      <x:c r="O598" s="171" t="str">
        <x:v>Draft — verify in context</x:v>
      </x:c>
      <x:c r="P598" s="167" t="str">
        <x:v>https://www.oxfordlearnersdictionaries.com/wordlists/oxford3000-5000</x:v>
      </x:c>
    </x:row>
    <x:row r="599" ht="26" customHeight="1">
      <x:c r="A599" s="167" t="n">
        <x:v>598</x:v>
      </x:c>
      <x:c r="B599" s="167" t="str">
        <x:v>ignorance</x:v>
      </x:c>
      <x:c r="C599" s="167" t="str">
        <x:v>n.</x:v>
      </x:c>
      <x:c r="D599" s="170" t="str">
        <x:v>незнання</x:v>
      </x:c>
      <x:c r="E599" s="167" t="str">
        <x:v>No</x:v>
      </x:c>
      <x:c r="F599" s="167"/>
      <x:c r="G599" s="167" t="str">
        <x:v>Core</x:v>
      </x:c>
      <x:c r="H599" s="167" t="str">
        <x:v>General</x:v>
      </x:c>
      <x:c r="I599" s="167" t="str">
        <x:v>Not Started</x:v>
      </x:c>
      <x:c r="J599" s="167" t="n">
        <x:v>0</x:v>
      </x:c>
      <x:c r="K599" s="168"/>
      <x:c r="L599" s="168" t="str">
        <x:f>IF(OR(I599="Mastered",K599=""),"",K599+IF(J599&gt;=5,30,IF(J599=4,14,IF(J599=3,7,IF(J599=2,3,1)))))</x:f>
      </x:c>
      <x:c r="M599" s="171" t="str"/>
      <x:c r="N599" s="171" t="str"/>
      <x:c r="O599" s="171" t="str">
        <x:v>Draft — verify in context</x:v>
      </x:c>
      <x:c r="P599" s="167" t="str">
        <x:v>https://www.oxfordlearnersdictionaries.com/wordlists/oxford3000-5000</x:v>
      </x:c>
    </x:row>
    <x:row r="600" ht="26" customHeight="1">
      <x:c r="A600" s="167" t="n">
        <x:v>599</x:v>
      </x:c>
      <x:c r="B600" s="167" t="str">
        <x:v>imagery</x:v>
      </x:c>
      <x:c r="C600" s="167" t="str">
        <x:v>n.</x:v>
      </x:c>
      <x:c r="D600" s="170" t="str">
        <x:v>зображення</x:v>
      </x:c>
      <x:c r="E600" s="167" t="str">
        <x:v>No</x:v>
      </x:c>
      <x:c r="F600" s="167"/>
      <x:c r="G600" s="167" t="str">
        <x:v>Core</x:v>
      </x:c>
      <x:c r="H600" s="167" t="str">
        <x:v>General</x:v>
      </x:c>
      <x:c r="I600" s="167" t="str">
        <x:v>Not Started</x:v>
      </x:c>
      <x:c r="J600" s="167" t="n">
        <x:v>0</x:v>
      </x:c>
      <x:c r="K600" s="168"/>
      <x:c r="L600" s="168" t="str">
        <x:f>IF(OR(I600="Mastered",K600=""),"",K600+IF(J600&gt;=5,30,IF(J600=4,14,IF(J600=3,7,IF(J600=2,3,1)))))</x:f>
      </x:c>
      <x:c r="M600" s="171" t="str"/>
      <x:c r="N600" s="171" t="str"/>
      <x:c r="O600" s="171" t="str">
        <x:v>Draft — verify in context</x:v>
      </x:c>
      <x:c r="P600" s="167" t="str">
        <x:v>https://www.oxfordlearnersdictionaries.com/wordlists/oxford3000-5000</x:v>
      </x:c>
    </x:row>
    <x:row r="601" ht="26" customHeight="1">
      <x:c r="A601" s="167" t="n">
        <x:v>600</x:v>
      </x:c>
      <x:c r="B601" s="167" t="str">
        <x:v>immense</x:v>
      </x:c>
      <x:c r="C601" s="167" t="str">
        <x:v>adj.</x:v>
      </x:c>
      <x:c r="D601" s="170" t="str">
        <x:v>величезний</x:v>
      </x:c>
      <x:c r="E601" s="167" t="str">
        <x:v>No</x:v>
      </x:c>
      <x:c r="F601" s="167"/>
      <x:c r="G601" s="167" t="str">
        <x:v>Core</x:v>
      </x:c>
      <x:c r="H601" s="167" t="str">
        <x:v>General</x:v>
      </x:c>
      <x:c r="I601" s="167" t="str">
        <x:v>Not Started</x:v>
      </x:c>
      <x:c r="J601" s="167" t="n">
        <x:v>0</x:v>
      </x:c>
      <x:c r="K601" s="168"/>
      <x:c r="L601" s="168" t="str">
        <x:f>IF(OR(I601="Mastered",K601=""),"",K601+IF(J601&gt;=5,30,IF(J601=4,14,IF(J601=3,7,IF(J601=2,3,1)))))</x:f>
      </x:c>
      <x:c r="M601" s="171" t="str"/>
      <x:c r="N601" s="171" t="str"/>
      <x:c r="O601" s="171" t="str">
        <x:v>Draft — verify in context</x:v>
      </x:c>
      <x:c r="P601" s="167" t="str">
        <x:v>https://www.oxfordlearnersdictionaries.com/wordlists/oxford3000-5000</x:v>
      </x:c>
    </x:row>
    <x:row r="602" ht="26" customHeight="1">
      <x:c r="A602" s="167" t="n">
        <x:v>601</x:v>
      </x:c>
      <x:c r="B602" s="167" t="str">
        <x:v>imminent</x:v>
      </x:c>
      <x:c r="C602" s="167" t="str">
        <x:v>adj.</x:v>
      </x:c>
      <x:c r="D602" s="170" t="str">
        <x:v>неминучий</x:v>
      </x:c>
      <x:c r="E602" s="167" t="str">
        <x:v>No</x:v>
      </x:c>
      <x:c r="F602" s="167"/>
      <x:c r="G602" s="167" t="str">
        <x:v>Core</x:v>
      </x:c>
      <x:c r="H602" s="167" t="str">
        <x:v>General</x:v>
      </x:c>
      <x:c r="I602" s="167" t="str">
        <x:v>Not Started</x:v>
      </x:c>
      <x:c r="J602" s="167" t="n">
        <x:v>0</x:v>
      </x:c>
      <x:c r="K602" s="168"/>
      <x:c r="L602" s="168" t="str">
        <x:f>IF(OR(I602="Mastered",K602=""),"",K602+IF(J602&gt;=5,30,IF(J602=4,14,IF(J602=3,7,IF(J602=2,3,1)))))</x:f>
      </x:c>
      <x:c r="M602" s="171" t="str"/>
      <x:c r="N602" s="171" t="str"/>
      <x:c r="O602" s="171" t="str">
        <x:v>Draft — verify in context</x:v>
      </x:c>
      <x:c r="P602" s="167" t="str">
        <x:v>https://www.oxfordlearnersdictionaries.com/wordlists/oxford3000-5000</x:v>
      </x:c>
    </x:row>
    <x:row r="603" ht="26" customHeight="1">
      <x:c r="A603" s="167" t="n">
        <x:v>602</x:v>
      </x:c>
      <x:c r="B603" s="167" t="str">
        <x:v>implementation</x:v>
      </x:c>
      <x:c r="C603" s="167" t="str">
        <x:v>n.</x:v>
      </x:c>
      <x:c r="D603" s="170" t="str">
        <x:v>впровадження</x:v>
      </x:c>
      <x:c r="E603" s="167" t="str">
        <x:v>Yes</x:v>
      </x:c>
      <x:c r="F603" s="167" t="n">
        <x:v>4</x:v>
      </x:c>
      <x:c r="G603" s="167" t="str">
        <x:v>High</x:v>
      </x:c>
      <x:c r="H603" s="167" t="str">
        <x:v>General</x:v>
      </x:c>
      <x:c r="I603" s="167" t="str">
        <x:v>Not Started</x:v>
      </x:c>
      <x:c r="J603" s="167" t="n">
        <x:v>0</x:v>
      </x:c>
      <x:c r="K603" s="168"/>
      <x:c r="L603" s="168" t="str">
        <x:f>IF(OR(I603="Mastered",K603=""),"",K603+IF(J603&gt;=5,30,IF(J603=4,14,IF(J603=3,7,IF(J603=2,3,1)))))</x:f>
      </x:c>
      <x:c r="M603" s="171" t="str"/>
      <x:c r="N603" s="171" t="str"/>
      <x:c r="O603" s="171" t="str">
        <x:v>Draft — verify in context</x:v>
      </x:c>
      <x:c r="P603" s="167" t="str">
        <x:v>https://www.oxfordlearnersdictionaries.com/wordlists/oxford3000-5000</x:v>
      </x:c>
    </x:row>
    <x:row r="604" ht="26" customHeight="1">
      <x:c r="A604" s="167" t="n">
        <x:v>603</x:v>
      </x:c>
      <x:c r="B604" s="167" t="str">
        <x:v>imprison</x:v>
      </x:c>
      <x:c r="C604" s="167" t="str">
        <x:v>v.</x:v>
      </x:c>
      <x:c r="D604" s="170" t="str">
        <x:v>ув'язнити</x:v>
      </x:c>
      <x:c r="E604" s="167" t="str">
        <x:v>No</x:v>
      </x:c>
      <x:c r="F604" s="167"/>
      <x:c r="G604" s="167" t="str">
        <x:v>Core</x:v>
      </x:c>
      <x:c r="H604" s="167" t="str">
        <x:v>General</x:v>
      </x:c>
      <x:c r="I604" s="167" t="str">
        <x:v>Not Started</x:v>
      </x:c>
      <x:c r="J604" s="167" t="n">
        <x:v>0</x:v>
      </x:c>
      <x:c r="K604" s="168"/>
      <x:c r="L604" s="168" t="str">
        <x:f>IF(OR(I604="Mastered",K604=""),"",K604+IF(J604&gt;=5,30,IF(J604=4,14,IF(J604=3,7,IF(J604=2,3,1)))))</x:f>
      </x:c>
      <x:c r="M604" s="171" t="str"/>
      <x:c r="N604" s="171" t="str"/>
      <x:c r="O604" s="171" t="str">
        <x:v>Draft — verify in context</x:v>
      </x:c>
      <x:c r="P604" s="167" t="str">
        <x:v>https://www.oxfordlearnersdictionaries.com/wordlists/oxford3000-5000</x:v>
      </x:c>
    </x:row>
    <x:row r="605" ht="26" customHeight="1">
      <x:c r="A605" s="167" t="n">
        <x:v>604</x:v>
      </x:c>
      <x:c r="B605" s="167" t="str">
        <x:v>imprisonment</x:v>
      </x:c>
      <x:c r="C605" s="167" t="str">
        <x:v>n.</x:v>
      </x:c>
      <x:c r="D605" s="170" t="str">
        <x:v>ув'язнення</x:v>
      </x:c>
      <x:c r="E605" s="167" t="str">
        <x:v>No</x:v>
      </x:c>
      <x:c r="F605" s="167"/>
      <x:c r="G605" s="167" t="str">
        <x:v>Core</x:v>
      </x:c>
      <x:c r="H605" s="167" t="str">
        <x:v>General</x:v>
      </x:c>
      <x:c r="I605" s="167" t="str">
        <x:v>Not Started</x:v>
      </x:c>
      <x:c r="J605" s="167" t="n">
        <x:v>0</x:v>
      </x:c>
      <x:c r="K605" s="168"/>
      <x:c r="L605" s="168" t="str">
        <x:f>IF(OR(I605="Mastered",K605=""),"",K605+IF(J605&gt;=5,30,IF(J605=4,14,IF(J605=3,7,IF(J605=2,3,1)))))</x:f>
      </x:c>
      <x:c r="M605" s="171" t="str"/>
      <x:c r="N605" s="171" t="str"/>
      <x:c r="O605" s="171" t="str">
        <x:v>Draft — verify in context</x:v>
      </x:c>
      <x:c r="P605" s="167" t="str">
        <x:v>https://www.oxfordlearnersdictionaries.com/wordlists/oxford3000-5000</x:v>
      </x:c>
    </x:row>
    <x:row r="606" ht="26" customHeight="1">
      <x:c r="A606" s="167" t="n">
        <x:v>605</x:v>
      </x:c>
      <x:c r="B606" s="167" t="str">
        <x:v>inability</x:v>
      </x:c>
      <x:c r="C606" s="167" t="str">
        <x:v>n.</x:v>
      </x:c>
      <x:c r="D606" s="170" t="str">
        <x:v>неспроможність</x:v>
      </x:c>
      <x:c r="E606" s="167" t="str">
        <x:v>No</x:v>
      </x:c>
      <x:c r="F606" s="167"/>
      <x:c r="G606" s="167" t="str">
        <x:v>Core</x:v>
      </x:c>
      <x:c r="H606" s="167" t="str">
        <x:v>General</x:v>
      </x:c>
      <x:c r="I606" s="167" t="str">
        <x:v>Not Started</x:v>
      </x:c>
      <x:c r="J606" s="167" t="n">
        <x:v>0</x:v>
      </x:c>
      <x:c r="K606" s="168"/>
      <x:c r="L606" s="168" t="str">
        <x:f>IF(OR(I606="Mastered",K606=""),"",K606+IF(J606&gt;=5,30,IF(J606=4,14,IF(J606=3,7,IF(J606=2,3,1)))))</x:f>
      </x:c>
      <x:c r="M606" s="171" t="str"/>
      <x:c r="N606" s="171" t="str"/>
      <x:c r="O606" s="171" t="str">
        <x:v>Draft — verify in context</x:v>
      </x:c>
      <x:c r="P606" s="167" t="str">
        <x:v>https://www.oxfordlearnersdictionaries.com/wordlists/oxford3000-5000</x:v>
      </x:c>
    </x:row>
    <x:row r="607" ht="26" customHeight="1">
      <x:c r="A607" s="167" t="n">
        <x:v>606</x:v>
      </x:c>
      <x:c r="B607" s="167" t="str">
        <x:v>inadequate</x:v>
      </x:c>
      <x:c r="C607" s="167" t="str">
        <x:v>adj.</x:v>
      </x:c>
      <x:c r="D607" s="170" t="str">
        <x:v>неадекватний</x:v>
      </x:c>
      <x:c r="E607" s="167" t="str">
        <x:v>No</x:v>
      </x:c>
      <x:c r="F607" s="167"/>
      <x:c r="G607" s="167" t="str">
        <x:v>Core</x:v>
      </x:c>
      <x:c r="H607" s="167" t="str">
        <x:v>General</x:v>
      </x:c>
      <x:c r="I607" s="167" t="str">
        <x:v>Not Started</x:v>
      </x:c>
      <x:c r="J607" s="167" t="n">
        <x:v>0</x:v>
      </x:c>
      <x:c r="K607" s="168"/>
      <x:c r="L607" s="168" t="str">
        <x:f>IF(OR(I607="Mastered",K607=""),"",K607+IF(J607&gt;=5,30,IF(J607=4,14,IF(J607=3,7,IF(J607=2,3,1)))))</x:f>
      </x:c>
      <x:c r="M607" s="171" t="str"/>
      <x:c r="N607" s="171" t="str"/>
      <x:c r="O607" s="171" t="str">
        <x:v>Draft — verify in context</x:v>
      </x:c>
      <x:c r="P607" s="167" t="str">
        <x:v>https://www.oxfordlearnersdictionaries.com/wordlists/oxford3000-5000</x:v>
      </x:c>
    </x:row>
    <x:row r="608" ht="26" customHeight="1">
      <x:c r="A608" s="167" t="n">
        <x:v>607</x:v>
      </x:c>
      <x:c r="B608" s="167" t="str">
        <x:v>inappropriate</x:v>
      </x:c>
      <x:c r="C608" s="167" t="str">
        <x:v>adj.</x:v>
      </x:c>
      <x:c r="D608" s="170" t="str">
        <x:v>недоречний</x:v>
      </x:c>
      <x:c r="E608" s="167" t="str">
        <x:v>No</x:v>
      </x:c>
      <x:c r="F608" s="167"/>
      <x:c r="G608" s="167" t="str">
        <x:v>Core</x:v>
      </x:c>
      <x:c r="H608" s="167" t="str">
        <x:v>General</x:v>
      </x:c>
      <x:c r="I608" s="167" t="str">
        <x:v>Not Started</x:v>
      </x:c>
      <x:c r="J608" s="167" t="n">
        <x:v>0</x:v>
      </x:c>
      <x:c r="K608" s="168"/>
      <x:c r="L608" s="168" t="str">
        <x:f>IF(OR(I608="Mastered",K608=""),"",K608+IF(J608&gt;=5,30,IF(J608=4,14,IF(J608=3,7,IF(J608=2,3,1)))))</x:f>
      </x:c>
      <x:c r="M608" s="171" t="str"/>
      <x:c r="N608" s="171" t="str"/>
      <x:c r="O608" s="171" t="str">
        <x:v>Draft — verify in context</x:v>
      </x:c>
      <x:c r="P608" s="167" t="str">
        <x:v>https://www.oxfordlearnersdictionaries.com/wordlists/oxford3000-5000</x:v>
      </x:c>
    </x:row>
    <x:row r="609" ht="26" customHeight="1">
      <x:c r="A609" s="167" t="n">
        <x:v>608</x:v>
      </x:c>
      <x:c r="B609" s="167" t="str">
        <x:v>incidence</x:v>
      </x:c>
      <x:c r="C609" s="167" t="str">
        <x:v>n.</x:v>
      </x:c>
      <x:c r="D609" s="170" t="str">
        <x:v>випадковість</x:v>
      </x:c>
      <x:c r="E609" s="167" t="str">
        <x:v>Yes</x:v>
      </x:c>
      <x:c r="F609" s="167" t="n">
        <x:v>6</x:v>
      </x:c>
      <x:c r="G609" s="167" t="str">
        <x:v>High</x:v>
      </x:c>
      <x:c r="H609" s="167" t="str">
        <x:v>General</x:v>
      </x:c>
      <x:c r="I609" s="167" t="str">
        <x:v>Not Started</x:v>
      </x:c>
      <x:c r="J609" s="167" t="n">
        <x:v>0</x:v>
      </x:c>
      <x:c r="K609" s="168"/>
      <x:c r="L609" s="168" t="str">
        <x:f>IF(OR(I609="Mastered",K609=""),"",K609+IF(J609&gt;=5,30,IF(J609=4,14,IF(J609=3,7,IF(J609=2,3,1)))))</x:f>
      </x:c>
      <x:c r="M609" s="171" t="str"/>
      <x:c r="N609" s="171" t="str"/>
      <x:c r="O609" s="171" t="str">
        <x:v>Draft — verify in context</x:v>
      </x:c>
      <x:c r="P609" s="167" t="str">
        <x:v>https://www.oxfordlearnersdictionaries.com/wordlists/oxford3000-5000</x:v>
      </x:c>
    </x:row>
    <x:row r="610" ht="26" customHeight="1">
      <x:c r="A610" s="167" t="n">
        <x:v>609</x:v>
      </x:c>
      <x:c r="B610" s="167" t="str">
        <x:v>inclined</x:v>
      </x:c>
      <x:c r="C610" s="167" t="str">
        <x:v>adj.</x:v>
      </x:c>
      <x:c r="D610" s="170" t="str">
        <x:v>нахилений</x:v>
      </x:c>
      <x:c r="E610" s="167" t="str">
        <x:v>No</x:v>
      </x:c>
      <x:c r="F610" s="167"/>
      <x:c r="G610" s="167" t="str">
        <x:v>Core</x:v>
      </x:c>
      <x:c r="H610" s="167" t="str">
        <x:v>General</x:v>
      </x:c>
      <x:c r="I610" s="167" t="str">
        <x:v>Not Started</x:v>
      </x:c>
      <x:c r="J610" s="167" t="n">
        <x:v>0</x:v>
      </x:c>
      <x:c r="K610" s="168"/>
      <x:c r="L610" s="168" t="str">
        <x:f>IF(OR(I610="Mastered",K610=""),"",K610+IF(J610&gt;=5,30,IF(J610=4,14,IF(J610=3,7,IF(J610=2,3,1)))))</x:f>
      </x:c>
      <x:c r="M610" s="171" t="str"/>
      <x:c r="N610" s="171" t="str"/>
      <x:c r="O610" s="171" t="str">
        <x:v>Draft — verify in context</x:v>
      </x:c>
      <x:c r="P610" s="167" t="str">
        <x:v>https://www.oxfordlearnersdictionaries.com/wordlists/oxford3000-5000</x:v>
      </x:c>
    </x:row>
    <x:row r="611" ht="26" customHeight="1">
      <x:c r="A611" s="167" t="n">
        <x:v>610</x:v>
      </x:c>
      <x:c r="B611" s="167" t="str">
        <x:v>inclusion</x:v>
      </x:c>
      <x:c r="C611" s="167" t="str">
        <x:v>n.</x:v>
      </x:c>
      <x:c r="D611" s="170" t="str">
        <x:v>включення</x:v>
      </x:c>
      <x:c r="E611" s="167" t="str">
        <x:v>No</x:v>
      </x:c>
      <x:c r="F611" s="167"/>
      <x:c r="G611" s="167" t="str">
        <x:v>Core</x:v>
      </x:c>
      <x:c r="H611" s="167" t="str">
        <x:v>General</x:v>
      </x:c>
      <x:c r="I611" s="167" t="str">
        <x:v>Not Started</x:v>
      </x:c>
      <x:c r="J611" s="167" t="n">
        <x:v>0</x:v>
      </x:c>
      <x:c r="K611" s="168"/>
      <x:c r="L611" s="168" t="str">
        <x:f>IF(OR(I611="Mastered",K611=""),"",K611+IF(J611&gt;=5,30,IF(J611=4,14,IF(J611=3,7,IF(J611=2,3,1)))))</x:f>
      </x:c>
      <x:c r="M611" s="171" t="str"/>
      <x:c r="N611" s="171" t="str"/>
      <x:c r="O611" s="171" t="str">
        <x:v>Draft — verify in context</x:v>
      </x:c>
      <x:c r="P611" s="167" t="str">
        <x:v>https://www.oxfordlearnersdictionaries.com/wordlists/oxford3000-5000</x:v>
      </x:c>
    </x:row>
    <x:row r="612" ht="26" customHeight="1">
      <x:c r="A612" s="167" t="n">
        <x:v>611</x:v>
      </x:c>
      <x:c r="B612" s="167" t="str">
        <x:v>incur</x:v>
      </x:c>
      <x:c r="C612" s="167" t="str">
        <x:v>v.</x:v>
      </x:c>
      <x:c r="D612" s="170" t="str">
        <x:v>понести</x:v>
      </x:c>
      <x:c r="E612" s="167" t="str">
        <x:v>No</x:v>
      </x:c>
      <x:c r="F612" s="167"/>
      <x:c r="G612" s="167" t="str">
        <x:v>Core</x:v>
      </x:c>
      <x:c r="H612" s="167" t="str">
        <x:v>General</x:v>
      </x:c>
      <x:c r="I612" s="167" t="str">
        <x:v>Not Started</x:v>
      </x:c>
      <x:c r="J612" s="167" t="n">
        <x:v>0</x:v>
      </x:c>
      <x:c r="K612" s="168"/>
      <x:c r="L612" s="168" t="str">
        <x:f>IF(OR(I612="Mastered",K612=""),"",K612+IF(J612&gt;=5,30,IF(J612=4,14,IF(J612=3,7,IF(J612=2,3,1)))))</x:f>
      </x:c>
      <x:c r="M612" s="171" t="str"/>
      <x:c r="N612" s="171" t="str"/>
      <x:c r="O612" s="171" t="str">
        <x:v>Draft — verify in context</x:v>
      </x:c>
      <x:c r="P612" s="167" t="str">
        <x:v>https://www.oxfordlearnersdictionaries.com/wordlists/oxford3000-5000</x:v>
      </x:c>
    </x:row>
    <x:row r="613" ht="26" customHeight="1">
      <x:c r="A613" s="167" t="n">
        <x:v>612</x:v>
      </x:c>
      <x:c r="B613" s="167" t="str">
        <x:v>indicator</x:v>
      </x:c>
      <x:c r="C613" s="167" t="str">
        <x:v>n.</x:v>
      </x:c>
      <x:c r="D613" s="170" t="str">
        <x:v>індикатор</x:v>
      </x:c>
      <x:c r="E613" s="167" t="str">
        <x:v>No</x:v>
      </x:c>
      <x:c r="F613" s="167"/>
      <x:c r="G613" s="167" t="str">
        <x:v>High</x:v>
      </x:c>
      <x:c r="H613" s="167" t="str">
        <x:v>Research &amp; data</x:v>
      </x:c>
      <x:c r="I613" s="167" t="str">
        <x:v>Not Started</x:v>
      </x:c>
      <x:c r="J613" s="167" t="n">
        <x:v>0</x:v>
      </x:c>
      <x:c r="K613" s="168"/>
      <x:c r="L613" s="168" t="str">
        <x:f>IF(OR(I613="Mastered",K613=""),"",K613+IF(J613&gt;=5,30,IF(J613=4,14,IF(J613=3,7,IF(J613=2,3,1)))))</x:f>
      </x:c>
      <x:c r="M613" s="171" t="str"/>
      <x:c r="N613" s="171" t="str"/>
      <x:c r="O613" s="171" t="str">
        <x:v>Draft — verify in context</x:v>
      </x:c>
      <x:c r="P613" s="167" t="str">
        <x:v>https://www.oxfordlearnersdictionaries.com/wordlists/oxford3000-5000</x:v>
      </x:c>
    </x:row>
    <x:row r="614" ht="26" customHeight="1">
      <x:c r="A614" s="167" t="n">
        <x:v>613</x:v>
      </x:c>
      <x:c r="B614" s="167" t="str">
        <x:v>indictment</x:v>
      </x:c>
      <x:c r="C614" s="167" t="str">
        <x:v>n.</x:v>
      </x:c>
      <x:c r="D614" s="170" t="str">
        <x:v>звинувачення</x:v>
      </x:c>
      <x:c r="E614" s="167" t="str">
        <x:v>No</x:v>
      </x:c>
      <x:c r="F614" s="167"/>
      <x:c r="G614" s="167" t="str">
        <x:v>Core</x:v>
      </x:c>
      <x:c r="H614" s="167" t="str">
        <x:v>General</x:v>
      </x:c>
      <x:c r="I614" s="167" t="str">
        <x:v>Not Started</x:v>
      </x:c>
      <x:c r="J614" s="167" t="n">
        <x:v>0</x:v>
      </x:c>
      <x:c r="K614" s="168"/>
      <x:c r="L614" s="168" t="str">
        <x:f>IF(OR(I614="Mastered",K614=""),"",K614+IF(J614&gt;=5,30,IF(J614=4,14,IF(J614=3,7,IF(J614=2,3,1)))))</x:f>
      </x:c>
      <x:c r="M614" s="171" t="str"/>
      <x:c r="N614" s="171" t="str"/>
      <x:c r="O614" s="171" t="str">
        <x:v>Draft — verify in context</x:v>
      </x:c>
      <x:c r="P614" s="167" t="str">
        <x:v>https://www.oxfordlearnersdictionaries.com/wordlists/oxford3000-5000</x:v>
      </x:c>
    </x:row>
    <x:row r="615" ht="26" customHeight="1">
      <x:c r="A615" s="167" t="n">
        <x:v>614</x:v>
      </x:c>
      <x:c r="B615" s="167" t="str">
        <x:v>indigenous</x:v>
      </x:c>
      <x:c r="C615" s="167" t="str">
        <x:v>adj.</x:v>
      </x:c>
      <x:c r="D615" s="170" t="str">
        <x:v>корінний</x:v>
      </x:c>
      <x:c r="E615" s="167" t="str">
        <x:v>No</x:v>
      </x:c>
      <x:c r="F615" s="167"/>
      <x:c r="G615" s="167" t="str">
        <x:v>High</x:v>
      </x:c>
      <x:c r="H615" s="167" t="str">
        <x:v>Society &amp; culture</x:v>
      </x:c>
      <x:c r="I615" s="167" t="str">
        <x:v>Not Started</x:v>
      </x:c>
      <x:c r="J615" s="167" t="n">
        <x:v>0</x:v>
      </x:c>
      <x:c r="K615" s="168"/>
      <x:c r="L615" s="168" t="str">
        <x:f>IF(OR(I615="Mastered",K615=""),"",K615+IF(J615&gt;=5,30,IF(J615=4,14,IF(J615=3,7,IF(J615=2,3,1)))))</x:f>
      </x:c>
      <x:c r="M615" s="171" t="str"/>
      <x:c r="N615" s="171" t="str"/>
      <x:c r="O615" s="171" t="str">
        <x:v>Draft — verify in context</x:v>
      </x:c>
      <x:c r="P615" s="167" t="str">
        <x:v>https://www.oxfordlearnersdictionaries.com/wordlists/oxford3000-5000</x:v>
      </x:c>
    </x:row>
    <x:row r="616" ht="26" customHeight="1">
      <x:c r="A616" s="167" t="n">
        <x:v>615</x:v>
      </x:c>
      <x:c r="B616" s="167" t="str">
        <x:v>induce</x:v>
      </x:c>
      <x:c r="C616" s="167" t="str">
        <x:v>v.</x:v>
      </x:c>
      <x:c r="D616" s="170" t="str">
        <x:v>спонукати</x:v>
      </x:c>
      <x:c r="E616" s="167" t="str">
        <x:v>No</x:v>
      </x:c>
      <x:c r="F616" s="167"/>
      <x:c r="G616" s="167" t="str">
        <x:v>Core</x:v>
      </x:c>
      <x:c r="H616" s="167" t="str">
        <x:v>General</x:v>
      </x:c>
      <x:c r="I616" s="167" t="str">
        <x:v>Not Started</x:v>
      </x:c>
      <x:c r="J616" s="167" t="n">
        <x:v>0</x:v>
      </x:c>
      <x:c r="K616" s="168"/>
      <x:c r="L616" s="168" t="str">
        <x:f>IF(OR(I616="Mastered",K616=""),"",K616+IF(J616&gt;=5,30,IF(J616=4,14,IF(J616=3,7,IF(J616=2,3,1)))))</x:f>
      </x:c>
      <x:c r="M616" s="171" t="str"/>
      <x:c r="N616" s="171" t="str"/>
      <x:c r="O616" s="171" t="str">
        <x:v>Draft — verify in context</x:v>
      </x:c>
      <x:c r="P616" s="167" t="str">
        <x:v>https://www.oxfordlearnersdictionaries.com/wordlists/oxford3000-5000</x:v>
      </x:c>
    </x:row>
    <x:row r="617" ht="26" customHeight="1">
      <x:c r="A617" s="167" t="n">
        <x:v>616</x:v>
      </x:c>
      <x:c r="B617" s="167" t="str">
        <x:v>indulge</x:v>
      </x:c>
      <x:c r="C617" s="167" t="str">
        <x:v>v.</x:v>
      </x:c>
      <x:c r="D617" s="170" t="str">
        <x:v>балуватися</x:v>
      </x:c>
      <x:c r="E617" s="167" t="str">
        <x:v>No</x:v>
      </x:c>
      <x:c r="F617" s="167"/>
      <x:c r="G617" s="167" t="str">
        <x:v>Core</x:v>
      </x:c>
      <x:c r="H617" s="167" t="str">
        <x:v>General</x:v>
      </x:c>
      <x:c r="I617" s="167" t="str">
        <x:v>Not Started</x:v>
      </x:c>
      <x:c r="J617" s="167" t="n">
        <x:v>0</x:v>
      </x:c>
      <x:c r="K617" s="168"/>
      <x:c r="L617" s="168" t="str">
        <x:f>IF(OR(I617="Mastered",K617=""),"",K617+IF(J617&gt;=5,30,IF(J617=4,14,IF(J617=3,7,IF(J617=2,3,1)))))</x:f>
      </x:c>
      <x:c r="M617" s="171" t="str"/>
      <x:c r="N617" s="171" t="str"/>
      <x:c r="O617" s="171" t="str">
        <x:v>Draft — verify in context</x:v>
      </x:c>
      <x:c r="P617" s="167" t="str">
        <x:v>https://www.oxfordlearnersdictionaries.com/wordlists/oxford3000-5000</x:v>
      </x:c>
    </x:row>
    <x:row r="618" ht="26" customHeight="1">
      <x:c r="A618" s="167" t="n">
        <x:v>617</x:v>
      </x:c>
      <x:c r="B618" s="167" t="str">
        <x:v>inequality</x:v>
      </x:c>
      <x:c r="C618" s="167" t="str">
        <x:v>n.</x:v>
      </x:c>
      <x:c r="D618" s="170" t="str">
        <x:v>нерівність</x:v>
      </x:c>
      <x:c r="E618" s="167" t="str">
        <x:v>No</x:v>
      </x:c>
      <x:c r="F618" s="167"/>
      <x:c r="G618" s="167" t="str">
        <x:v>High</x:v>
      </x:c>
      <x:c r="H618" s="167" t="str">
        <x:v>Society &amp; culture</x:v>
      </x:c>
      <x:c r="I618" s="167" t="str">
        <x:v>Not Started</x:v>
      </x:c>
      <x:c r="J618" s="167" t="n">
        <x:v>0</x:v>
      </x:c>
      <x:c r="K618" s="168"/>
      <x:c r="L618" s="168" t="str">
        <x:f>IF(OR(I618="Mastered",K618=""),"",K618+IF(J618&gt;=5,30,IF(J618=4,14,IF(J618=3,7,IF(J618=2,3,1)))))</x:f>
      </x:c>
      <x:c r="M618" s="171" t="str"/>
      <x:c r="N618" s="171" t="str"/>
      <x:c r="O618" s="171" t="str">
        <x:v>Draft — verify in context</x:v>
      </x:c>
      <x:c r="P618" s="167" t="str">
        <x:v>https://www.oxfordlearnersdictionaries.com/wordlists/oxford3000-5000</x:v>
      </x:c>
    </x:row>
    <x:row r="619" ht="26" customHeight="1">
      <x:c r="A619" s="167" t="n">
        <x:v>618</x:v>
      </x:c>
      <x:c r="B619" s="167" t="str">
        <x:v>infamous</x:v>
      </x:c>
      <x:c r="C619" s="167" t="str">
        <x:v>adj.</x:v>
      </x:c>
      <x:c r="D619" s="170" t="str">
        <x:v>сумно відомий</x:v>
      </x:c>
      <x:c r="E619" s="167" t="str">
        <x:v>No</x:v>
      </x:c>
      <x:c r="F619" s="167"/>
      <x:c r="G619" s="167" t="str">
        <x:v>Core</x:v>
      </x:c>
      <x:c r="H619" s="167" t="str">
        <x:v>General</x:v>
      </x:c>
      <x:c r="I619" s="167" t="str">
        <x:v>Not Started</x:v>
      </x:c>
      <x:c r="J619" s="167" t="n">
        <x:v>0</x:v>
      </x:c>
      <x:c r="K619" s="168"/>
      <x:c r="L619" s="168" t="str">
        <x:f>IF(OR(I619="Mastered",K619=""),"",K619+IF(J619&gt;=5,30,IF(J619=4,14,IF(J619=3,7,IF(J619=2,3,1)))))</x:f>
      </x:c>
      <x:c r="M619" s="171" t="str"/>
      <x:c r="N619" s="171" t="str"/>
      <x:c r="O619" s="171" t="str">
        <x:v>Draft — verify in context</x:v>
      </x:c>
      <x:c r="P619" s="167" t="str">
        <x:v>https://www.oxfordlearnersdictionaries.com/wordlists/oxford3000-5000</x:v>
      </x:c>
    </x:row>
    <x:row r="620" ht="26" customHeight="1">
      <x:c r="A620" s="167" t="n">
        <x:v>619</x:v>
      </x:c>
      <x:c r="B620" s="167" t="str">
        <x:v>infant</x:v>
      </x:c>
      <x:c r="C620" s="167" t="str">
        <x:v>n.</x:v>
      </x:c>
      <x:c r="D620" s="170" t="str">
        <x:v>немовля</x:v>
      </x:c>
      <x:c r="E620" s="167" t="str">
        <x:v>No</x:v>
      </x:c>
      <x:c r="F620" s="167"/>
      <x:c r="G620" s="167" t="str">
        <x:v>High</x:v>
      </x:c>
      <x:c r="H620" s="167" t="str">
        <x:v>Health</x:v>
      </x:c>
      <x:c r="I620" s="167" t="str">
        <x:v>Not Started</x:v>
      </x:c>
      <x:c r="J620" s="167" t="n">
        <x:v>0</x:v>
      </x:c>
      <x:c r="K620" s="168"/>
      <x:c r="L620" s="168" t="str">
        <x:f>IF(OR(I620="Mastered",K620=""),"",K620+IF(J620&gt;=5,30,IF(J620=4,14,IF(J620=3,7,IF(J620=2,3,1)))))</x:f>
      </x:c>
      <x:c r="M620" s="171" t="str"/>
      <x:c r="N620" s="171" t="str"/>
      <x:c r="O620" s="171" t="str">
        <x:v>Draft — verify in context</x:v>
      </x:c>
      <x:c r="P620" s="167" t="str">
        <x:v>https://www.oxfordlearnersdictionaries.com/wordlists/oxford3000-5000</x:v>
      </x:c>
    </x:row>
    <x:row r="621" ht="26" customHeight="1">
      <x:c r="A621" s="167" t="n">
        <x:v>620</x:v>
      </x:c>
      <x:c r="B621" s="167" t="str">
        <x:v>infect</x:v>
      </x:c>
      <x:c r="C621" s="167" t="str">
        <x:v>v.</x:v>
      </x:c>
      <x:c r="D621" s="170" t="str">
        <x:v>заразити</x:v>
      </x:c>
      <x:c r="E621" s="167" t="str">
        <x:v>No</x:v>
      </x:c>
      <x:c r="F621" s="167"/>
      <x:c r="G621" s="167" t="str">
        <x:v>Core</x:v>
      </x:c>
      <x:c r="H621" s="167" t="str">
        <x:v>General</x:v>
      </x:c>
      <x:c r="I621" s="167" t="str">
        <x:v>Not Started</x:v>
      </x:c>
      <x:c r="J621" s="167" t="n">
        <x:v>0</x:v>
      </x:c>
      <x:c r="K621" s="168"/>
      <x:c r="L621" s="168" t="str">
        <x:f>IF(OR(I621="Mastered",K621=""),"",K621+IF(J621&gt;=5,30,IF(J621=4,14,IF(J621=3,7,IF(J621=2,3,1)))))</x:f>
      </x:c>
      <x:c r="M621" s="171" t="str"/>
      <x:c r="N621" s="171" t="str"/>
      <x:c r="O621" s="171" t="str">
        <x:v>Draft — verify in context</x:v>
      </x:c>
      <x:c r="P621" s="167" t="str">
        <x:v>https://www.oxfordlearnersdictionaries.com/wordlists/oxford3000-5000</x:v>
      </x:c>
    </x:row>
    <x:row r="622" ht="26" customHeight="1">
      <x:c r="A622" s="167" t="n">
        <x:v>621</x:v>
      </x:c>
      <x:c r="B622" s="167" t="str">
        <x:v>inflict</x:v>
      </x:c>
      <x:c r="C622" s="167" t="str">
        <x:v>v.</x:v>
      </x:c>
      <x:c r="D622" s="170" t="str">
        <x:v>наносити</x:v>
      </x:c>
      <x:c r="E622" s="167" t="str">
        <x:v>No</x:v>
      </x:c>
      <x:c r="F622" s="167"/>
      <x:c r="G622" s="167" t="str">
        <x:v>Core</x:v>
      </x:c>
      <x:c r="H622" s="167" t="str">
        <x:v>General</x:v>
      </x:c>
      <x:c r="I622" s="167" t="str">
        <x:v>Not Started</x:v>
      </x:c>
      <x:c r="J622" s="167" t="n">
        <x:v>0</x:v>
      </x:c>
      <x:c r="K622" s="168"/>
      <x:c r="L622" s="168" t="str">
        <x:f>IF(OR(I622="Mastered",K622=""),"",K622+IF(J622&gt;=5,30,IF(J622=4,14,IF(J622=3,7,IF(J622=2,3,1)))))</x:f>
      </x:c>
      <x:c r="M622" s="171" t="str"/>
      <x:c r="N622" s="171" t="str"/>
      <x:c r="O622" s="171" t="str">
        <x:v>Draft — verify in context</x:v>
      </x:c>
      <x:c r="P622" s="167" t="str">
        <x:v>https://www.oxfordlearnersdictionaries.com/wordlists/oxford3000-5000</x:v>
      </x:c>
    </x:row>
    <x:row r="623" ht="26" customHeight="1">
      <x:c r="A623" s="167" t="n">
        <x:v>622</x:v>
      </x:c>
      <x:c r="B623" s="167" t="str">
        <x:v>influential</x:v>
      </x:c>
      <x:c r="C623" s="167" t="str">
        <x:v>adj.</x:v>
      </x:c>
      <x:c r="D623" s="170" t="str">
        <x:v>впливовий</x:v>
      </x:c>
      <x:c r="E623" s="167" t="str">
        <x:v>No</x:v>
      </x:c>
      <x:c r="F623" s="167"/>
      <x:c r="G623" s="167" t="str">
        <x:v>Core</x:v>
      </x:c>
      <x:c r="H623" s="167" t="str">
        <x:v>General</x:v>
      </x:c>
      <x:c r="I623" s="167" t="str">
        <x:v>Not Started</x:v>
      </x:c>
      <x:c r="J623" s="167" t="n">
        <x:v>0</x:v>
      </x:c>
      <x:c r="K623" s="168"/>
      <x:c r="L623" s="168" t="str">
        <x:f>IF(OR(I623="Mastered",K623=""),"",K623+IF(J623&gt;=5,30,IF(J623=4,14,IF(J623=3,7,IF(J623=2,3,1)))))</x:f>
      </x:c>
      <x:c r="M623" s="171" t="str"/>
      <x:c r="N623" s="171" t="str"/>
      <x:c r="O623" s="171" t="str">
        <x:v>Draft — verify in context</x:v>
      </x:c>
      <x:c r="P623" s="167" t="str">
        <x:v>https://www.oxfordlearnersdictionaries.com/wordlists/oxford3000-5000</x:v>
      </x:c>
    </x:row>
    <x:row r="624" ht="26" customHeight="1">
      <x:c r="A624" s="167" t="n">
        <x:v>623</x:v>
      </x:c>
      <x:c r="B624" s="167" t="str">
        <x:v>inherent</x:v>
      </x:c>
      <x:c r="C624" s="167" t="str">
        <x:v>adj.</x:v>
      </x:c>
      <x:c r="D624" s="170" t="str">
        <x:v>властивий</x:v>
      </x:c>
      <x:c r="E624" s="167" t="str">
        <x:v>Yes</x:v>
      </x:c>
      <x:c r="F624" s="167" t="n">
        <x:v>9</x:v>
      </x:c>
      <x:c r="G624" s="167" t="str">
        <x:v>High</x:v>
      </x:c>
      <x:c r="H624" s="167" t="str">
        <x:v>General</x:v>
      </x:c>
      <x:c r="I624" s="167" t="str">
        <x:v>Not Started</x:v>
      </x:c>
      <x:c r="J624" s="167" t="n">
        <x:v>0</x:v>
      </x:c>
      <x:c r="K624" s="168"/>
      <x:c r="L624" s="168" t="str">
        <x:f>IF(OR(I624="Mastered",K624=""),"",K624+IF(J624&gt;=5,30,IF(J624=4,14,IF(J624=3,7,IF(J624=2,3,1)))))</x:f>
      </x:c>
      <x:c r="M624" s="171" t="str"/>
      <x:c r="N624" s="171" t="str"/>
      <x:c r="O624" s="171" t="str">
        <x:v>Draft — verify in context</x:v>
      </x:c>
      <x:c r="P624" s="167" t="str">
        <x:v>https://www.oxfordlearnersdictionaries.com/wordlists/oxford3000-5000</x:v>
      </x:c>
    </x:row>
    <x:row r="625" ht="26" customHeight="1">
      <x:c r="A625" s="167" t="n">
        <x:v>624</x:v>
      </x:c>
      <x:c r="B625" s="167" t="str">
        <x:v>inhibit</x:v>
      </x:c>
      <x:c r="C625" s="167" t="str">
        <x:v>v.</x:v>
      </x:c>
      <x:c r="D625" s="170" t="str">
        <x:v>гальмувати</x:v>
      </x:c>
      <x:c r="E625" s="167" t="str">
        <x:v>No</x:v>
      </x:c>
      <x:c r="F625" s="167"/>
      <x:c r="G625" s="167" t="str">
        <x:v>Core</x:v>
      </x:c>
      <x:c r="H625" s="167" t="str">
        <x:v>General</x:v>
      </x:c>
      <x:c r="I625" s="167" t="str">
        <x:v>Not Started</x:v>
      </x:c>
      <x:c r="J625" s="167" t="n">
        <x:v>0</x:v>
      </x:c>
      <x:c r="K625" s="168"/>
      <x:c r="L625" s="168" t="str">
        <x:f>IF(OR(I625="Mastered",K625=""),"",K625+IF(J625&gt;=5,30,IF(J625=4,14,IF(J625=3,7,IF(J625=2,3,1)))))</x:f>
      </x:c>
      <x:c r="M625" s="171" t="str"/>
      <x:c r="N625" s="171" t="str"/>
      <x:c r="O625" s="171" t="str">
        <x:v>Draft — verify in context</x:v>
      </x:c>
      <x:c r="P625" s="167" t="str">
        <x:v>https://www.oxfordlearnersdictionaries.com/wordlists/oxford3000-5000</x:v>
      </x:c>
    </x:row>
    <x:row r="626" ht="26" customHeight="1">
      <x:c r="A626" s="167" t="n">
        <x:v>625</x:v>
      </x:c>
      <x:c r="B626" s="167" t="str">
        <x:v>initiate</x:v>
      </x:c>
      <x:c r="C626" s="167" t="str">
        <x:v>v.</x:v>
      </x:c>
      <x:c r="D626" s="170" t="str">
        <x:v>ініціювати</x:v>
      </x:c>
      <x:c r="E626" s="167" t="str">
        <x:v>No</x:v>
      </x:c>
      <x:c r="F626" s="167"/>
      <x:c r="G626" s="167" t="str">
        <x:v>Core</x:v>
      </x:c>
      <x:c r="H626" s="167" t="str">
        <x:v>General</x:v>
      </x:c>
      <x:c r="I626" s="167" t="str">
        <x:v>Not Started</x:v>
      </x:c>
      <x:c r="J626" s="167" t="n">
        <x:v>0</x:v>
      </x:c>
      <x:c r="K626" s="168"/>
      <x:c r="L626" s="168" t="str">
        <x:f>IF(OR(I626="Mastered",K626=""),"",K626+IF(J626&gt;=5,30,IF(J626=4,14,IF(J626=3,7,IF(J626=2,3,1)))))</x:f>
      </x:c>
      <x:c r="M626" s="171" t="str"/>
      <x:c r="N626" s="171" t="str"/>
      <x:c r="O626" s="171" t="str">
        <x:v>Draft — verify in context</x:v>
      </x:c>
      <x:c r="P626" s="167" t="str">
        <x:v>https://www.oxfordlearnersdictionaries.com/wordlists/oxford3000-5000</x:v>
      </x:c>
    </x:row>
    <x:row r="627" ht="26" customHeight="1">
      <x:c r="A627" s="167" t="n">
        <x:v>626</x:v>
      </x:c>
      <x:c r="B627" s="167" t="str">
        <x:v>inject</x:v>
      </x:c>
      <x:c r="C627" s="167" t="str">
        <x:v>v.</x:v>
      </x:c>
      <x:c r="D627" s="170" t="str">
        <x:v>вводити</x:v>
      </x:c>
      <x:c r="E627" s="167" t="str">
        <x:v>No</x:v>
      </x:c>
      <x:c r="F627" s="167"/>
      <x:c r="G627" s="167" t="str">
        <x:v>Core</x:v>
      </x:c>
      <x:c r="H627" s="167" t="str">
        <x:v>General</x:v>
      </x:c>
      <x:c r="I627" s="167" t="str">
        <x:v>Not Started</x:v>
      </x:c>
      <x:c r="J627" s="167" t="n">
        <x:v>0</x:v>
      </x:c>
      <x:c r="K627" s="168"/>
      <x:c r="L627" s="168" t="str">
        <x:f>IF(OR(I627="Mastered",K627=""),"",K627+IF(J627&gt;=5,30,IF(J627=4,14,IF(J627=3,7,IF(J627=2,3,1)))))</x:f>
      </x:c>
      <x:c r="M627" s="171" t="str"/>
      <x:c r="N627" s="171" t="str"/>
      <x:c r="O627" s="171" t="str">
        <x:v>Draft — verify in context</x:v>
      </x:c>
      <x:c r="P627" s="167" t="str">
        <x:v>https://www.oxfordlearnersdictionaries.com/wordlists/oxford3000-5000</x:v>
      </x:c>
    </x:row>
    <x:row r="628" ht="26" customHeight="1">
      <x:c r="A628" s="167" t="n">
        <x:v>627</x:v>
      </x:c>
      <x:c r="B628" s="167" t="str">
        <x:v>injection</x:v>
      </x:c>
      <x:c r="C628" s="167" t="str">
        <x:v>n.</x:v>
      </x:c>
      <x:c r="D628" s="170" t="str">
        <x:v>ін’єкція; вливання</x:v>
      </x:c>
      <x:c r="E628" s="167" t="str">
        <x:v>No</x:v>
      </x:c>
      <x:c r="F628" s="167"/>
      <x:c r="G628" s="167" t="str">
        <x:v>Core</x:v>
      </x:c>
      <x:c r="H628" s="167" t="str">
        <x:v>General</x:v>
      </x:c>
      <x:c r="I628" s="167" t="str">
        <x:v>Not Started</x:v>
      </x:c>
      <x:c r="J628" s="167" t="n">
        <x:v>0</x:v>
      </x:c>
      <x:c r="K628" s="168"/>
      <x:c r="L628" s="168" t="str">
        <x:f>IF(OR(I628="Mastered",K628=""),"",K628+IF(J628&gt;=5,30,IF(J628=4,14,IF(J628=3,7,IF(J628=2,3,1)))))</x:f>
      </x:c>
      <x:c r="M628" s="171" t="str"/>
      <x:c r="N628" s="171" t="str"/>
      <x:c r="O628" s="171" t="str">
        <x:v>Draft — verify in context</x:v>
      </x:c>
      <x:c r="P628" s="167" t="str">
        <x:v>https://www.oxfordlearnersdictionaries.com/wordlists/oxford3000-5000</x:v>
      </x:c>
    </x:row>
    <x:row r="629" ht="26" customHeight="1">
      <x:c r="A629" s="167" t="n">
        <x:v>628</x:v>
      </x:c>
      <x:c r="B629" s="167" t="str">
        <x:v>injustice</x:v>
      </x:c>
      <x:c r="C629" s="167" t="str">
        <x:v>n.</x:v>
      </x:c>
      <x:c r="D629" s="170" t="str">
        <x:v>несправедливість</x:v>
      </x:c>
      <x:c r="E629" s="167" t="str">
        <x:v>No</x:v>
      </x:c>
      <x:c r="F629" s="167"/>
      <x:c r="G629" s="167" t="str">
        <x:v>Core</x:v>
      </x:c>
      <x:c r="H629" s="167" t="str">
        <x:v>General</x:v>
      </x:c>
      <x:c r="I629" s="167" t="str">
        <x:v>Not Started</x:v>
      </x:c>
      <x:c r="J629" s="167" t="n">
        <x:v>0</x:v>
      </x:c>
      <x:c r="K629" s="168"/>
      <x:c r="L629" s="168" t="str">
        <x:f>IF(OR(I629="Mastered",K629=""),"",K629+IF(J629&gt;=5,30,IF(J629=4,14,IF(J629=3,7,IF(J629=2,3,1)))))</x:f>
      </x:c>
      <x:c r="M629" s="171" t="str"/>
      <x:c r="N629" s="171" t="str"/>
      <x:c r="O629" s="171" t="str">
        <x:v>Draft — verify in context</x:v>
      </x:c>
      <x:c r="P629" s="167" t="str">
        <x:v>https://www.oxfordlearnersdictionaries.com/wordlists/oxford3000-5000</x:v>
      </x:c>
    </x:row>
    <x:row r="630" ht="26" customHeight="1">
      <x:c r="A630" s="167" t="n">
        <x:v>629</x:v>
      </x:c>
      <x:c r="B630" s="167" t="str">
        <x:v>inmate</x:v>
      </x:c>
      <x:c r="C630" s="167" t="str">
        <x:v>n.</x:v>
      </x:c>
      <x:c r="D630" s="170" t="str">
        <x:v>в'язень</x:v>
      </x:c>
      <x:c r="E630" s="167" t="str">
        <x:v>No</x:v>
      </x:c>
      <x:c r="F630" s="167"/>
      <x:c r="G630" s="167" t="str">
        <x:v>Core</x:v>
      </x:c>
      <x:c r="H630" s="167" t="str">
        <x:v>General</x:v>
      </x:c>
      <x:c r="I630" s="167" t="str">
        <x:v>Not Started</x:v>
      </x:c>
      <x:c r="J630" s="167" t="n">
        <x:v>0</x:v>
      </x:c>
      <x:c r="K630" s="168"/>
      <x:c r="L630" s="168" t="str">
        <x:f>IF(OR(I630="Mastered",K630=""),"",K630+IF(J630&gt;=5,30,IF(J630=4,14,IF(J630=3,7,IF(J630=2,3,1)))))</x:f>
      </x:c>
      <x:c r="M630" s="171" t="str"/>
      <x:c r="N630" s="171" t="str"/>
      <x:c r="O630" s="171" t="str">
        <x:v>Draft — verify in context</x:v>
      </x:c>
      <x:c r="P630" s="167" t="str">
        <x:v>https://www.oxfordlearnersdictionaries.com/wordlists/oxford3000-5000</x:v>
      </x:c>
    </x:row>
    <x:row r="631" ht="26" customHeight="1">
      <x:c r="A631" s="167" t="n">
        <x:v>630</x:v>
      </x:c>
      <x:c r="B631" s="167" t="str">
        <x:v>insertion</x:v>
      </x:c>
      <x:c r="C631" s="167" t="str">
        <x:v>n.</x:v>
      </x:c>
      <x:c r="D631" s="170" t="str">
        <x:v>вставка</x:v>
      </x:c>
      <x:c r="E631" s="167" t="str">
        <x:v>No</x:v>
      </x:c>
      <x:c r="F631" s="167"/>
      <x:c r="G631" s="167" t="str">
        <x:v>Core</x:v>
      </x:c>
      <x:c r="H631" s="167" t="str">
        <x:v>General</x:v>
      </x:c>
      <x:c r="I631" s="167" t="str">
        <x:v>Not Started</x:v>
      </x:c>
      <x:c r="J631" s="167" t="n">
        <x:v>0</x:v>
      </x:c>
      <x:c r="K631" s="168"/>
      <x:c r="L631" s="168" t="str">
        <x:f>IF(OR(I631="Mastered",K631=""),"",K631+IF(J631&gt;=5,30,IF(J631=4,14,IF(J631=3,7,IF(J631=2,3,1)))))</x:f>
      </x:c>
      <x:c r="M631" s="171" t="str"/>
      <x:c r="N631" s="171" t="str"/>
      <x:c r="O631" s="171" t="str">
        <x:v>Draft — verify in context</x:v>
      </x:c>
      <x:c r="P631" s="167" t="str">
        <x:v>https://www.oxfordlearnersdictionaries.com/wordlists/oxford3000-5000</x:v>
      </x:c>
    </x:row>
    <x:row r="632" ht="26" customHeight="1">
      <x:c r="A632" s="167" t="n">
        <x:v>631</x:v>
      </x:c>
      <x:c r="B632" s="167" t="str">
        <x:v>insider</x:v>
      </x:c>
      <x:c r="C632" s="167" t="str">
        <x:v>n.</x:v>
      </x:c>
      <x:c r="D632" s="170" t="str">
        <x:v>інсайдер</x:v>
      </x:c>
      <x:c r="E632" s="167" t="str">
        <x:v>No</x:v>
      </x:c>
      <x:c r="F632" s="167"/>
      <x:c r="G632" s="167" t="str">
        <x:v>Core</x:v>
      </x:c>
      <x:c r="H632" s="167" t="str">
        <x:v>General</x:v>
      </x:c>
      <x:c r="I632" s="167" t="str">
        <x:v>Not Started</x:v>
      </x:c>
      <x:c r="J632" s="167" t="n">
        <x:v>0</x:v>
      </x:c>
      <x:c r="K632" s="168"/>
      <x:c r="L632" s="168" t="str">
        <x:f>IF(OR(I632="Mastered",K632=""),"",K632+IF(J632&gt;=5,30,IF(J632=4,14,IF(J632=3,7,IF(J632=2,3,1)))))</x:f>
      </x:c>
      <x:c r="M632" s="171" t="str"/>
      <x:c r="N632" s="171" t="str"/>
      <x:c r="O632" s="171" t="str">
        <x:v>Draft — verify in context</x:v>
      </x:c>
      <x:c r="P632" s="167" t="str">
        <x:v>https://www.oxfordlearnersdictionaries.com/wordlists/oxford3000-5000</x:v>
      </x:c>
    </x:row>
    <x:row r="633" ht="26" customHeight="1">
      <x:c r="A633" s="167" t="n">
        <x:v>632</x:v>
      </x:c>
      <x:c r="B633" s="167" t="str">
        <x:v>inspect</x:v>
      </x:c>
      <x:c r="C633" s="167" t="str">
        <x:v>v.</x:v>
      </x:c>
      <x:c r="D633" s="170" t="str">
        <x:v>оглядати</x:v>
      </x:c>
      <x:c r="E633" s="167" t="str">
        <x:v>No</x:v>
      </x:c>
      <x:c r="F633" s="167"/>
      <x:c r="G633" s="167" t="str">
        <x:v>Core</x:v>
      </x:c>
      <x:c r="H633" s="167" t="str">
        <x:v>General</x:v>
      </x:c>
      <x:c r="I633" s="167" t="str">
        <x:v>Not Started</x:v>
      </x:c>
      <x:c r="J633" s="167" t="n">
        <x:v>0</x:v>
      </x:c>
      <x:c r="K633" s="168"/>
      <x:c r="L633" s="168" t="str">
        <x:f>IF(OR(I633="Mastered",K633=""),"",K633+IF(J633&gt;=5,30,IF(J633=4,14,IF(J633=3,7,IF(J633=2,3,1)))))</x:f>
      </x:c>
      <x:c r="M633" s="171" t="str"/>
      <x:c r="N633" s="171" t="str"/>
      <x:c r="O633" s="171" t="str">
        <x:v>Draft — verify in context</x:v>
      </x:c>
      <x:c r="P633" s="167" t="str">
        <x:v>https://www.oxfordlearnersdictionaries.com/wordlists/oxford3000-5000</x:v>
      </x:c>
    </x:row>
    <x:row r="634" ht="26" customHeight="1">
      <x:c r="A634" s="167" t="n">
        <x:v>633</x:v>
      </x:c>
      <x:c r="B634" s="167" t="str">
        <x:v>inspection</x:v>
      </x:c>
      <x:c r="C634" s="167" t="str">
        <x:v>n.</x:v>
      </x:c>
      <x:c r="D634" s="170" t="str">
        <x:v>огляд</x:v>
      </x:c>
      <x:c r="E634" s="167" t="str">
        <x:v>Yes</x:v>
      </x:c>
      <x:c r="F634" s="167" t="n">
        <x:v>8</x:v>
      </x:c>
      <x:c r="G634" s="167" t="str">
        <x:v>High</x:v>
      </x:c>
      <x:c r="H634" s="167" t="str">
        <x:v>General</x:v>
      </x:c>
      <x:c r="I634" s="167" t="str">
        <x:v>Not Started</x:v>
      </x:c>
      <x:c r="J634" s="167" t="n">
        <x:v>0</x:v>
      </x:c>
      <x:c r="K634" s="168"/>
      <x:c r="L634" s="168" t="str">
        <x:f>IF(OR(I634="Mastered",K634=""),"",K634+IF(J634&gt;=5,30,IF(J634=4,14,IF(J634=3,7,IF(J634=2,3,1)))))</x:f>
      </x:c>
      <x:c r="M634" s="171" t="str"/>
      <x:c r="N634" s="171" t="str"/>
      <x:c r="O634" s="171" t="str">
        <x:v>Draft — verify in context</x:v>
      </x:c>
      <x:c r="P634" s="167" t="str">
        <x:v>https://www.oxfordlearnersdictionaries.com/wordlists/oxford3000-5000</x:v>
      </x:c>
    </x:row>
    <x:row r="635" ht="26" customHeight="1">
      <x:c r="A635" s="167" t="n">
        <x:v>634</x:v>
      </x:c>
      <x:c r="B635" s="167" t="str">
        <x:v>inspiration</x:v>
      </x:c>
      <x:c r="C635" s="167" t="str">
        <x:v>n.</x:v>
      </x:c>
      <x:c r="D635" s="170" t="str">
        <x:v>натхнення</x:v>
      </x:c>
      <x:c r="E635" s="167" t="str">
        <x:v>No</x:v>
      </x:c>
      <x:c r="F635" s="167"/>
      <x:c r="G635" s="167" t="str">
        <x:v>Core</x:v>
      </x:c>
      <x:c r="H635" s="167" t="str">
        <x:v>General</x:v>
      </x:c>
      <x:c r="I635" s="167" t="str">
        <x:v>Not Started</x:v>
      </x:c>
      <x:c r="J635" s="167" t="n">
        <x:v>0</x:v>
      </x:c>
      <x:c r="K635" s="168"/>
      <x:c r="L635" s="168" t="str">
        <x:f>IF(OR(I635="Mastered",K635=""),"",K635+IF(J635&gt;=5,30,IF(J635=4,14,IF(J635=3,7,IF(J635=2,3,1)))))</x:f>
      </x:c>
      <x:c r="M635" s="171" t="str"/>
      <x:c r="N635" s="171" t="str"/>
      <x:c r="O635" s="171" t="str">
        <x:v>Draft — verify in context</x:v>
      </x:c>
      <x:c r="P635" s="167" t="str">
        <x:v>https://www.oxfordlearnersdictionaries.com/wordlists/oxford3000-5000</x:v>
      </x:c>
    </x:row>
    <x:row r="636" ht="26" customHeight="1">
      <x:c r="A636" s="167" t="n">
        <x:v>635</x:v>
      </x:c>
      <x:c r="B636" s="167" t="str">
        <x:v>instinct</x:v>
      </x:c>
      <x:c r="C636" s="167" t="str">
        <x:v>n.</x:v>
      </x:c>
      <x:c r="D636" s="170" t="str">
        <x:v>інстинкт</x:v>
      </x:c>
      <x:c r="E636" s="167" t="str">
        <x:v>No</x:v>
      </x:c>
      <x:c r="F636" s="167"/>
      <x:c r="G636" s="167" t="str">
        <x:v>Core</x:v>
      </x:c>
      <x:c r="H636" s="167" t="str">
        <x:v>General</x:v>
      </x:c>
      <x:c r="I636" s="167" t="str">
        <x:v>Not Started</x:v>
      </x:c>
      <x:c r="J636" s="167" t="n">
        <x:v>0</x:v>
      </x:c>
      <x:c r="K636" s="168"/>
      <x:c r="L636" s="168" t="str">
        <x:f>IF(OR(I636="Mastered",K636=""),"",K636+IF(J636&gt;=5,30,IF(J636=4,14,IF(J636=3,7,IF(J636=2,3,1)))))</x:f>
      </x:c>
      <x:c r="M636" s="171" t="str"/>
      <x:c r="N636" s="171" t="str"/>
      <x:c r="O636" s="171" t="str">
        <x:v>Draft — verify in context</x:v>
      </x:c>
      <x:c r="P636" s="167" t="str">
        <x:v>https://www.oxfordlearnersdictionaries.com/wordlists/oxford3000-5000</x:v>
      </x:c>
    </x:row>
    <x:row r="637" ht="26" customHeight="1">
      <x:c r="A637" s="167" t="n">
        <x:v>636</x:v>
      </x:c>
      <x:c r="B637" s="167" t="str">
        <x:v>institutional</x:v>
      </x:c>
      <x:c r="C637" s="167" t="str">
        <x:v>adj.</x:v>
      </x:c>
      <x:c r="D637" s="170" t="str">
        <x:v>інституційний</x:v>
      </x:c>
      <x:c r="E637" s="167" t="str">
        <x:v>No</x:v>
      </x:c>
      <x:c r="F637" s="167"/>
      <x:c r="G637" s="167" t="str">
        <x:v>Core</x:v>
      </x:c>
      <x:c r="H637" s="167" t="str">
        <x:v>General</x:v>
      </x:c>
      <x:c r="I637" s="167" t="str">
        <x:v>Not Started</x:v>
      </x:c>
      <x:c r="J637" s="167" t="n">
        <x:v>0</x:v>
      </x:c>
      <x:c r="K637" s="168"/>
      <x:c r="L637" s="168" t="str">
        <x:f>IF(OR(I637="Mastered",K637=""),"",K637+IF(J637&gt;=5,30,IF(J637=4,14,IF(J637=3,7,IF(J637=2,3,1)))))</x:f>
      </x:c>
      <x:c r="M637" s="171" t="str"/>
      <x:c r="N637" s="171" t="str"/>
      <x:c r="O637" s="171" t="str">
        <x:v>Draft — verify in context</x:v>
      </x:c>
      <x:c r="P637" s="167" t="str">
        <x:v>https://www.oxfordlearnersdictionaries.com/wordlists/oxford3000-5000</x:v>
      </x:c>
    </x:row>
    <x:row r="638" ht="26" customHeight="1">
      <x:c r="A638" s="167" t="n">
        <x:v>637</x:v>
      </x:c>
      <x:c r="B638" s="167" t="str">
        <x:v>instruct</x:v>
      </x:c>
      <x:c r="C638" s="167" t="str">
        <x:v>v.</x:v>
      </x:c>
      <x:c r="D638" s="170" t="str">
        <x:v>інструктувати</x:v>
      </x:c>
      <x:c r="E638" s="167" t="str">
        <x:v>No</x:v>
      </x:c>
      <x:c r="F638" s="167"/>
      <x:c r="G638" s="167" t="str">
        <x:v>Core</x:v>
      </x:c>
      <x:c r="H638" s="167" t="str">
        <x:v>General</x:v>
      </x:c>
      <x:c r="I638" s="167" t="str">
        <x:v>Not Started</x:v>
      </x:c>
      <x:c r="J638" s="167" t="n">
        <x:v>0</x:v>
      </x:c>
      <x:c r="K638" s="168"/>
      <x:c r="L638" s="168" t="str">
        <x:f>IF(OR(I638="Mastered",K638=""),"",K638+IF(J638&gt;=5,30,IF(J638=4,14,IF(J638=3,7,IF(J638=2,3,1)))))</x:f>
      </x:c>
      <x:c r="M638" s="171" t="str"/>
      <x:c r="N638" s="171" t="str"/>
      <x:c r="O638" s="171" t="str">
        <x:v>Draft — verify in context</x:v>
      </x:c>
      <x:c r="P638" s="167" t="str">
        <x:v>https://www.oxfordlearnersdictionaries.com/wordlists/oxford3000-5000</x:v>
      </x:c>
    </x:row>
    <x:row r="639" ht="26" customHeight="1">
      <x:c r="A639" s="167" t="n">
        <x:v>638</x:v>
      </x:c>
      <x:c r="B639" s="167" t="str">
        <x:v>instrumental</x:v>
      </x:c>
      <x:c r="C639" s="167" t="str">
        <x:v>adj.</x:v>
      </x:c>
      <x:c r="D639" s="170" t="str">
        <x:v>орудний</x:v>
      </x:c>
      <x:c r="E639" s="167" t="str">
        <x:v>No</x:v>
      </x:c>
      <x:c r="F639" s="167"/>
      <x:c r="G639" s="167" t="str">
        <x:v>Core</x:v>
      </x:c>
      <x:c r="H639" s="167" t="str">
        <x:v>General</x:v>
      </x:c>
      <x:c r="I639" s="167" t="str">
        <x:v>Not Started</x:v>
      </x:c>
      <x:c r="J639" s="167" t="n">
        <x:v>0</x:v>
      </x:c>
      <x:c r="K639" s="168"/>
      <x:c r="L639" s="168" t="str">
        <x:f>IF(OR(I639="Mastered",K639=""),"",K639+IF(J639&gt;=5,30,IF(J639=4,14,IF(J639=3,7,IF(J639=2,3,1)))))</x:f>
      </x:c>
      <x:c r="M639" s="171" t="str"/>
      <x:c r="N639" s="171" t="str"/>
      <x:c r="O639" s="171" t="str">
        <x:v>Draft — verify in context</x:v>
      </x:c>
      <x:c r="P639" s="167" t="str">
        <x:v>https://www.oxfordlearnersdictionaries.com/wordlists/oxford3000-5000</x:v>
      </x:c>
    </x:row>
    <x:row r="640" ht="26" customHeight="1">
      <x:c r="A640" s="167" t="n">
        <x:v>639</x:v>
      </x:c>
      <x:c r="B640" s="167" t="str">
        <x:v>insufficient</x:v>
      </x:c>
      <x:c r="C640" s="167" t="str">
        <x:v>adj.</x:v>
      </x:c>
      <x:c r="D640" s="170" t="str">
        <x:v>недостатній</x:v>
      </x:c>
      <x:c r="E640" s="167" t="str">
        <x:v>No</x:v>
      </x:c>
      <x:c r="F640" s="167"/>
      <x:c r="G640" s="167" t="str">
        <x:v>Core</x:v>
      </x:c>
      <x:c r="H640" s="167" t="str">
        <x:v>General</x:v>
      </x:c>
      <x:c r="I640" s="167" t="str">
        <x:v>Not Started</x:v>
      </x:c>
      <x:c r="J640" s="167" t="n">
        <x:v>0</x:v>
      </x:c>
      <x:c r="K640" s="168"/>
      <x:c r="L640" s="168" t="str">
        <x:f>IF(OR(I640="Mastered",K640=""),"",K640+IF(J640&gt;=5,30,IF(J640=4,14,IF(J640=3,7,IF(J640=2,3,1)))))</x:f>
      </x:c>
      <x:c r="M640" s="171" t="str"/>
      <x:c r="N640" s="171" t="str"/>
      <x:c r="O640" s="171" t="str">
        <x:v>Draft — verify in context</x:v>
      </x:c>
      <x:c r="P640" s="167" t="str">
        <x:v>https://www.oxfordlearnersdictionaries.com/wordlists/oxford3000-5000</x:v>
      </x:c>
    </x:row>
    <x:row r="641" ht="26" customHeight="1">
      <x:c r="A641" s="167" t="n">
        <x:v>640</x:v>
      </x:c>
      <x:c r="B641" s="167" t="str">
        <x:v>insult</x:v>
      </x:c>
      <x:c r="C641" s="167" t="str">
        <x:v>n., v.</x:v>
      </x:c>
      <x:c r="D641" s="170" t="str">
        <x:v>образа</x:v>
      </x:c>
      <x:c r="E641" s="167" t="str">
        <x:v>No</x:v>
      </x:c>
      <x:c r="F641" s="167"/>
      <x:c r="G641" s="167" t="str">
        <x:v>Core</x:v>
      </x:c>
      <x:c r="H641" s="167" t="str">
        <x:v>General</x:v>
      </x:c>
      <x:c r="I641" s="167" t="str">
        <x:v>Not Started</x:v>
      </x:c>
      <x:c r="J641" s="167" t="n">
        <x:v>0</x:v>
      </x:c>
      <x:c r="K641" s="168"/>
      <x:c r="L641" s="168" t="str">
        <x:f>IF(OR(I641="Mastered",K641=""),"",K641+IF(J641&gt;=5,30,IF(J641=4,14,IF(J641=3,7,IF(J641=2,3,1)))))</x:f>
      </x:c>
      <x:c r="M641" s="171" t="str"/>
      <x:c r="N641" s="171" t="str"/>
      <x:c r="O641" s="171" t="str">
        <x:v>Draft — verify in context</x:v>
      </x:c>
      <x:c r="P641" s="167" t="str">
        <x:v>https://www.oxfordlearnersdictionaries.com/wordlists/oxford3000-5000</x:v>
      </x:c>
    </x:row>
    <x:row r="642" ht="26" customHeight="1">
      <x:c r="A642" s="167" t="n">
        <x:v>641</x:v>
      </x:c>
      <x:c r="B642" s="167" t="str">
        <x:v>intact</x:v>
      </x:c>
      <x:c r="C642" s="167" t="str">
        <x:v>adj.</x:v>
      </x:c>
      <x:c r="D642" s="170" t="str">
        <x:v>неушкоджений</x:v>
      </x:c>
      <x:c r="E642" s="167" t="str">
        <x:v>No</x:v>
      </x:c>
      <x:c r="F642" s="167"/>
      <x:c r="G642" s="167" t="str">
        <x:v>Core</x:v>
      </x:c>
      <x:c r="H642" s="167" t="str">
        <x:v>General</x:v>
      </x:c>
      <x:c r="I642" s="167" t="str">
        <x:v>Not Started</x:v>
      </x:c>
      <x:c r="J642" s="167" t="n">
        <x:v>0</x:v>
      </x:c>
      <x:c r="K642" s="168"/>
      <x:c r="L642" s="168" t="str">
        <x:f>IF(OR(I642="Mastered",K642=""),"",K642+IF(J642&gt;=5,30,IF(J642=4,14,IF(J642=3,7,IF(J642=2,3,1)))))</x:f>
      </x:c>
      <x:c r="M642" s="171" t="str"/>
      <x:c r="N642" s="171" t="str"/>
      <x:c r="O642" s="171" t="str">
        <x:v>Draft — verify in context</x:v>
      </x:c>
      <x:c r="P642" s="167" t="str">
        <x:v>https://www.oxfordlearnersdictionaries.com/wordlists/oxford3000-5000</x:v>
      </x:c>
    </x:row>
    <x:row r="643" ht="26" customHeight="1">
      <x:c r="A643" s="167" t="n">
        <x:v>642</x:v>
      </x:c>
      <x:c r="B643" s="167" t="str">
        <x:v>intake</x:v>
      </x:c>
      <x:c r="C643" s="167" t="str">
        <x:v>n.</x:v>
      </x:c>
      <x:c r="D643" s="170" t="str">
        <x:v>споживання</x:v>
      </x:c>
      <x:c r="E643" s="167" t="str">
        <x:v>No</x:v>
      </x:c>
      <x:c r="F643" s="167"/>
      <x:c r="G643" s="167" t="str">
        <x:v>Core</x:v>
      </x:c>
      <x:c r="H643" s="167" t="str">
        <x:v>General</x:v>
      </x:c>
      <x:c r="I643" s="167" t="str">
        <x:v>Not Started</x:v>
      </x:c>
      <x:c r="J643" s="167" t="n">
        <x:v>0</x:v>
      </x:c>
      <x:c r="K643" s="168"/>
      <x:c r="L643" s="168" t="str">
        <x:f>IF(OR(I643="Mastered",K643=""),"",K643+IF(J643&gt;=5,30,IF(J643=4,14,IF(J643=3,7,IF(J643=2,3,1)))))</x:f>
      </x:c>
      <x:c r="M643" s="171" t="str"/>
      <x:c r="N643" s="171" t="str"/>
      <x:c r="O643" s="171" t="str">
        <x:v>Draft — verify in context</x:v>
      </x:c>
      <x:c r="P643" s="167" t="str">
        <x:v>https://www.oxfordlearnersdictionaries.com/wordlists/oxford3000-5000</x:v>
      </x:c>
    </x:row>
    <x:row r="644" ht="26" customHeight="1">
      <x:c r="A644" s="167" t="n">
        <x:v>643</x:v>
      </x:c>
      <x:c r="B644" s="167" t="str">
        <x:v>integral</x:v>
      </x:c>
      <x:c r="C644" s="167" t="str">
        <x:v>adj.</x:v>
      </x:c>
      <x:c r="D644" s="170" t="str">
        <x:v>інтегральний</x:v>
      </x:c>
      <x:c r="E644" s="167" t="str">
        <x:v>Yes</x:v>
      </x:c>
      <x:c r="F644" s="167" t="n">
        <x:v>9</x:v>
      </x:c>
      <x:c r="G644" s="167" t="str">
        <x:v>High</x:v>
      </x:c>
      <x:c r="H644" s="167" t="str">
        <x:v>General</x:v>
      </x:c>
      <x:c r="I644" s="167" t="str">
        <x:v>Not Started</x:v>
      </x:c>
      <x:c r="J644" s="167" t="n">
        <x:v>0</x:v>
      </x:c>
      <x:c r="K644" s="168"/>
      <x:c r="L644" s="168" t="str">
        <x:f>IF(OR(I644="Mastered",K644=""),"",K644+IF(J644&gt;=5,30,IF(J644=4,14,IF(J644=3,7,IF(J644=2,3,1)))))</x:f>
      </x:c>
      <x:c r="M644" s="171" t="str"/>
      <x:c r="N644" s="171" t="str"/>
      <x:c r="O644" s="171" t="str">
        <x:v>Draft — verify in context</x:v>
      </x:c>
      <x:c r="P644" s="167" t="str">
        <x:v>https://www.oxfordlearnersdictionaries.com/wordlists/oxford3000-5000</x:v>
      </x:c>
    </x:row>
    <x:row r="645" ht="26" customHeight="1">
      <x:c r="A645" s="167" t="n">
        <x:v>644</x:v>
      </x:c>
      <x:c r="B645" s="167" t="str">
        <x:v>integrated</x:v>
      </x:c>
      <x:c r="C645" s="167" t="str">
        <x:v>adj.</x:v>
      </x:c>
      <x:c r="D645" s="170" t="str">
        <x:v>інтегрований</x:v>
      </x:c>
      <x:c r="E645" s="167" t="str">
        <x:v>No</x:v>
      </x:c>
      <x:c r="F645" s="167"/>
      <x:c r="G645" s="167" t="str">
        <x:v>Core</x:v>
      </x:c>
      <x:c r="H645" s="167" t="str">
        <x:v>General</x:v>
      </x:c>
      <x:c r="I645" s="167" t="str">
        <x:v>Not Started</x:v>
      </x:c>
      <x:c r="J645" s="167" t="n">
        <x:v>0</x:v>
      </x:c>
      <x:c r="K645" s="168"/>
      <x:c r="L645" s="168" t="str">
        <x:f>IF(OR(I645="Mastered",K645=""),"",K645+IF(J645&gt;=5,30,IF(J645=4,14,IF(J645=3,7,IF(J645=2,3,1)))))</x:f>
      </x:c>
      <x:c r="M645" s="171" t="str"/>
      <x:c r="N645" s="171" t="str"/>
      <x:c r="O645" s="171" t="str">
        <x:v>Draft — verify in context</x:v>
      </x:c>
      <x:c r="P645" s="167" t="str">
        <x:v>https://www.oxfordlearnersdictionaries.com/wordlists/oxford3000-5000</x:v>
      </x:c>
    </x:row>
    <x:row r="646" ht="26" customHeight="1">
      <x:c r="A646" s="167" t="n">
        <x:v>645</x:v>
      </x:c>
      <x:c r="B646" s="167" t="str">
        <x:v>integration</x:v>
      </x:c>
      <x:c r="C646" s="167" t="str">
        <x:v>n.</x:v>
      </x:c>
      <x:c r="D646" s="170" t="str">
        <x:v>інтеграція</x:v>
      </x:c>
      <x:c r="E646" s="167" t="str">
        <x:v>Yes</x:v>
      </x:c>
      <x:c r="F646" s="167" t="n">
        <x:v>4</x:v>
      </x:c>
      <x:c r="G646" s="167" t="str">
        <x:v>High</x:v>
      </x:c>
      <x:c r="H646" s="167" t="str">
        <x:v>General</x:v>
      </x:c>
      <x:c r="I646" s="167" t="str">
        <x:v>Not Started</x:v>
      </x:c>
      <x:c r="J646" s="167" t="n">
        <x:v>0</x:v>
      </x:c>
      <x:c r="K646" s="168"/>
      <x:c r="L646" s="168" t="str">
        <x:f>IF(OR(I646="Mastered",K646=""),"",K646+IF(J646&gt;=5,30,IF(J646=4,14,IF(J646=3,7,IF(J646=2,3,1)))))</x:f>
      </x:c>
      <x:c r="M646" s="171" t="str"/>
      <x:c r="N646" s="171" t="str"/>
      <x:c r="O646" s="171" t="str">
        <x:v>Draft — verify in context</x:v>
      </x:c>
      <x:c r="P646" s="167" t="str">
        <x:v>https://www.oxfordlearnersdictionaries.com/wordlists/oxford3000-5000</x:v>
      </x:c>
    </x:row>
    <x:row r="647" ht="26" customHeight="1">
      <x:c r="A647" s="167" t="n">
        <x:v>646</x:v>
      </x:c>
      <x:c r="B647" s="167" t="str">
        <x:v>integrity</x:v>
      </x:c>
      <x:c r="C647" s="167" t="str">
        <x:v>n.</x:v>
      </x:c>
      <x:c r="D647" s="170" t="str">
        <x:v>цілісність</x:v>
      </x:c>
      <x:c r="E647" s="167" t="str">
        <x:v>Yes</x:v>
      </x:c>
      <x:c r="F647" s="167" t="n">
        <x:v>10</x:v>
      </x:c>
      <x:c r="G647" s="167" t="str">
        <x:v>High</x:v>
      </x:c>
      <x:c r="H647" s="167" t="str">
        <x:v>General</x:v>
      </x:c>
      <x:c r="I647" s="167" t="str">
        <x:v>Not Started</x:v>
      </x:c>
      <x:c r="J647" s="167" t="n">
        <x:v>0</x:v>
      </x:c>
      <x:c r="K647" s="168"/>
      <x:c r="L647" s="168" t="str">
        <x:f>IF(OR(I647="Mastered",K647=""),"",K647+IF(J647&gt;=5,30,IF(J647=4,14,IF(J647=3,7,IF(J647=2,3,1)))))</x:f>
      </x:c>
      <x:c r="M647" s="171" t="str"/>
      <x:c r="N647" s="171" t="str"/>
      <x:c r="O647" s="171" t="str">
        <x:v>Draft — verify in context</x:v>
      </x:c>
      <x:c r="P647" s="167" t="str">
        <x:v>https://www.oxfordlearnersdictionaries.com/wordlists/oxford3000-5000</x:v>
      </x:c>
    </x:row>
    <x:row r="648" ht="26" customHeight="1">
      <x:c r="A648" s="167" t="n">
        <x:v>647</x:v>
      </x:c>
      <x:c r="B648" s="167" t="str">
        <x:v>intellectual</x:v>
      </x:c>
      <x:c r="C648" s="167" t="str">
        <x:v>n.</x:v>
      </x:c>
      <x:c r="D648" s="170" t="str">
        <x:v>інтелектуал</x:v>
      </x:c>
      <x:c r="E648" s="167" t="str">
        <x:v>No</x:v>
      </x:c>
      <x:c r="F648" s="167"/>
      <x:c r="G648" s="167" t="str">
        <x:v>Core</x:v>
      </x:c>
      <x:c r="H648" s="167" t="str">
        <x:v>General</x:v>
      </x:c>
      <x:c r="I648" s="167" t="str">
        <x:v>Not Started</x:v>
      </x:c>
      <x:c r="J648" s="167" t="n">
        <x:v>0</x:v>
      </x:c>
      <x:c r="K648" s="168"/>
      <x:c r="L648" s="168" t="str">
        <x:f>IF(OR(I648="Mastered",K648=""),"",K648+IF(J648&gt;=5,30,IF(J648=4,14,IF(J648=3,7,IF(J648=2,3,1)))))</x:f>
      </x:c>
      <x:c r="M648" s="171" t="str"/>
      <x:c r="N648" s="171" t="str"/>
      <x:c r="O648" s="171" t="str">
        <x:v>Draft — verify in context</x:v>
      </x:c>
      <x:c r="P648" s="167" t="str">
        <x:v>https://www.oxfordlearnersdictionaries.com/wordlists/oxford3000-5000</x:v>
      </x:c>
    </x:row>
    <x:row r="649" ht="26" customHeight="1">
      <x:c r="A649" s="167" t="n">
        <x:v>648</x:v>
      </x:c>
      <x:c r="B649" s="167" t="str">
        <x:v>intensify</x:v>
      </x:c>
      <x:c r="C649" s="167" t="str">
        <x:v>v.</x:v>
      </x:c>
      <x:c r="D649" s="170" t="str">
        <x:v>посилити</x:v>
      </x:c>
      <x:c r="E649" s="167" t="str">
        <x:v>No</x:v>
      </x:c>
      <x:c r="F649" s="167"/>
      <x:c r="G649" s="167" t="str">
        <x:v>Core</x:v>
      </x:c>
      <x:c r="H649" s="167" t="str">
        <x:v>General</x:v>
      </x:c>
      <x:c r="I649" s="167" t="str">
        <x:v>Not Started</x:v>
      </x:c>
      <x:c r="J649" s="167" t="n">
        <x:v>0</x:v>
      </x:c>
      <x:c r="K649" s="168"/>
      <x:c r="L649" s="168" t="str">
        <x:f>IF(OR(I649="Mastered",K649=""),"",K649+IF(J649&gt;=5,30,IF(J649=4,14,IF(J649=3,7,IF(J649=2,3,1)))))</x:f>
      </x:c>
      <x:c r="M649" s="171" t="str"/>
      <x:c r="N649" s="171" t="str"/>
      <x:c r="O649" s="171" t="str">
        <x:v>Draft — verify in context</x:v>
      </x:c>
      <x:c r="P649" s="167" t="str">
        <x:v>https://www.oxfordlearnersdictionaries.com/wordlists/oxford3000-5000</x:v>
      </x:c>
    </x:row>
    <x:row r="650" ht="26" customHeight="1">
      <x:c r="A650" s="167" t="n">
        <x:v>649</x:v>
      </x:c>
      <x:c r="B650" s="167" t="str">
        <x:v>intensity</x:v>
      </x:c>
      <x:c r="C650" s="167" t="str">
        <x:v>n.</x:v>
      </x:c>
      <x:c r="D650" s="170" t="str">
        <x:v>інтенсивність</x:v>
      </x:c>
      <x:c r="E650" s="167" t="str">
        <x:v>Yes</x:v>
      </x:c>
      <x:c r="F650" s="167" t="n">
        <x:v>8</x:v>
      </x:c>
      <x:c r="G650" s="167" t="str">
        <x:v>High</x:v>
      </x:c>
      <x:c r="H650" s="167" t="str">
        <x:v>General</x:v>
      </x:c>
      <x:c r="I650" s="167" t="str">
        <x:v>Not Started</x:v>
      </x:c>
      <x:c r="J650" s="167" t="n">
        <x:v>0</x:v>
      </x:c>
      <x:c r="K650" s="168"/>
      <x:c r="L650" s="168" t="str">
        <x:f>IF(OR(I650="Mastered",K650=""),"",K650+IF(J650&gt;=5,30,IF(J650=4,14,IF(J650=3,7,IF(J650=2,3,1)))))</x:f>
      </x:c>
      <x:c r="M650" s="171" t="str"/>
      <x:c r="N650" s="171" t="str"/>
      <x:c r="O650" s="171" t="str">
        <x:v>Draft — verify in context</x:v>
      </x:c>
      <x:c r="P650" s="167" t="str">
        <x:v>https://www.oxfordlearnersdictionaries.com/wordlists/oxford3000-5000</x:v>
      </x:c>
    </x:row>
    <x:row r="651" ht="26" customHeight="1">
      <x:c r="A651" s="167" t="n">
        <x:v>650</x:v>
      </x:c>
      <x:c r="B651" s="167" t="str">
        <x:v>intensive</x:v>
      </x:c>
      <x:c r="C651" s="167" t="str">
        <x:v>adj.</x:v>
      </x:c>
      <x:c r="D651" s="170" t="str">
        <x:v>інтенсивний</x:v>
      </x:c>
      <x:c r="E651" s="167" t="str">
        <x:v>No</x:v>
      </x:c>
      <x:c r="F651" s="167"/>
      <x:c r="G651" s="167" t="str">
        <x:v>Core</x:v>
      </x:c>
      <x:c r="H651" s="167" t="str">
        <x:v>General</x:v>
      </x:c>
      <x:c r="I651" s="167" t="str">
        <x:v>Not Started</x:v>
      </x:c>
      <x:c r="J651" s="167" t="n">
        <x:v>0</x:v>
      </x:c>
      <x:c r="K651" s="168"/>
      <x:c r="L651" s="168" t="str">
        <x:f>IF(OR(I651="Mastered",K651=""),"",K651+IF(J651&gt;=5,30,IF(J651=4,14,IF(J651=3,7,IF(J651=2,3,1)))))</x:f>
      </x:c>
      <x:c r="M651" s="171" t="str"/>
      <x:c r="N651" s="171" t="str"/>
      <x:c r="O651" s="171" t="str">
        <x:v>Draft — verify in context</x:v>
      </x:c>
      <x:c r="P651" s="167" t="str">
        <x:v>https://www.oxfordlearnersdictionaries.com/wordlists/oxford3000-5000</x:v>
      </x:c>
    </x:row>
    <x:row r="652" ht="26" customHeight="1">
      <x:c r="A652" s="167" t="n">
        <x:v>651</x:v>
      </x:c>
      <x:c r="B652" s="167" t="str">
        <x:v>intent</x:v>
      </x:c>
      <x:c r="C652" s="167" t="str">
        <x:v>n.</x:v>
      </x:c>
      <x:c r="D652" s="170" t="str">
        <x:v>намір</x:v>
      </x:c>
      <x:c r="E652" s="167" t="str">
        <x:v>No</x:v>
      </x:c>
      <x:c r="F652" s="167"/>
      <x:c r="G652" s="167" t="str">
        <x:v>Core</x:v>
      </x:c>
      <x:c r="H652" s="167" t="str">
        <x:v>General</x:v>
      </x:c>
      <x:c r="I652" s="167" t="str">
        <x:v>Not Started</x:v>
      </x:c>
      <x:c r="J652" s="167" t="n">
        <x:v>0</x:v>
      </x:c>
      <x:c r="K652" s="168"/>
      <x:c r="L652" s="168" t="str">
        <x:f>IF(OR(I652="Mastered",K652=""),"",K652+IF(J652&gt;=5,30,IF(J652=4,14,IF(J652=3,7,IF(J652=2,3,1)))))</x:f>
      </x:c>
      <x:c r="M652" s="171" t="str"/>
      <x:c r="N652" s="171" t="str"/>
      <x:c r="O652" s="171" t="str">
        <x:v>Draft — verify in context</x:v>
      </x:c>
      <x:c r="P652" s="167" t="str">
        <x:v>https://www.oxfordlearnersdictionaries.com/wordlists/oxford3000-5000</x:v>
      </x:c>
    </x:row>
    <x:row r="653" ht="26" customHeight="1">
      <x:c r="A653" s="167" t="n">
        <x:v>652</x:v>
      </x:c>
      <x:c r="B653" s="167" t="str">
        <x:v>interactive</x:v>
      </x:c>
      <x:c r="C653" s="167" t="str">
        <x:v>adj.</x:v>
      </x:c>
      <x:c r="D653" s="170" t="str">
        <x:v>інтерактивний</x:v>
      </x:c>
      <x:c r="E653" s="167" t="str">
        <x:v>No</x:v>
      </x:c>
      <x:c r="F653" s="167"/>
      <x:c r="G653" s="167" t="str">
        <x:v>Core</x:v>
      </x:c>
      <x:c r="H653" s="167" t="str">
        <x:v>General</x:v>
      </x:c>
      <x:c r="I653" s="167" t="str">
        <x:v>Not Started</x:v>
      </x:c>
      <x:c r="J653" s="167" t="n">
        <x:v>0</x:v>
      </x:c>
      <x:c r="K653" s="168"/>
      <x:c r="L653" s="168" t="str">
        <x:f>IF(OR(I653="Mastered",K653=""),"",K653+IF(J653&gt;=5,30,IF(J653=4,14,IF(J653=3,7,IF(J653=2,3,1)))))</x:f>
      </x:c>
      <x:c r="M653" s="171" t="str"/>
      <x:c r="N653" s="171" t="str"/>
      <x:c r="O653" s="171" t="str">
        <x:v>Draft — verify in context</x:v>
      </x:c>
      <x:c r="P653" s="167" t="str">
        <x:v>https://www.oxfordlearnersdictionaries.com/wordlists/oxford3000-5000</x:v>
      </x:c>
    </x:row>
    <x:row r="654" ht="26" customHeight="1">
      <x:c r="A654" s="167" t="n">
        <x:v>653</x:v>
      </x:c>
      <x:c r="B654" s="167" t="str">
        <x:v>interface</x:v>
      </x:c>
      <x:c r="C654" s="167" t="str">
        <x:v>n.</x:v>
      </x:c>
      <x:c r="D654" s="170" t="str">
        <x:v>інтерфейс</x:v>
      </x:c>
      <x:c r="E654" s="167" t="str">
        <x:v>No</x:v>
      </x:c>
      <x:c r="F654" s="167"/>
      <x:c r="G654" s="167" t="str">
        <x:v>High</x:v>
      </x:c>
      <x:c r="H654" s="167" t="str">
        <x:v>Technology</x:v>
      </x:c>
      <x:c r="I654" s="167" t="str">
        <x:v>Not Started</x:v>
      </x:c>
      <x:c r="J654" s="167" t="n">
        <x:v>0</x:v>
      </x:c>
      <x:c r="K654" s="168"/>
      <x:c r="L654" s="168" t="str">
        <x:f>IF(OR(I654="Mastered",K654=""),"",K654+IF(J654&gt;=5,30,IF(J654=4,14,IF(J654=3,7,IF(J654=2,3,1)))))</x:f>
      </x:c>
      <x:c r="M654" s="171" t="str"/>
      <x:c r="N654" s="171" t="str"/>
      <x:c r="O654" s="171" t="str">
        <x:v>Draft — verify in context</x:v>
      </x:c>
      <x:c r="P654" s="167" t="str">
        <x:v>https://www.oxfordlearnersdictionaries.com/wordlists/oxford3000-5000</x:v>
      </x:c>
    </x:row>
    <x:row r="655" ht="26" customHeight="1">
      <x:c r="A655" s="167" t="n">
        <x:v>654</x:v>
      </x:c>
      <x:c r="B655" s="167" t="str">
        <x:v>interfere</x:v>
      </x:c>
      <x:c r="C655" s="167" t="str">
        <x:v>v.</x:v>
      </x:c>
      <x:c r="D655" s="170" t="str">
        <x:v>заважати</x:v>
      </x:c>
      <x:c r="E655" s="167" t="str">
        <x:v>No</x:v>
      </x:c>
      <x:c r="F655" s="167"/>
      <x:c r="G655" s="167" t="str">
        <x:v>Core</x:v>
      </x:c>
      <x:c r="H655" s="167" t="str">
        <x:v>General</x:v>
      </x:c>
      <x:c r="I655" s="167" t="str">
        <x:v>Not Started</x:v>
      </x:c>
      <x:c r="J655" s="167" t="n">
        <x:v>0</x:v>
      </x:c>
      <x:c r="K655" s="168"/>
      <x:c r="L655" s="168" t="str">
        <x:f>IF(OR(I655="Mastered",K655=""),"",K655+IF(J655&gt;=5,30,IF(J655=4,14,IF(J655=3,7,IF(J655=2,3,1)))))</x:f>
      </x:c>
      <x:c r="M655" s="171" t="str"/>
      <x:c r="N655" s="171" t="str"/>
      <x:c r="O655" s="171" t="str">
        <x:v>Draft — verify in context</x:v>
      </x:c>
      <x:c r="P655" s="167" t="str">
        <x:v>https://www.oxfordlearnersdictionaries.com/wordlists/oxford3000-5000</x:v>
      </x:c>
    </x:row>
    <x:row r="656" ht="26" customHeight="1">
      <x:c r="A656" s="167" t="n">
        <x:v>655</x:v>
      </x:c>
      <x:c r="B656" s="167" t="str">
        <x:v>interference</x:v>
      </x:c>
      <x:c r="C656" s="167" t="str">
        <x:v>n.</x:v>
      </x:c>
      <x:c r="D656" s="170" t="str">
        <x:v>інтерференція</x:v>
      </x:c>
      <x:c r="E656" s="167" t="str">
        <x:v>No</x:v>
      </x:c>
      <x:c r="F656" s="167"/>
      <x:c r="G656" s="167" t="str">
        <x:v>Core</x:v>
      </x:c>
      <x:c r="H656" s="167" t="str">
        <x:v>General</x:v>
      </x:c>
      <x:c r="I656" s="167" t="str">
        <x:v>Not Started</x:v>
      </x:c>
      <x:c r="J656" s="167" t="n">
        <x:v>0</x:v>
      </x:c>
      <x:c r="K656" s="168"/>
      <x:c r="L656" s="168" t="str">
        <x:f>IF(OR(I656="Mastered",K656=""),"",K656+IF(J656&gt;=5,30,IF(J656=4,14,IF(J656=3,7,IF(J656=2,3,1)))))</x:f>
      </x:c>
      <x:c r="M656" s="171" t="str"/>
      <x:c r="N656" s="171" t="str"/>
      <x:c r="O656" s="171" t="str">
        <x:v>Draft — verify in context</x:v>
      </x:c>
      <x:c r="P656" s="167" t="str">
        <x:v>https://www.oxfordlearnersdictionaries.com/wordlists/oxford3000-5000</x:v>
      </x:c>
    </x:row>
    <x:row r="657" ht="26" customHeight="1">
      <x:c r="A657" s="167" t="n">
        <x:v>656</x:v>
      </x:c>
      <x:c r="B657" s="167" t="str">
        <x:v>interim</x:v>
      </x:c>
      <x:c r="C657" s="167" t="str">
        <x:v>adj.</x:v>
      </x:c>
      <x:c r="D657" s="170" t="str">
        <x:v>тимчасовий</x:v>
      </x:c>
      <x:c r="E657" s="167" t="str">
        <x:v>No</x:v>
      </x:c>
      <x:c r="F657" s="167"/>
      <x:c r="G657" s="167" t="str">
        <x:v>Core</x:v>
      </x:c>
      <x:c r="H657" s="167" t="str">
        <x:v>General</x:v>
      </x:c>
      <x:c r="I657" s="167" t="str">
        <x:v>Not Started</x:v>
      </x:c>
      <x:c r="J657" s="167" t="n">
        <x:v>0</x:v>
      </x:c>
      <x:c r="K657" s="168"/>
      <x:c r="L657" s="168" t="str">
        <x:f>IF(OR(I657="Mastered",K657=""),"",K657+IF(J657&gt;=5,30,IF(J657=4,14,IF(J657=3,7,IF(J657=2,3,1)))))</x:f>
      </x:c>
      <x:c r="M657" s="171" t="str"/>
      <x:c r="N657" s="171" t="str"/>
      <x:c r="O657" s="171" t="str">
        <x:v>Draft — verify in context</x:v>
      </x:c>
      <x:c r="P657" s="167" t="str">
        <x:v>https://www.oxfordlearnersdictionaries.com/wordlists/oxford3000-5000</x:v>
      </x:c>
    </x:row>
    <x:row r="658" ht="26" customHeight="1">
      <x:c r="A658" s="167" t="n">
        <x:v>657</x:v>
      </x:c>
      <x:c r="B658" s="167" t="str">
        <x:v>interior</x:v>
      </x:c>
      <x:c r="C658" s="167" t="str">
        <x:v>adj., n.</x:v>
      </x:c>
      <x:c r="D658" s="170" t="str">
        <x:v>інтер'єр</x:v>
      </x:c>
      <x:c r="E658" s="167" t="str">
        <x:v>No</x:v>
      </x:c>
      <x:c r="F658" s="167"/>
      <x:c r="G658" s="167" t="str">
        <x:v>Core</x:v>
      </x:c>
      <x:c r="H658" s="167" t="str">
        <x:v>General</x:v>
      </x:c>
      <x:c r="I658" s="167" t="str">
        <x:v>Not Started</x:v>
      </x:c>
      <x:c r="J658" s="167" t="n">
        <x:v>0</x:v>
      </x:c>
      <x:c r="K658" s="168"/>
      <x:c r="L658" s="168" t="str">
        <x:f>IF(OR(I658="Mastered",K658=""),"",K658+IF(J658&gt;=5,30,IF(J658=4,14,IF(J658=3,7,IF(J658=2,3,1)))))</x:f>
      </x:c>
      <x:c r="M658" s="171" t="str"/>
      <x:c r="N658" s="171" t="str"/>
      <x:c r="O658" s="171" t="str">
        <x:v>Draft — verify in context</x:v>
      </x:c>
      <x:c r="P658" s="167" t="str">
        <x:v>https://www.oxfordlearnersdictionaries.com/wordlists/oxford3000-5000</x:v>
      </x:c>
    </x:row>
    <x:row r="659" ht="26" customHeight="1">
      <x:c r="A659" s="167" t="n">
        <x:v>658</x:v>
      </x:c>
      <x:c r="B659" s="167" t="str">
        <x:v>intermediate</x:v>
      </x:c>
      <x:c r="C659" s="167" t="str">
        <x:v>adj.</x:v>
      </x:c>
      <x:c r="D659" s="170" t="str">
        <x:v>проміжний</x:v>
      </x:c>
      <x:c r="E659" s="167" t="str">
        <x:v>Yes</x:v>
      </x:c>
      <x:c r="F659" s="167" t="n">
        <x:v>9</x:v>
      </x:c>
      <x:c r="G659" s="167" t="str">
        <x:v>High</x:v>
      </x:c>
      <x:c r="H659" s="167" t="str">
        <x:v>General</x:v>
      </x:c>
      <x:c r="I659" s="167" t="str">
        <x:v>Not Started</x:v>
      </x:c>
      <x:c r="J659" s="167" t="n">
        <x:v>0</x:v>
      </x:c>
      <x:c r="K659" s="168"/>
      <x:c r="L659" s="168" t="str">
        <x:f>IF(OR(I659="Mastered",K659=""),"",K659+IF(J659&gt;=5,30,IF(J659=4,14,IF(J659=3,7,IF(J659=2,3,1)))))</x:f>
      </x:c>
      <x:c r="M659" s="171" t="str"/>
      <x:c r="N659" s="171" t="str"/>
      <x:c r="O659" s="171" t="str">
        <x:v>Draft — verify in context</x:v>
      </x:c>
      <x:c r="P659" s="167" t="str">
        <x:v>https://www.oxfordlearnersdictionaries.com/wordlists/oxford3000-5000</x:v>
      </x:c>
    </x:row>
    <x:row r="660" ht="26" customHeight="1">
      <x:c r="A660" s="167" t="n">
        <x:v>659</x:v>
      </x:c>
      <x:c r="B660" s="167" t="str">
        <x:v>intervene</x:v>
      </x:c>
      <x:c r="C660" s="167" t="str">
        <x:v>v.</x:v>
      </x:c>
      <x:c r="D660" s="170" t="str">
        <x:v>втручатися</x:v>
      </x:c>
      <x:c r="E660" s="167" t="str">
        <x:v>No</x:v>
      </x:c>
      <x:c r="F660" s="167"/>
      <x:c r="G660" s="167" t="str">
        <x:v>Core</x:v>
      </x:c>
      <x:c r="H660" s="167" t="str">
        <x:v>General</x:v>
      </x:c>
      <x:c r="I660" s="167" t="str">
        <x:v>Not Started</x:v>
      </x:c>
      <x:c r="J660" s="167" t="n">
        <x:v>0</x:v>
      </x:c>
      <x:c r="K660" s="168"/>
      <x:c r="L660" s="168" t="str">
        <x:f>IF(OR(I660="Mastered",K660=""),"",K660+IF(J660&gt;=5,30,IF(J660=4,14,IF(J660=3,7,IF(J660=2,3,1)))))</x:f>
      </x:c>
      <x:c r="M660" s="171" t="str"/>
      <x:c r="N660" s="171" t="str"/>
      <x:c r="O660" s="171" t="str">
        <x:v>Draft — verify in context</x:v>
      </x:c>
      <x:c r="P660" s="167" t="str">
        <x:v>https://www.oxfordlearnersdictionaries.com/wordlists/oxford3000-5000</x:v>
      </x:c>
    </x:row>
    <x:row r="661" ht="26" customHeight="1">
      <x:c r="A661" s="167" t="n">
        <x:v>660</x:v>
      </x:c>
      <x:c r="B661" s="167" t="str">
        <x:v>intervention</x:v>
      </x:c>
      <x:c r="C661" s="167" t="str">
        <x:v>n.</x:v>
      </x:c>
      <x:c r="D661" s="170" t="str">
        <x:v>втручання</x:v>
      </x:c>
      <x:c r="E661" s="167" t="str">
        <x:v>Yes</x:v>
      </x:c>
      <x:c r="F661" s="167" t="n">
        <x:v>7</x:v>
      </x:c>
      <x:c r="G661" s="167" t="str">
        <x:v>High</x:v>
      </x:c>
      <x:c r="H661" s="167" t="str">
        <x:v>General</x:v>
      </x:c>
      <x:c r="I661" s="167" t="str">
        <x:v>Not Started</x:v>
      </x:c>
      <x:c r="J661" s="167" t="n">
        <x:v>0</x:v>
      </x:c>
      <x:c r="K661" s="168"/>
      <x:c r="L661" s="168" t="str">
        <x:f>IF(OR(I661="Mastered",K661=""),"",K661+IF(J661&gt;=5,30,IF(J661=4,14,IF(J661=3,7,IF(J661=2,3,1)))))</x:f>
      </x:c>
      <x:c r="M661" s="171" t="str"/>
      <x:c r="N661" s="171" t="str"/>
      <x:c r="O661" s="171" t="str">
        <x:v>Draft — verify in context</x:v>
      </x:c>
      <x:c r="P661" s="167" t="str">
        <x:v>https://www.oxfordlearnersdictionaries.com/wordlists/oxford3000-5000</x:v>
      </x:c>
    </x:row>
    <x:row r="662" ht="26" customHeight="1">
      <x:c r="A662" s="167" t="n">
        <x:v>661</x:v>
      </x:c>
      <x:c r="B662" s="167" t="str">
        <x:v>intimate</x:v>
      </x:c>
      <x:c r="C662" s="167" t="str">
        <x:v>adj.</x:v>
      </x:c>
      <x:c r="D662" s="170" t="str">
        <x:v>інтимний</x:v>
      </x:c>
      <x:c r="E662" s="167" t="str">
        <x:v>No</x:v>
      </x:c>
      <x:c r="F662" s="167"/>
      <x:c r="G662" s="167" t="str">
        <x:v>Core</x:v>
      </x:c>
      <x:c r="H662" s="167" t="str">
        <x:v>General</x:v>
      </x:c>
      <x:c r="I662" s="167" t="str">
        <x:v>Not Started</x:v>
      </x:c>
      <x:c r="J662" s="167" t="n">
        <x:v>0</x:v>
      </x:c>
      <x:c r="K662" s="168"/>
      <x:c r="L662" s="168" t="str">
        <x:f>IF(OR(I662="Mastered",K662=""),"",K662+IF(J662&gt;=5,30,IF(J662=4,14,IF(J662=3,7,IF(J662=2,3,1)))))</x:f>
      </x:c>
      <x:c r="M662" s="171" t="str"/>
      <x:c r="N662" s="171" t="str"/>
      <x:c r="O662" s="171" t="str">
        <x:v>Draft — verify in context</x:v>
      </x:c>
      <x:c r="P662" s="167" t="str">
        <x:v>https://www.oxfordlearnersdictionaries.com/wordlists/oxford3000-5000</x:v>
      </x:c>
    </x:row>
    <x:row r="663" ht="26" customHeight="1">
      <x:c r="A663" s="167" t="n">
        <x:v>662</x:v>
      </x:c>
      <x:c r="B663" s="167" t="str">
        <x:v>intriguing</x:v>
      </x:c>
      <x:c r="C663" s="167" t="str">
        <x:v>adj.</x:v>
      </x:c>
      <x:c r="D663" s="170" t="str">
        <x:v>інтригуючий</x:v>
      </x:c>
      <x:c r="E663" s="167" t="str">
        <x:v>No</x:v>
      </x:c>
      <x:c r="F663" s="167"/>
      <x:c r="G663" s="167" t="str">
        <x:v>Core</x:v>
      </x:c>
      <x:c r="H663" s="167" t="str">
        <x:v>General</x:v>
      </x:c>
      <x:c r="I663" s="167" t="str">
        <x:v>Not Started</x:v>
      </x:c>
      <x:c r="J663" s="167" t="n">
        <x:v>0</x:v>
      </x:c>
      <x:c r="K663" s="168"/>
      <x:c r="L663" s="168" t="str">
        <x:f>IF(OR(I663="Mastered",K663=""),"",K663+IF(J663&gt;=5,30,IF(J663=4,14,IF(J663=3,7,IF(J663=2,3,1)))))</x:f>
      </x:c>
      <x:c r="M663" s="171" t="str"/>
      <x:c r="N663" s="171" t="str"/>
      <x:c r="O663" s="171" t="str">
        <x:v>Draft — verify in context</x:v>
      </x:c>
      <x:c r="P663" s="167" t="str">
        <x:v>https://www.oxfordlearnersdictionaries.com/wordlists/oxford3000-5000</x:v>
      </x:c>
    </x:row>
    <x:row r="664" ht="26" customHeight="1">
      <x:c r="A664" s="167" t="n">
        <x:v>663</x:v>
      </x:c>
      <x:c r="B664" s="167" t="str">
        <x:v>investigator</x:v>
      </x:c>
      <x:c r="C664" s="167" t="str">
        <x:v>n.</x:v>
      </x:c>
      <x:c r="D664" s="170" t="str">
        <x:v>слідчий</x:v>
      </x:c>
      <x:c r="E664" s="167" t="str">
        <x:v>No</x:v>
      </x:c>
      <x:c r="F664" s="167"/>
      <x:c r="G664" s="167" t="str">
        <x:v>Core</x:v>
      </x:c>
      <x:c r="H664" s="167" t="str">
        <x:v>General</x:v>
      </x:c>
      <x:c r="I664" s="167" t="str">
        <x:v>Not Started</x:v>
      </x:c>
      <x:c r="J664" s="167" t="n">
        <x:v>0</x:v>
      </x:c>
      <x:c r="K664" s="168"/>
      <x:c r="L664" s="168" t="str">
        <x:f>IF(OR(I664="Mastered",K664=""),"",K664+IF(J664&gt;=5,30,IF(J664=4,14,IF(J664=3,7,IF(J664=2,3,1)))))</x:f>
      </x:c>
      <x:c r="M664" s="171" t="str"/>
      <x:c r="N664" s="171" t="str"/>
      <x:c r="O664" s="171" t="str">
        <x:v>Draft — verify in context</x:v>
      </x:c>
      <x:c r="P664" s="167" t="str">
        <x:v>https://www.oxfordlearnersdictionaries.com/wordlists/oxford3000-5000</x:v>
      </x:c>
    </x:row>
    <x:row r="665" ht="26" customHeight="1">
      <x:c r="A665" s="167" t="n">
        <x:v>664</x:v>
      </x:c>
      <x:c r="B665" s="167" t="str">
        <x:v>invisible</x:v>
      </x:c>
      <x:c r="C665" s="167" t="str">
        <x:v>adj.</x:v>
      </x:c>
      <x:c r="D665" s="170" t="str">
        <x:v>невидимий</x:v>
      </x:c>
      <x:c r="E665" s="167" t="str">
        <x:v>No</x:v>
      </x:c>
      <x:c r="F665" s="167"/>
      <x:c r="G665" s="167" t="str">
        <x:v>Core</x:v>
      </x:c>
      <x:c r="H665" s="167" t="str">
        <x:v>General</x:v>
      </x:c>
      <x:c r="I665" s="167" t="str">
        <x:v>Not Started</x:v>
      </x:c>
      <x:c r="J665" s="167" t="n">
        <x:v>0</x:v>
      </x:c>
      <x:c r="K665" s="168"/>
      <x:c r="L665" s="168" t="str">
        <x:f>IF(OR(I665="Mastered",K665=""),"",K665+IF(J665&gt;=5,30,IF(J665=4,14,IF(J665=3,7,IF(J665=2,3,1)))))</x:f>
      </x:c>
      <x:c r="M665" s="171" t="str"/>
      <x:c r="N665" s="171" t="str"/>
      <x:c r="O665" s="171" t="str">
        <x:v>Draft — verify in context</x:v>
      </x:c>
      <x:c r="P665" s="167" t="str">
        <x:v>https://www.oxfordlearnersdictionaries.com/wordlists/oxford3000-5000</x:v>
      </x:c>
    </x:row>
    <x:row r="666" ht="26" customHeight="1">
      <x:c r="A666" s="167" t="n">
        <x:v>665</x:v>
      </x:c>
      <x:c r="B666" s="167" t="str">
        <x:v>invoke</x:v>
      </x:c>
      <x:c r="C666" s="167" t="str">
        <x:v>v.</x:v>
      </x:c>
      <x:c r="D666" s="170" t="str">
        <x:v>викликати</x:v>
      </x:c>
      <x:c r="E666" s="167" t="str">
        <x:v>No</x:v>
      </x:c>
      <x:c r="F666" s="167"/>
      <x:c r="G666" s="167" t="str">
        <x:v>Core</x:v>
      </x:c>
      <x:c r="H666" s="167" t="str">
        <x:v>General</x:v>
      </x:c>
      <x:c r="I666" s="167" t="str">
        <x:v>Not Started</x:v>
      </x:c>
      <x:c r="J666" s="167" t="n">
        <x:v>0</x:v>
      </x:c>
      <x:c r="K666" s="168"/>
      <x:c r="L666" s="168" t="str">
        <x:f>IF(OR(I666="Mastered",K666=""),"",K666+IF(J666&gt;=5,30,IF(J666=4,14,IF(J666=3,7,IF(J666=2,3,1)))))</x:f>
      </x:c>
      <x:c r="M666" s="171" t="str"/>
      <x:c r="N666" s="171" t="str"/>
      <x:c r="O666" s="171" t="str">
        <x:v>Draft — verify in context</x:v>
      </x:c>
      <x:c r="P666" s="167" t="str">
        <x:v>https://www.oxfordlearnersdictionaries.com/wordlists/oxford3000-5000</x:v>
      </x:c>
    </x:row>
    <x:row r="667" ht="26" customHeight="1">
      <x:c r="A667" s="167" t="n">
        <x:v>666</x:v>
      </x:c>
      <x:c r="B667" s="167" t="str">
        <x:v>involvement</x:v>
      </x:c>
      <x:c r="C667" s="167" t="str">
        <x:v>n.</x:v>
      </x:c>
      <x:c r="D667" s="170" t="str">
        <x:v>участь</x:v>
      </x:c>
      <x:c r="E667" s="167" t="str">
        <x:v>No</x:v>
      </x:c>
      <x:c r="F667" s="167"/>
      <x:c r="G667" s="167" t="str">
        <x:v>Core</x:v>
      </x:c>
      <x:c r="H667" s="167" t="str">
        <x:v>General</x:v>
      </x:c>
      <x:c r="I667" s="167" t="str">
        <x:v>Not Started</x:v>
      </x:c>
      <x:c r="J667" s="167" t="n">
        <x:v>0</x:v>
      </x:c>
      <x:c r="K667" s="168"/>
      <x:c r="L667" s="168" t="str">
        <x:f>IF(OR(I667="Mastered",K667=""),"",K667+IF(J667&gt;=5,30,IF(J667=4,14,IF(J667=3,7,IF(J667=2,3,1)))))</x:f>
      </x:c>
      <x:c r="M667" s="171" t="str"/>
      <x:c r="N667" s="171" t="str"/>
      <x:c r="O667" s="171" t="str">
        <x:v>Draft — verify in context</x:v>
      </x:c>
      <x:c r="P667" s="167" t="str">
        <x:v>https://www.oxfordlearnersdictionaries.com/wordlists/oxford3000-5000</x:v>
      </x:c>
    </x:row>
    <x:row r="668" ht="26" customHeight="1">
      <x:c r="A668" s="167" t="n">
        <x:v>667</x:v>
      </x:c>
      <x:c r="B668" s="167" t="str">
        <x:v>ironic</x:v>
      </x:c>
      <x:c r="C668" s="167" t="str">
        <x:v>adj.</x:v>
      </x:c>
      <x:c r="D668" s="170" t="str">
        <x:v>іронічний</x:v>
      </x:c>
      <x:c r="E668" s="167" t="str">
        <x:v>No</x:v>
      </x:c>
      <x:c r="F668" s="167"/>
      <x:c r="G668" s="167" t="str">
        <x:v>Core</x:v>
      </x:c>
      <x:c r="H668" s="167" t="str">
        <x:v>General</x:v>
      </x:c>
      <x:c r="I668" s="167" t="str">
        <x:v>Not Started</x:v>
      </x:c>
      <x:c r="J668" s="167" t="n">
        <x:v>0</x:v>
      </x:c>
      <x:c r="K668" s="168"/>
      <x:c r="L668" s="168" t="str">
        <x:f>IF(OR(I668="Mastered",K668=""),"",K668+IF(J668&gt;=5,30,IF(J668=4,14,IF(J668=3,7,IF(J668=2,3,1)))))</x:f>
      </x:c>
      <x:c r="M668" s="171" t="str"/>
      <x:c r="N668" s="171" t="str"/>
      <x:c r="O668" s="171" t="str">
        <x:v>Draft — verify in context</x:v>
      </x:c>
      <x:c r="P668" s="167" t="str">
        <x:v>https://www.oxfordlearnersdictionaries.com/wordlists/oxford3000-5000</x:v>
      </x:c>
    </x:row>
    <x:row r="669" ht="26" customHeight="1">
      <x:c r="A669" s="167" t="n">
        <x:v>668</x:v>
      </x:c>
      <x:c r="B669" s="167" t="str">
        <x:v>ironically</x:v>
      </x:c>
      <x:c r="C669" s="167" t="str">
        <x:v>adv.</x:v>
      </x:c>
      <x:c r="D669" s="170" t="str">
        <x:v>іронічно</x:v>
      </x:c>
      <x:c r="E669" s="167" t="str">
        <x:v>No</x:v>
      </x:c>
      <x:c r="F669" s="167"/>
      <x:c r="G669" s="167" t="str">
        <x:v>Core</x:v>
      </x:c>
      <x:c r="H669" s="167" t="str">
        <x:v>General</x:v>
      </x:c>
      <x:c r="I669" s="167" t="str">
        <x:v>Not Started</x:v>
      </x:c>
      <x:c r="J669" s="167" t="n">
        <x:v>0</x:v>
      </x:c>
      <x:c r="K669" s="168"/>
      <x:c r="L669" s="168" t="str">
        <x:f>IF(OR(I669="Mastered",K669=""),"",K669+IF(J669&gt;=5,30,IF(J669=4,14,IF(J669=3,7,IF(J669=2,3,1)))))</x:f>
      </x:c>
      <x:c r="M669" s="171" t="str"/>
      <x:c r="N669" s="171" t="str"/>
      <x:c r="O669" s="171" t="str">
        <x:v>Draft — verify in context</x:v>
      </x:c>
      <x:c r="P669" s="167" t="str">
        <x:v>https://www.oxfordlearnersdictionaries.com/wordlists/oxford3000-5000</x:v>
      </x:c>
    </x:row>
    <x:row r="670" ht="26" customHeight="1">
      <x:c r="A670" s="167" t="n">
        <x:v>669</x:v>
      </x:c>
      <x:c r="B670" s="167" t="str">
        <x:v>irony</x:v>
      </x:c>
      <x:c r="C670" s="167" t="str">
        <x:v>n.</x:v>
      </x:c>
      <x:c r="D670" s="170" t="str">
        <x:v>іронія</x:v>
      </x:c>
      <x:c r="E670" s="167" t="str">
        <x:v>No</x:v>
      </x:c>
      <x:c r="F670" s="167"/>
      <x:c r="G670" s="167" t="str">
        <x:v>Core</x:v>
      </x:c>
      <x:c r="H670" s="167" t="str">
        <x:v>General</x:v>
      </x:c>
      <x:c r="I670" s="167" t="str">
        <x:v>Not Started</x:v>
      </x:c>
      <x:c r="J670" s="167" t="n">
        <x:v>0</x:v>
      </x:c>
      <x:c r="K670" s="168"/>
      <x:c r="L670" s="168" t="str">
        <x:f>IF(OR(I670="Mastered",K670=""),"",K670+IF(J670&gt;=5,30,IF(J670=4,14,IF(J670=3,7,IF(J670=2,3,1)))))</x:f>
      </x:c>
      <x:c r="M670" s="171" t="str"/>
      <x:c r="N670" s="171" t="str"/>
      <x:c r="O670" s="171" t="str">
        <x:v>Draft — verify in context</x:v>
      </x:c>
      <x:c r="P670" s="167" t="str">
        <x:v>https://www.oxfordlearnersdictionaries.com/wordlists/oxford3000-5000</x:v>
      </x:c>
    </x:row>
    <x:row r="671" ht="26" customHeight="1">
      <x:c r="A671" s="167" t="n">
        <x:v>670</x:v>
      </x:c>
      <x:c r="B671" s="167" t="str">
        <x:v>irrelevant</x:v>
      </x:c>
      <x:c r="C671" s="167" t="str">
        <x:v>adj.</x:v>
      </x:c>
      <x:c r="D671" s="170" t="str">
        <x:v>невідповідний</x:v>
      </x:c>
      <x:c r="E671" s="167" t="str">
        <x:v>No</x:v>
      </x:c>
      <x:c r="F671" s="167"/>
      <x:c r="G671" s="167" t="str">
        <x:v>Core</x:v>
      </x:c>
      <x:c r="H671" s="167" t="str">
        <x:v>General</x:v>
      </x:c>
      <x:c r="I671" s="167" t="str">
        <x:v>Not Started</x:v>
      </x:c>
      <x:c r="J671" s="167" t="n">
        <x:v>0</x:v>
      </x:c>
      <x:c r="K671" s="168"/>
      <x:c r="L671" s="168" t="str">
        <x:f>IF(OR(I671="Mastered",K671=""),"",K671+IF(J671&gt;=5,30,IF(J671=4,14,IF(J671=3,7,IF(J671=2,3,1)))))</x:f>
      </x:c>
      <x:c r="M671" s="171" t="str"/>
      <x:c r="N671" s="171" t="str"/>
      <x:c r="O671" s="171" t="str">
        <x:v>Draft — verify in context</x:v>
      </x:c>
      <x:c r="P671" s="167" t="str">
        <x:v>https://www.oxfordlearnersdictionaries.com/wordlists/oxford3000-5000</x:v>
      </x:c>
    </x:row>
    <x:row r="672" ht="26" customHeight="1">
      <x:c r="A672" s="167" t="n">
        <x:v>671</x:v>
      </x:c>
      <x:c r="B672" s="167" t="str">
        <x:v>isolation</x:v>
      </x:c>
      <x:c r="C672" s="167" t="str">
        <x:v>n.</x:v>
      </x:c>
      <x:c r="D672" s="170" t="str">
        <x:v>ізоляція</x:v>
      </x:c>
      <x:c r="E672" s="167" t="str">
        <x:v>No</x:v>
      </x:c>
      <x:c r="F672" s="167"/>
      <x:c r="G672" s="167" t="str">
        <x:v>Core</x:v>
      </x:c>
      <x:c r="H672" s="167" t="str">
        <x:v>General</x:v>
      </x:c>
      <x:c r="I672" s="167" t="str">
        <x:v>Not Started</x:v>
      </x:c>
      <x:c r="J672" s="167" t="n">
        <x:v>0</x:v>
      </x:c>
      <x:c r="K672" s="168"/>
      <x:c r="L672" s="168" t="str">
        <x:f>IF(OR(I672="Mastered",K672=""),"",K672+IF(J672&gt;=5,30,IF(J672=4,14,IF(J672=3,7,IF(J672=2,3,1)))))</x:f>
      </x:c>
      <x:c r="M672" s="171" t="str"/>
      <x:c r="N672" s="171" t="str"/>
      <x:c r="O672" s="171" t="str">
        <x:v>Draft — verify in context</x:v>
      </x:c>
      <x:c r="P672" s="167" t="str">
        <x:v>https://www.oxfordlearnersdictionaries.com/wordlists/oxford3000-5000</x:v>
      </x:c>
    </x:row>
    <x:row r="673" ht="26" customHeight="1">
      <x:c r="A673" s="167" t="n">
        <x:v>672</x:v>
      </x:c>
      <x:c r="B673" s="167" t="str">
        <x:v>judicial</x:v>
      </x:c>
      <x:c r="C673" s="167" t="str">
        <x:v>adj.</x:v>
      </x:c>
      <x:c r="D673" s="170" t="str">
        <x:v>судовий</x:v>
      </x:c>
      <x:c r="E673" s="167" t="str">
        <x:v>No</x:v>
      </x:c>
      <x:c r="F673" s="167"/>
      <x:c r="G673" s="167" t="str">
        <x:v>High</x:v>
      </x:c>
      <x:c r="H673" s="167" t="str">
        <x:v>Government &amp; law</x:v>
      </x:c>
      <x:c r="I673" s="167" t="str">
        <x:v>Not Started</x:v>
      </x:c>
      <x:c r="J673" s="167" t="n">
        <x:v>0</x:v>
      </x:c>
      <x:c r="K673" s="168"/>
      <x:c r="L673" s="168" t="str">
        <x:f>IF(OR(I673="Mastered",K673=""),"",K673+IF(J673&gt;=5,30,IF(J673=4,14,IF(J673=3,7,IF(J673=2,3,1)))))</x:f>
      </x:c>
      <x:c r="M673" s="171" t="str"/>
      <x:c r="N673" s="171" t="str"/>
      <x:c r="O673" s="171" t="str">
        <x:v>Draft — verify in context</x:v>
      </x:c>
      <x:c r="P673" s="167" t="str">
        <x:v>https://www.oxfordlearnersdictionaries.com/wordlists/oxford3000-5000</x:v>
      </x:c>
    </x:row>
    <x:row r="674" ht="26" customHeight="1">
      <x:c r="A674" s="167" t="n">
        <x:v>673</x:v>
      </x:c>
      <x:c r="B674" s="167" t="str">
        <x:v>junction</x:v>
      </x:c>
      <x:c r="C674" s="167" t="str">
        <x:v>n.</x:v>
      </x:c>
      <x:c r="D674" s="170" t="str">
        <x:v>перетин</x:v>
      </x:c>
      <x:c r="E674" s="167" t="str">
        <x:v>No</x:v>
      </x:c>
      <x:c r="F674" s="167"/>
      <x:c r="G674" s="167" t="str">
        <x:v>Core</x:v>
      </x:c>
      <x:c r="H674" s="167" t="str">
        <x:v>General</x:v>
      </x:c>
      <x:c r="I674" s="167" t="str">
        <x:v>Not Started</x:v>
      </x:c>
      <x:c r="J674" s="167" t="n">
        <x:v>0</x:v>
      </x:c>
      <x:c r="K674" s="168"/>
      <x:c r="L674" s="168" t="str">
        <x:f>IF(OR(I674="Mastered",K674=""),"",K674+IF(J674&gt;=5,30,IF(J674=4,14,IF(J674=3,7,IF(J674=2,3,1)))))</x:f>
      </x:c>
      <x:c r="M674" s="171" t="str"/>
      <x:c r="N674" s="171" t="str"/>
      <x:c r="O674" s="171" t="str">
        <x:v>Draft — verify in context</x:v>
      </x:c>
      <x:c r="P674" s="167" t="str">
        <x:v>https://www.oxfordlearnersdictionaries.com/wordlists/oxford3000-5000</x:v>
      </x:c>
    </x:row>
    <x:row r="675" ht="26" customHeight="1">
      <x:c r="A675" s="167" t="n">
        <x:v>674</x:v>
      </x:c>
      <x:c r="B675" s="167" t="str">
        <x:v>jurisdiction</x:v>
      </x:c>
      <x:c r="C675" s="167" t="str">
        <x:v>n.</x:v>
      </x:c>
      <x:c r="D675" s="170" t="str">
        <x:v>юрисдикція</x:v>
      </x:c>
      <x:c r="E675" s="167" t="str">
        <x:v>No</x:v>
      </x:c>
      <x:c r="F675" s="167"/>
      <x:c r="G675" s="167" t="str">
        <x:v>High</x:v>
      </x:c>
      <x:c r="H675" s="167" t="str">
        <x:v>Government &amp; law</x:v>
      </x:c>
      <x:c r="I675" s="167" t="str">
        <x:v>Not Started</x:v>
      </x:c>
      <x:c r="J675" s="167" t="n">
        <x:v>0</x:v>
      </x:c>
      <x:c r="K675" s="168"/>
      <x:c r="L675" s="168" t="str">
        <x:f>IF(OR(I675="Mastered",K675=""),"",K675+IF(J675&gt;=5,30,IF(J675=4,14,IF(J675=3,7,IF(J675=2,3,1)))))</x:f>
      </x:c>
      <x:c r="M675" s="171" t="str"/>
      <x:c r="N675" s="171" t="str"/>
      <x:c r="O675" s="171" t="str">
        <x:v>Draft — verify in context</x:v>
      </x:c>
      <x:c r="P675" s="167" t="str">
        <x:v>https://www.oxfordlearnersdictionaries.com/wordlists/oxford3000-5000</x:v>
      </x:c>
    </x:row>
    <x:row r="676" ht="26" customHeight="1">
      <x:c r="A676" s="167" t="n">
        <x:v>675</x:v>
      </x:c>
      <x:c r="B676" s="167" t="str">
        <x:v>just</x:v>
      </x:c>
      <x:c r="C676" s="167" t="str">
        <x:v>adj.</x:v>
      </x:c>
      <x:c r="D676" s="170" t="str">
        <x:v>справедливий; правомірний</x:v>
      </x:c>
      <x:c r="E676" s="167" t="str">
        <x:v>No</x:v>
      </x:c>
      <x:c r="F676" s="167"/>
      <x:c r="G676" s="167" t="str">
        <x:v>Core</x:v>
      </x:c>
      <x:c r="H676" s="167" t="str">
        <x:v>General</x:v>
      </x:c>
      <x:c r="I676" s="167" t="str">
        <x:v>Not Started</x:v>
      </x:c>
      <x:c r="J676" s="167" t="n">
        <x:v>0</x:v>
      </x:c>
      <x:c r="K676" s="168"/>
      <x:c r="L676" s="168" t="str">
        <x:f>IF(OR(I676="Mastered",K676=""),"",K676+IF(J676&gt;=5,30,IF(J676=4,14,IF(J676=3,7,IF(J676=2,3,1)))))</x:f>
      </x:c>
      <x:c r="M676" s="171" t="str"/>
      <x:c r="N676" s="171" t="str"/>
      <x:c r="O676" s="171" t="str">
        <x:v>Draft — verify in context</x:v>
      </x:c>
      <x:c r="P676" s="167" t="str">
        <x:v>https://www.oxfordlearnersdictionaries.com/wordlists/oxford3000-5000</x:v>
      </x:c>
    </x:row>
    <x:row r="677" ht="26" customHeight="1">
      <x:c r="A677" s="167" t="n">
        <x:v>676</x:v>
      </x:c>
      <x:c r="B677" s="167" t="str">
        <x:v>justification</x:v>
      </x:c>
      <x:c r="C677" s="167" t="str">
        <x:v>n.</x:v>
      </x:c>
      <x:c r="D677" s="170" t="str">
        <x:v>виправдання</x:v>
      </x:c>
      <x:c r="E677" s="167" t="str">
        <x:v>Yes</x:v>
      </x:c>
      <x:c r="F677" s="167" t="n">
        <x:v>3</x:v>
      </x:c>
      <x:c r="G677" s="167" t="str">
        <x:v>High</x:v>
      </x:c>
      <x:c r="H677" s="167" t="str">
        <x:v>General</x:v>
      </x:c>
      <x:c r="I677" s="167" t="str">
        <x:v>Not Started</x:v>
      </x:c>
      <x:c r="J677" s="167" t="n">
        <x:v>0</x:v>
      </x:c>
      <x:c r="K677" s="168"/>
      <x:c r="L677" s="168" t="str">
        <x:f>IF(OR(I677="Mastered",K677=""),"",K677+IF(J677&gt;=5,30,IF(J677=4,14,IF(J677=3,7,IF(J677=2,3,1)))))</x:f>
      </x:c>
      <x:c r="M677" s="171" t="str"/>
      <x:c r="N677" s="171" t="str"/>
      <x:c r="O677" s="171" t="str">
        <x:v>Draft — verify in context</x:v>
      </x:c>
      <x:c r="P677" s="167" t="str">
        <x:v>https://www.oxfordlearnersdictionaries.com/wordlists/oxford3000-5000</x:v>
      </x:c>
    </x:row>
    <x:row r="678" ht="26" customHeight="1">
      <x:c r="A678" s="167" t="n">
        <x:v>677</x:v>
      </x:c>
      <x:c r="B678" s="167" t="str">
        <x:v>kidnap</x:v>
      </x:c>
      <x:c r="C678" s="167" t="str">
        <x:v>v.</x:v>
      </x:c>
      <x:c r="D678" s="170" t="str">
        <x:v>викрадення</x:v>
      </x:c>
      <x:c r="E678" s="167" t="str">
        <x:v>No</x:v>
      </x:c>
      <x:c r="F678" s="167"/>
      <x:c r="G678" s="167" t="str">
        <x:v>Core</x:v>
      </x:c>
      <x:c r="H678" s="167" t="str">
        <x:v>General</x:v>
      </x:c>
      <x:c r="I678" s="167" t="str">
        <x:v>Not Started</x:v>
      </x:c>
      <x:c r="J678" s="167" t="n">
        <x:v>0</x:v>
      </x:c>
      <x:c r="K678" s="168"/>
      <x:c r="L678" s="168" t="str">
        <x:f>IF(OR(I678="Mastered",K678=""),"",K678+IF(J678&gt;=5,30,IF(J678=4,14,IF(J678=3,7,IF(J678=2,3,1)))))</x:f>
      </x:c>
      <x:c r="M678" s="171" t="str"/>
      <x:c r="N678" s="171" t="str"/>
      <x:c r="O678" s="171" t="str">
        <x:v>Draft — verify in context</x:v>
      </x:c>
      <x:c r="P678" s="167" t="str">
        <x:v>https://www.oxfordlearnersdictionaries.com/wordlists/oxford3000-5000</x:v>
      </x:c>
    </x:row>
    <x:row r="679" ht="26" customHeight="1">
      <x:c r="A679" s="167" t="n">
        <x:v>678</x:v>
      </x:c>
      <x:c r="B679" s="167" t="str">
        <x:v>kidney</x:v>
      </x:c>
      <x:c r="C679" s="167" t="str">
        <x:v>n.</x:v>
      </x:c>
      <x:c r="D679" s="170" t="str">
        <x:v>нирка</x:v>
      </x:c>
      <x:c r="E679" s="167" t="str">
        <x:v>No</x:v>
      </x:c>
      <x:c r="F679" s="167"/>
      <x:c r="G679" s="167" t="str">
        <x:v>High</x:v>
      </x:c>
      <x:c r="H679" s="167" t="str">
        <x:v>Health</x:v>
      </x:c>
      <x:c r="I679" s="167" t="str">
        <x:v>Not Started</x:v>
      </x:c>
      <x:c r="J679" s="167" t="n">
        <x:v>0</x:v>
      </x:c>
      <x:c r="K679" s="168"/>
      <x:c r="L679" s="168" t="str">
        <x:f>IF(OR(I679="Mastered",K679=""),"",K679+IF(J679&gt;=5,30,IF(J679=4,14,IF(J679=3,7,IF(J679=2,3,1)))))</x:f>
      </x:c>
      <x:c r="M679" s="171" t="str"/>
      <x:c r="N679" s="171" t="str"/>
      <x:c r="O679" s="171" t="str">
        <x:v>Draft — verify in context</x:v>
      </x:c>
      <x:c r="P679" s="167" t="str">
        <x:v>https://www.oxfordlearnersdictionaries.com/wordlists/oxford3000-5000</x:v>
      </x:c>
    </x:row>
    <x:row r="680" ht="26" customHeight="1">
      <x:c r="A680" s="167" t="n">
        <x:v>679</x:v>
      </x:c>
      <x:c r="B680" s="167" t="str">
        <x:v>kingdom</x:v>
      </x:c>
      <x:c r="C680" s="167" t="str">
        <x:v>n.</x:v>
      </x:c>
      <x:c r="D680" s="170" t="str">
        <x:v>королівство</x:v>
      </x:c>
      <x:c r="E680" s="167" t="str">
        <x:v>No</x:v>
      </x:c>
      <x:c r="F680" s="167"/>
      <x:c r="G680" s="167" t="str">
        <x:v>Core</x:v>
      </x:c>
      <x:c r="H680" s="167" t="str">
        <x:v>General</x:v>
      </x:c>
      <x:c r="I680" s="167" t="str">
        <x:v>Not Started</x:v>
      </x:c>
      <x:c r="J680" s="167" t="n">
        <x:v>0</x:v>
      </x:c>
      <x:c r="K680" s="168"/>
      <x:c r="L680" s="168" t="str">
        <x:f>IF(OR(I680="Mastered",K680=""),"",K680+IF(J680&gt;=5,30,IF(J680=4,14,IF(J680=3,7,IF(J680=2,3,1)))))</x:f>
      </x:c>
      <x:c r="M680" s="171" t="str"/>
      <x:c r="N680" s="171" t="str"/>
      <x:c r="O680" s="171" t="str">
        <x:v>Draft — verify in context</x:v>
      </x:c>
      <x:c r="P680" s="167" t="str">
        <x:v>https://www.oxfordlearnersdictionaries.com/wordlists/oxford3000-5000</x:v>
      </x:c>
    </x:row>
    <x:row r="681" ht="26" customHeight="1">
      <x:c r="A681" s="167" t="n">
        <x:v>680</x:v>
      </x:c>
      <x:c r="B681" s="167" t="str">
        <x:v>lad</x:v>
      </x:c>
      <x:c r="C681" s="167" t="str">
        <x:v>n.</x:v>
      </x:c>
      <x:c r="D681" s="170" t="str">
        <x:v>хлопець</x:v>
      </x:c>
      <x:c r="E681" s="167" t="str">
        <x:v>No</x:v>
      </x:c>
      <x:c r="F681" s="167"/>
      <x:c r="G681" s="167" t="str">
        <x:v>Core</x:v>
      </x:c>
      <x:c r="H681" s="167" t="str">
        <x:v>General</x:v>
      </x:c>
      <x:c r="I681" s="167" t="str">
        <x:v>Not Started</x:v>
      </x:c>
      <x:c r="J681" s="167" t="n">
        <x:v>0</x:v>
      </x:c>
      <x:c r="K681" s="168"/>
      <x:c r="L681" s="168" t="str">
        <x:f>IF(OR(I681="Mastered",K681=""),"",K681+IF(J681&gt;=5,30,IF(J681=4,14,IF(J681=3,7,IF(J681=2,3,1)))))</x:f>
      </x:c>
      <x:c r="M681" s="171" t="str"/>
      <x:c r="N681" s="171" t="str"/>
      <x:c r="O681" s="171" t="str">
        <x:v>Draft — verify in context</x:v>
      </x:c>
      <x:c r="P681" s="167" t="str">
        <x:v>https://www.oxfordlearnersdictionaries.com/wordlists/oxford3000-5000</x:v>
      </x:c>
    </x:row>
    <x:row r="682" ht="26" customHeight="1">
      <x:c r="A682" s="167" t="n">
        <x:v>681</x:v>
      </x:c>
      <x:c r="B682" s="167" t="str">
        <x:v>landlord</x:v>
      </x:c>
      <x:c r="C682" s="167" t="str">
        <x:v>n.</x:v>
      </x:c>
      <x:c r="D682" s="170" t="str">
        <x:v>орендодавець</x:v>
      </x:c>
      <x:c r="E682" s="167" t="str">
        <x:v>No</x:v>
      </x:c>
      <x:c r="F682" s="167"/>
      <x:c r="G682" s="167" t="str">
        <x:v>Core</x:v>
      </x:c>
      <x:c r="H682" s="167" t="str">
        <x:v>General</x:v>
      </x:c>
      <x:c r="I682" s="167" t="str">
        <x:v>Not Started</x:v>
      </x:c>
      <x:c r="J682" s="167" t="n">
        <x:v>0</x:v>
      </x:c>
      <x:c r="K682" s="168"/>
      <x:c r="L682" s="168" t="str">
        <x:f>IF(OR(I682="Mastered",K682=""),"",K682+IF(J682&gt;=5,30,IF(J682=4,14,IF(J682=3,7,IF(J682=2,3,1)))))</x:f>
      </x:c>
      <x:c r="M682" s="171" t="str"/>
      <x:c r="N682" s="171" t="str"/>
      <x:c r="O682" s="171" t="str">
        <x:v>Draft — verify in context</x:v>
      </x:c>
      <x:c r="P682" s="167" t="str">
        <x:v>https://www.oxfordlearnersdictionaries.com/wordlists/oxford3000-5000</x:v>
      </x:c>
    </x:row>
    <x:row r="683" ht="26" customHeight="1">
      <x:c r="A683" s="167" t="n">
        <x:v>682</x:v>
      </x:c>
      <x:c r="B683" s="167" t="str">
        <x:v>landmark</x:v>
      </x:c>
      <x:c r="C683" s="167" t="str">
        <x:v>n.</x:v>
      </x:c>
      <x:c r="D683" s="170" t="str">
        <x:v>орієнтир</x:v>
      </x:c>
      <x:c r="E683" s="167" t="str">
        <x:v>No</x:v>
      </x:c>
      <x:c r="F683" s="167"/>
      <x:c r="G683" s="167" t="str">
        <x:v>Core</x:v>
      </x:c>
      <x:c r="H683" s="167" t="str">
        <x:v>General</x:v>
      </x:c>
      <x:c r="I683" s="167" t="str">
        <x:v>Not Started</x:v>
      </x:c>
      <x:c r="J683" s="167" t="n">
        <x:v>0</x:v>
      </x:c>
      <x:c r="K683" s="168"/>
      <x:c r="L683" s="168" t="str">
        <x:f>IF(OR(I683="Mastered",K683=""),"",K683+IF(J683&gt;=5,30,IF(J683=4,14,IF(J683=3,7,IF(J683=2,3,1)))))</x:f>
      </x:c>
      <x:c r="M683" s="171" t="str"/>
      <x:c r="N683" s="171" t="str"/>
      <x:c r="O683" s="171" t="str">
        <x:v>Draft — verify in context</x:v>
      </x:c>
      <x:c r="P683" s="167" t="str">
        <x:v>https://www.oxfordlearnersdictionaries.com/wordlists/oxford3000-5000</x:v>
      </x:c>
    </x:row>
    <x:row r="684" ht="26" customHeight="1">
      <x:c r="A684" s="167" t="n">
        <x:v>683</x:v>
      </x:c>
      <x:c r="B684" s="167" t="str">
        <x:v>lap</x:v>
      </x:c>
      <x:c r="C684" s="167" t="str">
        <x:v>n.</x:v>
      </x:c>
      <x:c r="D684" s="170" t="str">
        <x:v>коліна</x:v>
      </x:c>
      <x:c r="E684" s="167" t="str">
        <x:v>No</x:v>
      </x:c>
      <x:c r="F684" s="167"/>
      <x:c r="G684" s="167" t="str">
        <x:v>Core</x:v>
      </x:c>
      <x:c r="H684" s="167" t="str">
        <x:v>General</x:v>
      </x:c>
      <x:c r="I684" s="167" t="str">
        <x:v>Not Started</x:v>
      </x:c>
      <x:c r="J684" s="167" t="n">
        <x:v>0</x:v>
      </x:c>
      <x:c r="K684" s="168"/>
      <x:c r="L684" s="168" t="str">
        <x:f>IF(OR(I684="Mastered",K684=""),"",K684+IF(J684&gt;=5,30,IF(J684=4,14,IF(J684=3,7,IF(J684=2,3,1)))))</x:f>
      </x:c>
      <x:c r="M684" s="171" t="str"/>
      <x:c r="N684" s="171" t="str"/>
      <x:c r="O684" s="171" t="str">
        <x:v>Draft — verify in context</x:v>
      </x:c>
      <x:c r="P684" s="167" t="str">
        <x:v>https://www.oxfordlearnersdictionaries.com/wordlists/oxford3000-5000</x:v>
      </x:c>
    </x:row>
    <x:row r="685" ht="26" customHeight="1">
      <x:c r="A685" s="167" t="n">
        <x:v>684</x:v>
      </x:c>
      <x:c r="B685" s="167" t="str">
        <x:v>large-scale</x:v>
      </x:c>
      <x:c r="C685" s="167" t="str">
        <x:v>adj.</x:v>
      </x:c>
      <x:c r="D685" s="170" t="str">
        <x:v>масштабний</x:v>
      </x:c>
      <x:c r="E685" s="167" t="str">
        <x:v>No</x:v>
      </x:c>
      <x:c r="F685" s="167"/>
      <x:c r="G685" s="167" t="str">
        <x:v>Core</x:v>
      </x:c>
      <x:c r="H685" s="167" t="str">
        <x:v>General</x:v>
      </x:c>
      <x:c r="I685" s="167" t="str">
        <x:v>Not Started</x:v>
      </x:c>
      <x:c r="J685" s="167" t="n">
        <x:v>0</x:v>
      </x:c>
      <x:c r="K685" s="168"/>
      <x:c r="L685" s="168" t="str">
        <x:f>IF(OR(I685="Mastered",K685=""),"",K685+IF(J685&gt;=5,30,IF(J685=4,14,IF(J685=3,7,IF(J685=2,3,1)))))</x:f>
      </x:c>
      <x:c r="M685" s="171" t="str"/>
      <x:c r="N685" s="171" t="str"/>
      <x:c r="O685" s="171" t="str">
        <x:v>Draft — verify in context</x:v>
      </x:c>
      <x:c r="P685" s="167" t="str">
        <x:v>https://www.oxfordlearnersdictionaries.com/wordlists/oxford3000-5000</x:v>
      </x:c>
    </x:row>
    <x:row r="686" ht="26" customHeight="1">
      <x:c r="A686" s="167" t="n">
        <x:v>685</x:v>
      </x:c>
      <x:c r="B686" s="167" t="str">
        <x:v>laser</x:v>
      </x:c>
      <x:c r="C686" s="167" t="str">
        <x:v>n.</x:v>
      </x:c>
      <x:c r="D686" s="170" t="str">
        <x:v>лазер</x:v>
      </x:c>
      <x:c r="E686" s="167" t="str">
        <x:v>No</x:v>
      </x:c>
      <x:c r="F686" s="167"/>
      <x:c r="G686" s="167" t="str">
        <x:v>Core</x:v>
      </x:c>
      <x:c r="H686" s="167" t="str">
        <x:v>General</x:v>
      </x:c>
      <x:c r="I686" s="167" t="str">
        <x:v>Not Started</x:v>
      </x:c>
      <x:c r="J686" s="167" t="n">
        <x:v>0</x:v>
      </x:c>
      <x:c r="K686" s="168"/>
      <x:c r="L686" s="168" t="str">
        <x:f>IF(OR(I686="Mastered",K686=""),"",K686+IF(J686&gt;=5,30,IF(J686=4,14,IF(J686=3,7,IF(J686=2,3,1)))))</x:f>
      </x:c>
      <x:c r="M686" s="171" t="str"/>
      <x:c r="N686" s="171" t="str"/>
      <x:c r="O686" s="171" t="str">
        <x:v>Draft — verify in context</x:v>
      </x:c>
      <x:c r="P686" s="167" t="str">
        <x:v>https://www.oxfordlearnersdictionaries.com/wordlists/oxford3000-5000</x:v>
      </x:c>
    </x:row>
    <x:row r="687" ht="26" customHeight="1">
      <x:c r="A687" s="167" t="n">
        <x:v>686</x:v>
      </x:c>
      <x:c r="B687" s="167" t="str">
        <x:v>latter</x:v>
      </x:c>
      <x:c r="C687" s="167" t="str">
        <x:v>adj., n.</x:v>
      </x:c>
      <x:c r="D687" s="170" t="str">
        <x:v>останній</x:v>
      </x:c>
      <x:c r="E687" s="167" t="str">
        <x:v>No</x:v>
      </x:c>
      <x:c r="F687" s="167"/>
      <x:c r="G687" s="167" t="str">
        <x:v>Core</x:v>
      </x:c>
      <x:c r="H687" s="167" t="str">
        <x:v>General</x:v>
      </x:c>
      <x:c r="I687" s="167" t="str">
        <x:v>Not Started</x:v>
      </x:c>
      <x:c r="J687" s="167" t="n">
        <x:v>0</x:v>
      </x:c>
      <x:c r="K687" s="168"/>
      <x:c r="L687" s="168" t="str">
        <x:f>IF(OR(I687="Mastered",K687=""),"",K687+IF(J687&gt;=5,30,IF(J687=4,14,IF(J687=3,7,IF(J687=2,3,1)))))</x:f>
      </x:c>
      <x:c r="M687" s="171" t="str"/>
      <x:c r="N687" s="171" t="str"/>
      <x:c r="O687" s="171" t="str">
        <x:v>Draft — verify in context</x:v>
      </x:c>
      <x:c r="P687" s="167" t="str">
        <x:v>https://www.oxfordlearnersdictionaries.com/wordlists/oxford3000-5000</x:v>
      </x:c>
    </x:row>
    <x:row r="688" ht="26" customHeight="1">
      <x:c r="A688" s="167" t="n">
        <x:v>687</x:v>
      </x:c>
      <x:c r="B688" s="167" t="str">
        <x:v>lawn</x:v>
      </x:c>
      <x:c r="C688" s="167" t="str">
        <x:v>n.</x:v>
      </x:c>
      <x:c r="D688" s="170" t="str">
        <x:v>газон</x:v>
      </x:c>
      <x:c r="E688" s="167" t="str">
        <x:v>No</x:v>
      </x:c>
      <x:c r="F688" s="167"/>
      <x:c r="G688" s="167" t="str">
        <x:v>Core</x:v>
      </x:c>
      <x:c r="H688" s="167" t="str">
        <x:v>General</x:v>
      </x:c>
      <x:c r="I688" s="167" t="str">
        <x:v>Not Started</x:v>
      </x:c>
      <x:c r="J688" s="167" t="n">
        <x:v>0</x:v>
      </x:c>
      <x:c r="K688" s="168"/>
      <x:c r="L688" s="168" t="str">
        <x:f>IF(OR(I688="Mastered",K688=""),"",K688+IF(J688&gt;=5,30,IF(J688=4,14,IF(J688=3,7,IF(J688=2,3,1)))))</x:f>
      </x:c>
      <x:c r="M688" s="171" t="str"/>
      <x:c r="N688" s="171" t="str"/>
      <x:c r="O688" s="171" t="str">
        <x:v>Draft — verify in context</x:v>
      </x:c>
      <x:c r="P688" s="167" t="str">
        <x:v>https://www.oxfordlearnersdictionaries.com/wordlists/oxford3000-5000</x:v>
      </x:c>
    </x:row>
    <x:row r="689" ht="26" customHeight="1">
      <x:c r="A689" s="167" t="n">
        <x:v>688</x:v>
      </x:c>
      <x:c r="B689" s="167" t="str">
        <x:v>lawsuit</x:v>
      </x:c>
      <x:c r="C689" s="167" t="str">
        <x:v>n.</x:v>
      </x:c>
      <x:c r="D689" s="170" t="str">
        <x:v>позов</x:v>
      </x:c>
      <x:c r="E689" s="167" t="str">
        <x:v>No</x:v>
      </x:c>
      <x:c r="F689" s="167"/>
      <x:c r="G689" s="167" t="str">
        <x:v>Core</x:v>
      </x:c>
      <x:c r="H689" s="167" t="str">
        <x:v>General</x:v>
      </x:c>
      <x:c r="I689" s="167" t="str">
        <x:v>Not Started</x:v>
      </x:c>
      <x:c r="J689" s="167" t="n">
        <x:v>0</x:v>
      </x:c>
      <x:c r="K689" s="168"/>
      <x:c r="L689" s="168" t="str">
        <x:f>IF(OR(I689="Mastered",K689=""),"",K689+IF(J689&gt;=5,30,IF(J689=4,14,IF(J689=3,7,IF(J689=2,3,1)))))</x:f>
      </x:c>
      <x:c r="M689" s="171" t="str"/>
      <x:c r="N689" s="171" t="str"/>
      <x:c r="O689" s="171" t="str">
        <x:v>Draft — verify in context</x:v>
      </x:c>
      <x:c r="P689" s="167" t="str">
        <x:v>https://www.oxfordlearnersdictionaries.com/wordlists/oxford3000-5000</x:v>
      </x:c>
    </x:row>
    <x:row r="690" ht="26" customHeight="1">
      <x:c r="A690" s="167" t="n">
        <x:v>689</x:v>
      </x:c>
      <x:c r="B690" s="167" t="str">
        <x:v>layout</x:v>
      </x:c>
      <x:c r="C690" s="167" t="str">
        <x:v>n.</x:v>
      </x:c>
      <x:c r="D690" s="170" t="str">
        <x:v>макет</x:v>
      </x:c>
      <x:c r="E690" s="167" t="str">
        <x:v>No</x:v>
      </x:c>
      <x:c r="F690" s="167"/>
      <x:c r="G690" s="167" t="str">
        <x:v>Core</x:v>
      </x:c>
      <x:c r="H690" s="167" t="str">
        <x:v>General</x:v>
      </x:c>
      <x:c r="I690" s="167" t="str">
        <x:v>Not Started</x:v>
      </x:c>
      <x:c r="J690" s="167" t="n">
        <x:v>0</x:v>
      </x:c>
      <x:c r="K690" s="168"/>
      <x:c r="L690" s="168" t="str">
        <x:f>IF(OR(I690="Mastered",K690=""),"",K690+IF(J690&gt;=5,30,IF(J690=4,14,IF(J690=3,7,IF(J690=2,3,1)))))</x:f>
      </x:c>
      <x:c r="M690" s="171" t="str"/>
      <x:c r="N690" s="171" t="str"/>
      <x:c r="O690" s="171" t="str">
        <x:v>Draft — verify in context</x:v>
      </x:c>
      <x:c r="P690" s="167" t="str">
        <x:v>https://www.oxfordlearnersdictionaries.com/wordlists/oxford3000-5000</x:v>
      </x:c>
    </x:row>
    <x:row r="691" ht="26" customHeight="1">
      <x:c r="A691" s="167" t="n">
        <x:v>690</x:v>
      </x:c>
      <x:c r="B691" s="167" t="str">
        <x:v>leak</x:v>
      </x:c>
      <x:c r="C691" s="167" t="str">
        <x:v>v., n.</x:v>
      </x:c>
      <x:c r="D691" s="170" t="str">
        <x:v>витік</x:v>
      </x:c>
      <x:c r="E691" s="167" t="str">
        <x:v>No</x:v>
      </x:c>
      <x:c r="F691" s="167"/>
      <x:c r="G691" s="167" t="str">
        <x:v>Core</x:v>
      </x:c>
      <x:c r="H691" s="167" t="str">
        <x:v>General</x:v>
      </x:c>
      <x:c r="I691" s="167" t="str">
        <x:v>Not Started</x:v>
      </x:c>
      <x:c r="J691" s="167" t="n">
        <x:v>0</x:v>
      </x:c>
      <x:c r="K691" s="168"/>
      <x:c r="L691" s="168" t="str">
        <x:f>IF(OR(I691="Mastered",K691=""),"",K691+IF(J691&gt;=5,30,IF(J691=4,14,IF(J691=3,7,IF(J691=2,3,1)))))</x:f>
      </x:c>
      <x:c r="M691" s="171" t="str"/>
      <x:c r="N691" s="171" t="str"/>
      <x:c r="O691" s="171" t="str">
        <x:v>Draft — verify in context</x:v>
      </x:c>
      <x:c r="P691" s="167" t="str">
        <x:v>https://www.oxfordlearnersdictionaries.com/wordlists/oxford3000-5000</x:v>
      </x:c>
    </x:row>
    <x:row r="692" ht="26" customHeight="1">
      <x:c r="A692" s="167" t="n">
        <x:v>691</x:v>
      </x:c>
      <x:c r="B692" s="167" t="str">
        <x:v>leap</x:v>
      </x:c>
      <x:c r="C692" s="167" t="str">
        <x:v>v., n.</x:v>
      </x:c>
      <x:c r="D692" s="170" t="str">
        <x:v>стрибок</x:v>
      </x:c>
      <x:c r="E692" s="167" t="str">
        <x:v>No</x:v>
      </x:c>
      <x:c r="F692" s="167"/>
      <x:c r="G692" s="167" t="str">
        <x:v>Core</x:v>
      </x:c>
      <x:c r="H692" s="167" t="str">
        <x:v>General</x:v>
      </x:c>
      <x:c r="I692" s="167" t="str">
        <x:v>Not Started</x:v>
      </x:c>
      <x:c r="J692" s="167" t="n">
        <x:v>0</x:v>
      </x:c>
      <x:c r="K692" s="168"/>
      <x:c r="L692" s="168" t="str">
        <x:f>IF(OR(I692="Mastered",K692=""),"",K692+IF(J692&gt;=5,30,IF(J692=4,14,IF(J692=3,7,IF(J692=2,3,1)))))</x:f>
      </x:c>
      <x:c r="M692" s="171" t="str"/>
      <x:c r="N692" s="171" t="str"/>
      <x:c r="O692" s="171" t="str">
        <x:v>Draft — verify in context</x:v>
      </x:c>
      <x:c r="P692" s="167" t="str">
        <x:v>https://www.oxfordlearnersdictionaries.com/wordlists/oxford3000-5000</x:v>
      </x:c>
    </x:row>
    <x:row r="693" ht="26" customHeight="1">
      <x:c r="A693" s="167" t="n">
        <x:v>692</x:v>
      </x:c>
      <x:c r="B693" s="167" t="str">
        <x:v>legacy</x:v>
      </x:c>
      <x:c r="C693" s="167" t="str">
        <x:v>n.</x:v>
      </x:c>
      <x:c r="D693" s="170" t="str">
        <x:v>спадок</x:v>
      </x:c>
      <x:c r="E693" s="167" t="str">
        <x:v>No</x:v>
      </x:c>
      <x:c r="F693" s="167"/>
      <x:c r="G693" s="167" t="str">
        <x:v>Core</x:v>
      </x:c>
      <x:c r="H693" s="167" t="str">
        <x:v>General</x:v>
      </x:c>
      <x:c r="I693" s="167" t="str">
        <x:v>Not Started</x:v>
      </x:c>
      <x:c r="J693" s="167" t="n">
        <x:v>0</x:v>
      </x:c>
      <x:c r="K693" s="168"/>
      <x:c r="L693" s="168" t="str">
        <x:f>IF(OR(I693="Mastered",K693=""),"",K693+IF(J693&gt;=5,30,IF(J693=4,14,IF(J693=3,7,IF(J693=2,3,1)))))</x:f>
      </x:c>
      <x:c r="M693" s="171" t="str"/>
      <x:c r="N693" s="171" t="str"/>
      <x:c r="O693" s="171" t="str">
        <x:v>Draft — verify in context</x:v>
      </x:c>
      <x:c r="P693" s="167" t="str">
        <x:v>https://www.oxfordlearnersdictionaries.com/wordlists/oxford3000-5000</x:v>
      </x:c>
    </x:row>
    <x:row r="694" ht="26" customHeight="1">
      <x:c r="A694" s="167" t="n">
        <x:v>693</x:v>
      </x:c>
      <x:c r="B694" s="167" t="str">
        <x:v>legendary</x:v>
      </x:c>
      <x:c r="C694" s="167" t="str">
        <x:v>adj.</x:v>
      </x:c>
      <x:c r="D694" s="170" t="str">
        <x:v>легендарний</x:v>
      </x:c>
      <x:c r="E694" s="167" t="str">
        <x:v>No</x:v>
      </x:c>
      <x:c r="F694" s="167"/>
      <x:c r="G694" s="167" t="str">
        <x:v>Core</x:v>
      </x:c>
      <x:c r="H694" s="167" t="str">
        <x:v>General</x:v>
      </x:c>
      <x:c r="I694" s="167" t="str">
        <x:v>Not Started</x:v>
      </x:c>
      <x:c r="J694" s="167" t="n">
        <x:v>0</x:v>
      </x:c>
      <x:c r="K694" s="168"/>
      <x:c r="L694" s="168" t="str">
        <x:f>IF(OR(I694="Mastered",K694=""),"",K694+IF(J694&gt;=5,30,IF(J694=4,14,IF(J694=3,7,IF(J694=2,3,1)))))</x:f>
      </x:c>
      <x:c r="M694" s="171" t="str"/>
      <x:c r="N694" s="171" t="str"/>
      <x:c r="O694" s="171" t="str">
        <x:v>Draft — verify in context</x:v>
      </x:c>
      <x:c r="P694" s="167" t="str">
        <x:v>https://www.oxfordlearnersdictionaries.com/wordlists/oxford3000-5000</x:v>
      </x:c>
    </x:row>
    <x:row r="695" ht="26" customHeight="1">
      <x:c r="A695" s="167" t="n">
        <x:v>694</x:v>
      </x:c>
      <x:c r="B695" s="167" t="str">
        <x:v>legislation</x:v>
      </x:c>
      <x:c r="C695" s="167" t="str">
        <x:v>n.</x:v>
      </x:c>
      <x:c r="D695" s="170" t="str">
        <x:v>законодавство</x:v>
      </x:c>
      <x:c r="E695" s="167" t="str">
        <x:v>Yes</x:v>
      </x:c>
      <x:c r="F695" s="167" t="n">
        <x:v>1</x:v>
      </x:c>
      <x:c r="G695" s="167" t="str">
        <x:v>High</x:v>
      </x:c>
      <x:c r="H695" s="167" t="str">
        <x:v>Government &amp; law</x:v>
      </x:c>
      <x:c r="I695" s="167" t="str">
        <x:v>Not Started</x:v>
      </x:c>
      <x:c r="J695" s="167" t="n">
        <x:v>0</x:v>
      </x:c>
      <x:c r="K695" s="168"/>
      <x:c r="L695" s="168" t="str">
        <x:f>IF(OR(I695="Mastered",K695=""),"",K695+IF(J695&gt;=5,30,IF(J695=4,14,IF(J695=3,7,IF(J695=2,3,1)))))</x:f>
      </x:c>
      <x:c r="M695" s="171" t="str"/>
      <x:c r="N695" s="171" t="str"/>
      <x:c r="O695" s="171" t="str">
        <x:v>Draft — verify in context</x:v>
      </x:c>
      <x:c r="P695" s="167" t="str">
        <x:v>https://www.oxfordlearnersdictionaries.com/wordlists/oxford3000-5000</x:v>
      </x:c>
    </x:row>
    <x:row r="696" ht="26" customHeight="1">
      <x:c r="A696" s="167" t="n">
        <x:v>695</x:v>
      </x:c>
      <x:c r="B696" s="167" t="str">
        <x:v>legislative</x:v>
      </x:c>
      <x:c r="C696" s="167" t="str">
        <x:v>adj.</x:v>
      </x:c>
      <x:c r="D696" s="170" t="str">
        <x:v>законодавчий</x:v>
      </x:c>
      <x:c r="E696" s="167" t="str">
        <x:v>No</x:v>
      </x:c>
      <x:c r="F696" s="167"/>
      <x:c r="G696" s="167" t="str">
        <x:v>High</x:v>
      </x:c>
      <x:c r="H696" s="167" t="str">
        <x:v>Government &amp; law</x:v>
      </x:c>
      <x:c r="I696" s="167" t="str">
        <x:v>Not Started</x:v>
      </x:c>
      <x:c r="J696" s="167" t="n">
        <x:v>0</x:v>
      </x:c>
      <x:c r="K696" s="168"/>
      <x:c r="L696" s="168" t="str">
        <x:f>IF(OR(I696="Mastered",K696=""),"",K696+IF(J696&gt;=5,30,IF(J696=4,14,IF(J696=3,7,IF(J696=2,3,1)))))</x:f>
      </x:c>
      <x:c r="M696" s="171" t="str"/>
      <x:c r="N696" s="171" t="str"/>
      <x:c r="O696" s="171" t="str">
        <x:v>Draft — verify in context</x:v>
      </x:c>
      <x:c r="P696" s="167" t="str">
        <x:v>https://www.oxfordlearnersdictionaries.com/wordlists/oxford3000-5000</x:v>
      </x:c>
    </x:row>
    <x:row r="697" ht="26" customHeight="1">
      <x:c r="A697" s="167" t="n">
        <x:v>696</x:v>
      </x:c>
      <x:c r="B697" s="167" t="str">
        <x:v>legislature</x:v>
      </x:c>
      <x:c r="C697" s="167" t="str">
        <x:v>n.</x:v>
      </x:c>
      <x:c r="D697" s="170" t="str">
        <x:v>законодавча влада</x:v>
      </x:c>
      <x:c r="E697" s="167" t="str">
        <x:v>No</x:v>
      </x:c>
      <x:c r="F697" s="167"/>
      <x:c r="G697" s="167" t="str">
        <x:v>Core</x:v>
      </x:c>
      <x:c r="H697" s="167" t="str">
        <x:v>General</x:v>
      </x:c>
      <x:c r="I697" s="167" t="str">
        <x:v>Not Started</x:v>
      </x:c>
      <x:c r="J697" s="167" t="n">
        <x:v>0</x:v>
      </x:c>
      <x:c r="K697" s="168"/>
      <x:c r="L697" s="168" t="str">
        <x:f>IF(OR(I697="Mastered",K697=""),"",K697+IF(J697&gt;=5,30,IF(J697=4,14,IF(J697=3,7,IF(J697=2,3,1)))))</x:f>
      </x:c>
      <x:c r="M697" s="171" t="str"/>
      <x:c r="N697" s="171" t="str"/>
      <x:c r="O697" s="171" t="str">
        <x:v>Draft — verify in context</x:v>
      </x:c>
      <x:c r="P697" s="167" t="str">
        <x:v>https://www.oxfordlearnersdictionaries.com/wordlists/oxford3000-5000</x:v>
      </x:c>
    </x:row>
    <x:row r="698" ht="26" customHeight="1">
      <x:c r="A698" s="167" t="n">
        <x:v>697</x:v>
      </x:c>
      <x:c r="B698" s="167" t="str">
        <x:v>legitimate</x:v>
      </x:c>
      <x:c r="C698" s="167" t="str">
        <x:v>adj.</x:v>
      </x:c>
      <x:c r="D698" s="170" t="str">
        <x:v>законний</x:v>
      </x:c>
      <x:c r="E698" s="167" t="str">
        <x:v>No</x:v>
      </x:c>
      <x:c r="F698" s="167"/>
      <x:c r="G698" s="167" t="str">
        <x:v>Core</x:v>
      </x:c>
      <x:c r="H698" s="167" t="str">
        <x:v>General</x:v>
      </x:c>
      <x:c r="I698" s="167" t="str">
        <x:v>Not Started</x:v>
      </x:c>
      <x:c r="J698" s="167" t="n">
        <x:v>0</x:v>
      </x:c>
      <x:c r="K698" s="168"/>
      <x:c r="L698" s="168" t="str">
        <x:f>IF(OR(I698="Mastered",K698=""),"",K698+IF(J698&gt;=5,30,IF(J698=4,14,IF(J698=3,7,IF(J698=2,3,1)))))</x:f>
      </x:c>
      <x:c r="M698" s="171" t="str"/>
      <x:c r="N698" s="171" t="str"/>
      <x:c r="O698" s="171" t="str">
        <x:v>Draft — verify in context</x:v>
      </x:c>
      <x:c r="P698" s="167" t="str">
        <x:v>https://www.oxfordlearnersdictionaries.com/wordlists/oxford3000-5000</x:v>
      </x:c>
    </x:row>
    <x:row r="699" ht="26" customHeight="1">
      <x:c r="A699" s="167" t="n">
        <x:v>698</x:v>
      </x:c>
      <x:c r="B699" s="167" t="str">
        <x:v>lengthy</x:v>
      </x:c>
      <x:c r="C699" s="167" t="str">
        <x:v>adj.</x:v>
      </x:c>
      <x:c r="D699" s="170" t="str">
        <x:v>довгий</x:v>
      </x:c>
      <x:c r="E699" s="167" t="str">
        <x:v>No</x:v>
      </x:c>
      <x:c r="F699" s="167"/>
      <x:c r="G699" s="167" t="str">
        <x:v>Core</x:v>
      </x:c>
      <x:c r="H699" s="167" t="str">
        <x:v>General</x:v>
      </x:c>
      <x:c r="I699" s="167" t="str">
        <x:v>Not Started</x:v>
      </x:c>
      <x:c r="J699" s="167" t="n">
        <x:v>0</x:v>
      </x:c>
      <x:c r="K699" s="168"/>
      <x:c r="L699" s="168" t="str">
        <x:f>IF(OR(I699="Mastered",K699=""),"",K699+IF(J699&gt;=5,30,IF(J699=4,14,IF(J699=3,7,IF(J699=2,3,1)))))</x:f>
      </x:c>
      <x:c r="M699" s="171" t="str"/>
      <x:c r="N699" s="171" t="str"/>
      <x:c r="O699" s="171" t="str">
        <x:v>Draft — verify in context</x:v>
      </x:c>
      <x:c r="P699" s="167" t="str">
        <x:v>https://www.oxfordlearnersdictionaries.com/wordlists/oxford3000-5000</x:v>
      </x:c>
    </x:row>
    <x:row r="700" ht="26" customHeight="1">
      <x:c r="A700" s="167" t="n">
        <x:v>699</x:v>
      </x:c>
      <x:c r="B700" s="167" t="str">
        <x:v>lesbian</x:v>
      </x:c>
      <x:c r="C700" s="167" t="str">
        <x:v>adj.</x:v>
      </x:c>
      <x:c r="D700" s="170" t="str">
        <x:v>лесбіянка</x:v>
      </x:c>
      <x:c r="E700" s="167" t="str">
        <x:v>No</x:v>
      </x:c>
      <x:c r="F700" s="167"/>
      <x:c r="G700" s="167" t="str">
        <x:v>Core</x:v>
      </x:c>
      <x:c r="H700" s="167" t="str">
        <x:v>General</x:v>
      </x:c>
      <x:c r="I700" s="167" t="str">
        <x:v>Not Started</x:v>
      </x:c>
      <x:c r="J700" s="167" t="n">
        <x:v>0</x:v>
      </x:c>
      <x:c r="K700" s="168"/>
      <x:c r="L700" s="168" t="str">
        <x:f>IF(OR(I700="Mastered",K700=""),"",K700+IF(J700&gt;=5,30,IF(J700=4,14,IF(J700=3,7,IF(J700=2,3,1)))))</x:f>
      </x:c>
      <x:c r="M700" s="171" t="str"/>
      <x:c r="N700" s="171" t="str"/>
      <x:c r="O700" s="171" t="str">
        <x:v>Draft — verify in context</x:v>
      </x:c>
      <x:c r="P700" s="167" t="str">
        <x:v>https://www.oxfordlearnersdictionaries.com/wordlists/oxford3000-5000</x:v>
      </x:c>
    </x:row>
    <x:row r="701" ht="26" customHeight="1">
      <x:c r="A701" s="167" t="n">
        <x:v>700</x:v>
      </x:c>
      <x:c r="B701" s="167" t="str">
        <x:v>lesser</x:v>
      </x:c>
      <x:c r="C701" s="167" t="str">
        <x:v>adj.</x:v>
      </x:c>
      <x:c r="D701" s="170" t="str">
        <x:v>менший</x:v>
      </x:c>
      <x:c r="E701" s="167" t="str">
        <x:v>No</x:v>
      </x:c>
      <x:c r="F701" s="167"/>
      <x:c r="G701" s="167" t="str">
        <x:v>Core</x:v>
      </x:c>
      <x:c r="H701" s="167" t="str">
        <x:v>General</x:v>
      </x:c>
      <x:c r="I701" s="167" t="str">
        <x:v>Not Started</x:v>
      </x:c>
      <x:c r="J701" s="167" t="n">
        <x:v>0</x:v>
      </x:c>
      <x:c r="K701" s="168"/>
      <x:c r="L701" s="168" t="str">
        <x:f>IF(OR(I701="Mastered",K701=""),"",K701+IF(J701&gt;=5,30,IF(J701=4,14,IF(J701=3,7,IF(J701=2,3,1)))))</x:f>
      </x:c>
      <x:c r="M701" s="171" t="str"/>
      <x:c r="N701" s="171" t="str"/>
      <x:c r="O701" s="171" t="str">
        <x:v>Draft — verify in context</x:v>
      </x:c>
      <x:c r="P701" s="167" t="str">
        <x:v>https://www.oxfordlearnersdictionaries.com/wordlists/oxford3000-5000</x:v>
      </x:c>
    </x:row>
    <x:row r="702" ht="26" customHeight="1">
      <x:c r="A702" s="167" t="n">
        <x:v>701</x:v>
      </x:c>
      <x:c r="B702" s="167" t="str">
        <x:v>lethal</x:v>
      </x:c>
      <x:c r="C702" s="167" t="str">
        <x:v>adj.</x:v>
      </x:c>
      <x:c r="D702" s="170" t="str">
        <x:v>летальний</x:v>
      </x:c>
      <x:c r="E702" s="167" t="str">
        <x:v>No</x:v>
      </x:c>
      <x:c r="F702" s="167"/>
      <x:c r="G702" s="167" t="str">
        <x:v>Core</x:v>
      </x:c>
      <x:c r="H702" s="167" t="str">
        <x:v>General</x:v>
      </x:c>
      <x:c r="I702" s="167" t="str">
        <x:v>Not Started</x:v>
      </x:c>
      <x:c r="J702" s="167" t="n">
        <x:v>0</x:v>
      </x:c>
      <x:c r="K702" s="168"/>
      <x:c r="L702" s="168" t="str">
        <x:f>IF(OR(I702="Mastered",K702=""),"",K702+IF(J702&gt;=5,30,IF(J702=4,14,IF(J702=3,7,IF(J702=2,3,1)))))</x:f>
      </x:c>
      <x:c r="M702" s="171" t="str"/>
      <x:c r="N702" s="171" t="str"/>
      <x:c r="O702" s="171" t="str">
        <x:v>Draft — verify in context</x:v>
      </x:c>
      <x:c r="P702" s="167" t="str">
        <x:v>https://www.oxfordlearnersdictionaries.com/wordlists/oxford3000-5000</x:v>
      </x:c>
    </x:row>
    <x:row r="703" ht="26" customHeight="1">
      <x:c r="A703" s="167" t="n">
        <x:v>702</x:v>
      </x:c>
      <x:c r="B703" s="167" t="str">
        <x:v>liable</x:v>
      </x:c>
      <x:c r="C703" s="167" t="str">
        <x:v>adj.</x:v>
      </x:c>
      <x:c r="D703" s="170" t="str">
        <x:v>відповідальний</x:v>
      </x:c>
      <x:c r="E703" s="167" t="str">
        <x:v>No</x:v>
      </x:c>
      <x:c r="F703" s="167"/>
      <x:c r="G703" s="167" t="str">
        <x:v>Core</x:v>
      </x:c>
      <x:c r="H703" s="167" t="str">
        <x:v>General</x:v>
      </x:c>
      <x:c r="I703" s="167" t="str">
        <x:v>Not Started</x:v>
      </x:c>
      <x:c r="J703" s="167" t="n">
        <x:v>0</x:v>
      </x:c>
      <x:c r="K703" s="168"/>
      <x:c r="L703" s="168" t="str">
        <x:f>IF(OR(I703="Mastered",K703=""),"",K703+IF(J703&gt;=5,30,IF(J703=4,14,IF(J703=3,7,IF(J703=2,3,1)))))</x:f>
      </x:c>
      <x:c r="M703" s="171" t="str"/>
      <x:c r="N703" s="171" t="str"/>
      <x:c r="O703" s="171" t="str">
        <x:v>Draft — verify in context</x:v>
      </x:c>
      <x:c r="P703" s="167" t="str">
        <x:v>https://www.oxfordlearnersdictionaries.com/wordlists/oxford3000-5000</x:v>
      </x:c>
    </x:row>
    <x:row r="704" ht="26" customHeight="1">
      <x:c r="A704" s="167" t="n">
        <x:v>703</x:v>
      </x:c>
      <x:c r="B704" s="167" t="str">
        <x:v>liberal</x:v>
      </x:c>
      <x:c r="C704" s="167" t="str">
        <x:v>adj., n.</x:v>
      </x:c>
      <x:c r="D704" s="170" t="str">
        <x:v>ліберальний</x:v>
      </x:c>
      <x:c r="E704" s="167" t="str">
        <x:v>Yes</x:v>
      </x:c>
      <x:c r="F704" s="167" t="n">
        <x:v>5</x:v>
      </x:c>
      <x:c r="G704" s="167" t="str">
        <x:v>High</x:v>
      </x:c>
      <x:c r="H704" s="167" t="str">
        <x:v>General</x:v>
      </x:c>
      <x:c r="I704" s="167" t="str">
        <x:v>Not Started</x:v>
      </x:c>
      <x:c r="J704" s="167" t="n">
        <x:v>0</x:v>
      </x:c>
      <x:c r="K704" s="168"/>
      <x:c r="L704" s="168" t="str">
        <x:f>IF(OR(I704="Mastered",K704=""),"",K704+IF(J704&gt;=5,30,IF(J704=4,14,IF(J704=3,7,IF(J704=2,3,1)))))</x:f>
      </x:c>
      <x:c r="M704" s="171" t="str"/>
      <x:c r="N704" s="171" t="str"/>
      <x:c r="O704" s="171" t="str">
        <x:v>Draft — verify in context</x:v>
      </x:c>
      <x:c r="P704" s="167" t="str">
        <x:v>https://www.oxfordlearnersdictionaries.com/wordlists/oxford3000-5000</x:v>
      </x:c>
    </x:row>
    <x:row r="705" ht="26" customHeight="1">
      <x:c r="A705" s="167" t="n">
        <x:v>704</x:v>
      </x:c>
      <x:c r="B705" s="167" t="str">
        <x:v>liberation</x:v>
      </x:c>
      <x:c r="C705" s="167" t="str">
        <x:v>n.</x:v>
      </x:c>
      <x:c r="D705" s="170" t="str">
        <x:v>звільнення</x:v>
      </x:c>
      <x:c r="E705" s="167" t="str">
        <x:v>No</x:v>
      </x:c>
      <x:c r="F705" s="167"/>
      <x:c r="G705" s="167" t="str">
        <x:v>Core</x:v>
      </x:c>
      <x:c r="H705" s="167" t="str">
        <x:v>General</x:v>
      </x:c>
      <x:c r="I705" s="167" t="str">
        <x:v>Not Started</x:v>
      </x:c>
      <x:c r="J705" s="167" t="n">
        <x:v>0</x:v>
      </x:c>
      <x:c r="K705" s="168"/>
      <x:c r="L705" s="168" t="str">
        <x:f>IF(OR(I705="Mastered",K705=""),"",K705+IF(J705&gt;=5,30,IF(J705=4,14,IF(J705=3,7,IF(J705=2,3,1)))))</x:f>
      </x:c>
      <x:c r="M705" s="171" t="str"/>
      <x:c r="N705" s="171" t="str"/>
      <x:c r="O705" s="171" t="str">
        <x:v>Draft — verify in context</x:v>
      </x:c>
      <x:c r="P705" s="167" t="str">
        <x:v>https://www.oxfordlearnersdictionaries.com/wordlists/oxford3000-5000</x:v>
      </x:c>
    </x:row>
    <x:row r="706" ht="26" customHeight="1">
      <x:c r="A706" s="167" t="n">
        <x:v>705</x:v>
      </x:c>
      <x:c r="B706" s="167" t="str">
        <x:v>liberty</x:v>
      </x:c>
      <x:c r="C706" s="167" t="str">
        <x:v>n.</x:v>
      </x:c>
      <x:c r="D706" s="170" t="str">
        <x:v>свобода</x:v>
      </x:c>
      <x:c r="E706" s="167" t="str">
        <x:v>No</x:v>
      </x:c>
      <x:c r="F706" s="167"/>
      <x:c r="G706" s="167" t="str">
        <x:v>Core</x:v>
      </x:c>
      <x:c r="H706" s="167" t="str">
        <x:v>General</x:v>
      </x:c>
      <x:c r="I706" s="167" t="str">
        <x:v>Not Started</x:v>
      </x:c>
      <x:c r="J706" s="167" t="n">
        <x:v>0</x:v>
      </x:c>
      <x:c r="K706" s="168"/>
      <x:c r="L706" s="168" t="str">
        <x:f>IF(OR(I706="Mastered",K706=""),"",K706+IF(J706&gt;=5,30,IF(J706=4,14,IF(J706=3,7,IF(J706=2,3,1)))))</x:f>
      </x:c>
      <x:c r="M706" s="171" t="str"/>
      <x:c r="N706" s="171" t="str"/>
      <x:c r="O706" s="171" t="str">
        <x:v>Draft — verify in context</x:v>
      </x:c>
      <x:c r="P706" s="167" t="str">
        <x:v>https://www.oxfordlearnersdictionaries.com/wordlists/oxford3000-5000</x:v>
      </x:c>
    </x:row>
    <x:row r="707" ht="26" customHeight="1">
      <x:c r="A707" s="167" t="n">
        <x:v>706</x:v>
      </x:c>
      <x:c r="B707" s="167" t="str">
        <x:v>license</x:v>
      </x:c>
      <x:c r="C707" s="167" t="str">
        <x:v>v.</x:v>
      </x:c>
      <x:c r="D707" s="170" t="str">
        <x:v>ліцензія</x:v>
      </x:c>
      <x:c r="E707" s="167" t="str">
        <x:v>No</x:v>
      </x:c>
      <x:c r="F707" s="167"/>
      <x:c r="G707" s="167" t="str">
        <x:v>Core</x:v>
      </x:c>
      <x:c r="H707" s="167" t="str">
        <x:v>General</x:v>
      </x:c>
      <x:c r="I707" s="167" t="str">
        <x:v>Not Started</x:v>
      </x:c>
      <x:c r="J707" s="167" t="n">
        <x:v>0</x:v>
      </x:c>
      <x:c r="K707" s="168"/>
      <x:c r="L707" s="168" t="str">
        <x:f>IF(OR(I707="Mastered",K707=""),"",K707+IF(J707&gt;=5,30,IF(J707=4,14,IF(J707=3,7,IF(J707=2,3,1)))))</x:f>
      </x:c>
      <x:c r="M707" s="171" t="str"/>
      <x:c r="N707" s="171" t="str"/>
      <x:c r="O707" s="171" t="str">
        <x:v>Draft — verify in context</x:v>
      </x:c>
      <x:c r="P707" s="167" t="str">
        <x:v>https://www.oxfordlearnersdictionaries.com/wordlists/oxford3000-5000</x:v>
      </x:c>
    </x:row>
    <x:row r="708" ht="26" customHeight="1">
      <x:c r="A708" s="167" t="n">
        <x:v>707</x:v>
      </x:c>
      <x:c r="B708" s="167" t="str">
        <x:v>lifelong</x:v>
      </x:c>
      <x:c r="C708" s="167" t="str">
        <x:v>adj.</x:v>
      </x:c>
      <x:c r="D708" s="170" t="str">
        <x:v>все життя</x:v>
      </x:c>
      <x:c r="E708" s="167" t="str">
        <x:v>No</x:v>
      </x:c>
      <x:c r="F708" s="167"/>
      <x:c r="G708" s="167" t="str">
        <x:v>Core</x:v>
      </x:c>
      <x:c r="H708" s="167" t="str">
        <x:v>General</x:v>
      </x:c>
      <x:c r="I708" s="167" t="str">
        <x:v>Not Started</x:v>
      </x:c>
      <x:c r="J708" s="167" t="n">
        <x:v>0</x:v>
      </x:c>
      <x:c r="K708" s="168"/>
      <x:c r="L708" s="168" t="str">
        <x:f>IF(OR(I708="Mastered",K708=""),"",K708+IF(J708&gt;=5,30,IF(J708=4,14,IF(J708=3,7,IF(J708=2,3,1)))))</x:f>
      </x:c>
      <x:c r="M708" s="171" t="str"/>
      <x:c r="N708" s="171" t="str"/>
      <x:c r="O708" s="171" t="str">
        <x:v>Draft — verify in context</x:v>
      </x:c>
      <x:c r="P708" s="167" t="str">
        <x:v>https://www.oxfordlearnersdictionaries.com/wordlists/oxford3000-5000</x:v>
      </x:c>
    </x:row>
    <x:row r="709" ht="26" customHeight="1">
      <x:c r="A709" s="167" t="n">
        <x:v>708</x:v>
      </x:c>
      <x:c r="B709" s="167" t="str">
        <x:v>likelihood</x:v>
      </x:c>
      <x:c r="C709" s="167" t="str">
        <x:v>n.</x:v>
      </x:c>
      <x:c r="D709" s="170" t="str">
        <x:v>ймовірність</x:v>
      </x:c>
      <x:c r="E709" s="167" t="str">
        <x:v>No</x:v>
      </x:c>
      <x:c r="F709" s="167"/>
      <x:c r="G709" s="167" t="str">
        <x:v>Core</x:v>
      </x:c>
      <x:c r="H709" s="167" t="str">
        <x:v>General</x:v>
      </x:c>
      <x:c r="I709" s="167" t="str">
        <x:v>Not Started</x:v>
      </x:c>
      <x:c r="J709" s="167" t="n">
        <x:v>0</x:v>
      </x:c>
      <x:c r="K709" s="168"/>
      <x:c r="L709" s="168" t="str">
        <x:f>IF(OR(I709="Mastered",K709=""),"",K709+IF(J709&gt;=5,30,IF(J709=4,14,IF(J709=3,7,IF(J709=2,3,1)))))</x:f>
      </x:c>
      <x:c r="M709" s="171" t="str"/>
      <x:c r="N709" s="171" t="str"/>
      <x:c r="O709" s="171" t="str">
        <x:v>Draft — verify in context</x:v>
      </x:c>
      <x:c r="P709" s="167" t="str">
        <x:v>https://www.oxfordlearnersdictionaries.com/wordlists/oxford3000-5000</x:v>
      </x:c>
    </x:row>
    <x:row r="710" ht="26" customHeight="1">
      <x:c r="A710" s="167" t="n">
        <x:v>709</x:v>
      </x:c>
      <x:c r="B710" s="167" t="str">
        <x:v>limb</x:v>
      </x:c>
      <x:c r="C710" s="167" t="str">
        <x:v>n.</x:v>
      </x:c>
      <x:c r="D710" s="170" t="str">
        <x:v>кінцівка</x:v>
      </x:c>
      <x:c r="E710" s="167" t="str">
        <x:v>No</x:v>
      </x:c>
      <x:c r="F710" s="167"/>
      <x:c r="G710" s="167" t="str">
        <x:v>Core</x:v>
      </x:c>
      <x:c r="H710" s="167" t="str">
        <x:v>General</x:v>
      </x:c>
      <x:c r="I710" s="167" t="str">
        <x:v>Not Started</x:v>
      </x:c>
      <x:c r="J710" s="167" t="n">
        <x:v>0</x:v>
      </x:c>
      <x:c r="K710" s="168"/>
      <x:c r="L710" s="168" t="str">
        <x:f>IF(OR(I710="Mastered",K710=""),"",K710+IF(J710&gt;=5,30,IF(J710=4,14,IF(J710=3,7,IF(J710=2,3,1)))))</x:f>
      </x:c>
      <x:c r="M710" s="171" t="str"/>
      <x:c r="N710" s="171" t="str"/>
      <x:c r="O710" s="171" t="str">
        <x:v>Draft — verify in context</x:v>
      </x:c>
      <x:c r="P710" s="167" t="str">
        <x:v>https://www.oxfordlearnersdictionaries.com/wordlists/oxford3000-5000</x:v>
      </x:c>
    </x:row>
    <x:row r="711" ht="26" customHeight="1">
      <x:c r="A711" s="167" t="n">
        <x:v>710</x:v>
      </x:c>
      <x:c r="B711" s="167" t="str">
        <x:v>linear</x:v>
      </x:c>
      <x:c r="C711" s="167" t="str">
        <x:v>adj.</x:v>
      </x:c>
      <x:c r="D711" s="170" t="str">
        <x:v>лінійний</x:v>
      </x:c>
      <x:c r="E711" s="167" t="str">
        <x:v>No</x:v>
      </x:c>
      <x:c r="F711" s="167"/>
      <x:c r="G711" s="167" t="str">
        <x:v>Core</x:v>
      </x:c>
      <x:c r="H711" s="167" t="str">
        <x:v>General</x:v>
      </x:c>
      <x:c r="I711" s="167" t="str">
        <x:v>Not Started</x:v>
      </x:c>
      <x:c r="J711" s="167" t="n">
        <x:v>0</x:v>
      </x:c>
      <x:c r="K711" s="168"/>
      <x:c r="L711" s="168" t="str">
        <x:f>IF(OR(I711="Mastered",K711=""),"",K711+IF(J711&gt;=5,30,IF(J711=4,14,IF(J711=3,7,IF(J711=2,3,1)))))</x:f>
      </x:c>
      <x:c r="M711" s="171" t="str"/>
      <x:c r="N711" s="171" t="str"/>
      <x:c r="O711" s="171" t="str">
        <x:v>Draft — verify in context</x:v>
      </x:c>
      <x:c r="P711" s="167" t="str">
        <x:v>https://www.oxfordlearnersdictionaries.com/wordlists/oxford3000-5000</x:v>
      </x:c>
    </x:row>
    <x:row r="712" ht="26" customHeight="1">
      <x:c r="A712" s="167" t="n">
        <x:v>711</x:v>
      </x:c>
      <x:c r="B712" s="167" t="str">
        <x:v>line-up</x:v>
      </x:c>
      <x:c r="C712" s="167" t="str">
        <x:v>n.</x:v>
      </x:c>
      <x:c r="D712" s="170" t="str">
        <x:v>склад учасників; програма</x:v>
      </x:c>
      <x:c r="E712" s="167" t="str">
        <x:v>No</x:v>
      </x:c>
      <x:c r="F712" s="167"/>
      <x:c r="G712" s="167" t="str">
        <x:v>Core</x:v>
      </x:c>
      <x:c r="H712" s="167" t="str">
        <x:v>General</x:v>
      </x:c>
      <x:c r="I712" s="167" t="str">
        <x:v>Not Started</x:v>
      </x:c>
      <x:c r="J712" s="167" t="n">
        <x:v>0</x:v>
      </x:c>
      <x:c r="K712" s="168"/>
      <x:c r="L712" s="168" t="str">
        <x:f>IF(OR(I712="Mastered",K712=""),"",K712+IF(J712&gt;=5,30,IF(J712=4,14,IF(J712=3,7,IF(J712=2,3,1)))))</x:f>
      </x:c>
      <x:c r="M712" s="171" t="str"/>
      <x:c r="N712" s="171" t="str"/>
      <x:c r="O712" s="171" t="str">
        <x:v>Draft — verify in context</x:v>
      </x:c>
      <x:c r="P712" s="167" t="str">
        <x:v>https://www.oxfordlearnersdictionaries.com/wordlists/oxford3000-5000</x:v>
      </x:c>
    </x:row>
    <x:row r="713" ht="26" customHeight="1">
      <x:c r="A713" s="167" t="n">
        <x:v>712</x:v>
      </x:c>
      <x:c r="B713" s="167" t="str">
        <x:v>linger</x:v>
      </x:c>
      <x:c r="C713" s="167" t="str">
        <x:v>v.</x:v>
      </x:c>
      <x:c r="D713" s="170" t="str">
        <x:v>затримуватися</x:v>
      </x:c>
      <x:c r="E713" s="167" t="str">
        <x:v>No</x:v>
      </x:c>
      <x:c r="F713" s="167"/>
      <x:c r="G713" s="167" t="str">
        <x:v>Core</x:v>
      </x:c>
      <x:c r="H713" s="167" t="str">
        <x:v>General</x:v>
      </x:c>
      <x:c r="I713" s="167" t="str">
        <x:v>Not Started</x:v>
      </x:c>
      <x:c r="J713" s="167" t="n">
        <x:v>0</x:v>
      </x:c>
      <x:c r="K713" s="168"/>
      <x:c r="L713" s="168" t="str">
        <x:f>IF(OR(I713="Mastered",K713=""),"",K713+IF(J713&gt;=5,30,IF(J713=4,14,IF(J713=3,7,IF(J713=2,3,1)))))</x:f>
      </x:c>
      <x:c r="M713" s="171" t="str"/>
      <x:c r="N713" s="171" t="str"/>
      <x:c r="O713" s="171" t="str">
        <x:v>Draft — verify in context</x:v>
      </x:c>
      <x:c r="P713" s="167" t="str">
        <x:v>https://www.oxfordlearnersdictionaries.com/wordlists/oxford3000-5000</x:v>
      </x:c>
    </x:row>
    <x:row r="714" ht="26" customHeight="1">
      <x:c r="A714" s="167" t="n">
        <x:v>713</x:v>
      </x:c>
      <x:c r="B714" s="167" t="str">
        <x:v>listing</x:v>
      </x:c>
      <x:c r="C714" s="167" t="str">
        <x:v>n.</x:v>
      </x:c>
      <x:c r="D714" s="170" t="str">
        <x:v>список</x:v>
      </x:c>
      <x:c r="E714" s="167" t="str">
        <x:v>No</x:v>
      </x:c>
      <x:c r="F714" s="167"/>
      <x:c r="G714" s="167" t="str">
        <x:v>Core</x:v>
      </x:c>
      <x:c r="H714" s="167" t="str">
        <x:v>General</x:v>
      </x:c>
      <x:c r="I714" s="167" t="str">
        <x:v>Not Started</x:v>
      </x:c>
      <x:c r="J714" s="167" t="n">
        <x:v>0</x:v>
      </x:c>
      <x:c r="K714" s="168"/>
      <x:c r="L714" s="168" t="str">
        <x:f>IF(OR(I714="Mastered",K714=""),"",K714+IF(J714&gt;=5,30,IF(J714=4,14,IF(J714=3,7,IF(J714=2,3,1)))))</x:f>
      </x:c>
      <x:c r="M714" s="171" t="str"/>
      <x:c r="N714" s="171" t="str"/>
      <x:c r="O714" s="171" t="str">
        <x:v>Draft — verify in context</x:v>
      </x:c>
      <x:c r="P714" s="167" t="str">
        <x:v>https://www.oxfordlearnersdictionaries.com/wordlists/oxford3000-5000</x:v>
      </x:c>
    </x:row>
    <x:row r="715" ht="26" customHeight="1">
      <x:c r="A715" s="167" t="n">
        <x:v>714</x:v>
      </x:c>
      <x:c r="B715" s="167" t="str">
        <x:v>literacy</x:v>
      </x:c>
      <x:c r="C715" s="167" t="str">
        <x:v>n.</x:v>
      </x:c>
      <x:c r="D715" s="170" t="str">
        <x:v>грамотність</x:v>
      </x:c>
      <x:c r="E715" s="167" t="str">
        <x:v>No</x:v>
      </x:c>
      <x:c r="F715" s="167"/>
      <x:c r="G715" s="167" t="str">
        <x:v>High</x:v>
      </x:c>
      <x:c r="H715" s="167" t="str">
        <x:v>Education</x:v>
      </x:c>
      <x:c r="I715" s="167" t="str">
        <x:v>Not Started</x:v>
      </x:c>
      <x:c r="J715" s="167" t="n">
        <x:v>0</x:v>
      </x:c>
      <x:c r="K715" s="168"/>
      <x:c r="L715" s="168" t="str">
        <x:f>IF(OR(I715="Mastered",K715=""),"",K715+IF(J715&gt;=5,30,IF(J715=4,14,IF(J715=3,7,IF(J715=2,3,1)))))</x:f>
      </x:c>
      <x:c r="M715" s="171" t="str"/>
      <x:c r="N715" s="171" t="str"/>
      <x:c r="O715" s="171" t="str">
        <x:v>Draft — verify in context</x:v>
      </x:c>
      <x:c r="P715" s="167" t="str">
        <x:v>https://www.oxfordlearnersdictionaries.com/wordlists/oxford3000-5000</x:v>
      </x:c>
    </x:row>
    <x:row r="716" ht="26" customHeight="1">
      <x:c r="A716" s="167" t="n">
        <x:v>715</x:v>
      </x:c>
      <x:c r="B716" s="167" t="str">
        <x:v>liver</x:v>
      </x:c>
      <x:c r="C716" s="167" t="str">
        <x:v>n.</x:v>
      </x:c>
      <x:c r="D716" s="170" t="str">
        <x:v>печінка</x:v>
      </x:c>
      <x:c r="E716" s="167" t="str">
        <x:v>No</x:v>
      </x:c>
      <x:c r="F716" s="167"/>
      <x:c r="G716" s="167" t="str">
        <x:v>Core</x:v>
      </x:c>
      <x:c r="H716" s="167" t="str">
        <x:v>General</x:v>
      </x:c>
      <x:c r="I716" s="167" t="str">
        <x:v>Not Started</x:v>
      </x:c>
      <x:c r="J716" s="167" t="n">
        <x:v>0</x:v>
      </x:c>
      <x:c r="K716" s="168"/>
      <x:c r="L716" s="168" t="str">
        <x:f>IF(OR(I716="Mastered",K716=""),"",K716+IF(J716&gt;=5,30,IF(J716=4,14,IF(J716=3,7,IF(J716=2,3,1)))))</x:f>
      </x:c>
      <x:c r="M716" s="171" t="str"/>
      <x:c r="N716" s="171" t="str"/>
      <x:c r="O716" s="171" t="str">
        <x:v>Draft — verify in context</x:v>
      </x:c>
      <x:c r="P716" s="167" t="str">
        <x:v>https://www.oxfordlearnersdictionaries.com/wordlists/oxford3000-5000</x:v>
      </x:c>
    </x:row>
    <x:row r="717" ht="26" customHeight="1">
      <x:c r="A717" s="167" t="n">
        <x:v>716</x:v>
      </x:c>
      <x:c r="B717" s="167" t="str">
        <x:v>lobby</x:v>
      </x:c>
      <x:c r="C717" s="167" t="str">
        <x:v>n., v.</x:v>
      </x:c>
      <x:c r="D717" s="170" t="str">
        <x:v>лобі</x:v>
      </x:c>
      <x:c r="E717" s="167" t="str">
        <x:v>No</x:v>
      </x:c>
      <x:c r="F717" s="167"/>
      <x:c r="G717" s="167" t="str">
        <x:v>Core</x:v>
      </x:c>
      <x:c r="H717" s="167" t="str">
        <x:v>General</x:v>
      </x:c>
      <x:c r="I717" s="167" t="str">
        <x:v>Not Started</x:v>
      </x:c>
      <x:c r="J717" s="167" t="n">
        <x:v>0</x:v>
      </x:c>
      <x:c r="K717" s="168"/>
      <x:c r="L717" s="168" t="str">
        <x:f>IF(OR(I717="Mastered",K717=""),"",K717+IF(J717&gt;=5,30,IF(J717=4,14,IF(J717=3,7,IF(J717=2,3,1)))))</x:f>
      </x:c>
      <x:c r="M717" s="171" t="str"/>
      <x:c r="N717" s="171" t="str"/>
      <x:c r="O717" s="171" t="str">
        <x:v>Draft — verify in context</x:v>
      </x:c>
      <x:c r="P717" s="167" t="str">
        <x:v>https://www.oxfordlearnersdictionaries.com/wordlists/oxford3000-5000</x:v>
      </x:c>
    </x:row>
    <x:row r="718" ht="26" customHeight="1">
      <x:c r="A718" s="167" t="n">
        <x:v>717</x:v>
      </x:c>
      <x:c r="B718" s="167" t="str">
        <x:v>log</x:v>
      </x:c>
      <x:c r="C718" s="167" t="str">
        <x:v>n., v.</x:v>
      </x:c>
      <x:c r="D718" s="170" t="str">
        <x:v>колода</x:v>
      </x:c>
      <x:c r="E718" s="167" t="str">
        <x:v>No</x:v>
      </x:c>
      <x:c r="F718" s="167"/>
      <x:c r="G718" s="167" t="str">
        <x:v>Core</x:v>
      </x:c>
      <x:c r="H718" s="167" t="str">
        <x:v>General</x:v>
      </x:c>
      <x:c r="I718" s="167" t="str">
        <x:v>Not Started</x:v>
      </x:c>
      <x:c r="J718" s="167" t="n">
        <x:v>0</x:v>
      </x:c>
      <x:c r="K718" s="168"/>
      <x:c r="L718" s="168" t="str">
        <x:f>IF(OR(I718="Mastered",K718=""),"",K718+IF(J718&gt;=5,30,IF(J718=4,14,IF(J718=3,7,IF(J718=2,3,1)))))</x:f>
      </x:c>
      <x:c r="M718" s="171" t="str"/>
      <x:c r="N718" s="171" t="str"/>
      <x:c r="O718" s="171" t="str">
        <x:v>Draft — verify in context</x:v>
      </x:c>
      <x:c r="P718" s="167" t="str">
        <x:v>https://www.oxfordlearnersdictionaries.com/wordlists/oxford3000-5000</x:v>
      </x:c>
    </x:row>
    <x:row r="719" ht="26" customHeight="1">
      <x:c r="A719" s="167" t="n">
        <x:v>718</x:v>
      </x:c>
      <x:c r="B719" s="167" t="str">
        <x:v>logic</x:v>
      </x:c>
      <x:c r="C719" s="167" t="str">
        <x:v>n.</x:v>
      </x:c>
      <x:c r="D719" s="170" t="str">
        <x:v>логіка</x:v>
      </x:c>
      <x:c r="E719" s="167" t="str">
        <x:v>Yes</x:v>
      </x:c>
      <x:c r="F719" s="167" t="n">
        <x:v>5</x:v>
      </x:c>
      <x:c r="G719" s="167" t="str">
        <x:v>High</x:v>
      </x:c>
      <x:c r="H719" s="167" t="str">
        <x:v>General</x:v>
      </x:c>
      <x:c r="I719" s="167" t="str">
        <x:v>Not Started</x:v>
      </x:c>
      <x:c r="J719" s="167" t="n">
        <x:v>0</x:v>
      </x:c>
      <x:c r="K719" s="168"/>
      <x:c r="L719" s="168" t="str">
        <x:f>IF(OR(I719="Mastered",K719=""),"",K719+IF(J719&gt;=5,30,IF(J719=4,14,IF(J719=3,7,IF(J719=2,3,1)))))</x:f>
      </x:c>
      <x:c r="M719" s="171" t="str"/>
      <x:c r="N719" s="171" t="str"/>
      <x:c r="O719" s="171" t="str">
        <x:v>Draft — verify in context</x:v>
      </x:c>
      <x:c r="P719" s="167" t="str">
        <x:v>https://www.oxfordlearnersdictionaries.com/wordlists/oxford3000-5000</x:v>
      </x:c>
    </x:row>
    <x:row r="720" ht="26" customHeight="1">
      <x:c r="A720" s="167" t="n">
        <x:v>719</x:v>
      </x:c>
      <x:c r="B720" s="167" t="str">
        <x:v>long-standing</x:v>
      </x:c>
      <x:c r="C720" s="167" t="str">
        <x:v>adj.</x:v>
      </x:c>
      <x:c r="D720" s="170" t="str">
        <x:v>давній</x:v>
      </x:c>
      <x:c r="E720" s="167" t="str">
        <x:v>No</x:v>
      </x:c>
      <x:c r="F720" s="167"/>
      <x:c r="G720" s="167" t="str">
        <x:v>Core</x:v>
      </x:c>
      <x:c r="H720" s="167" t="str">
        <x:v>General</x:v>
      </x:c>
      <x:c r="I720" s="167" t="str">
        <x:v>Not Started</x:v>
      </x:c>
      <x:c r="J720" s="167" t="n">
        <x:v>0</x:v>
      </x:c>
      <x:c r="K720" s="168"/>
      <x:c r="L720" s="168" t="str">
        <x:f>IF(OR(I720="Mastered",K720=""),"",K720+IF(J720&gt;=5,30,IF(J720=4,14,IF(J720=3,7,IF(J720=2,3,1)))))</x:f>
      </x:c>
      <x:c r="M720" s="171" t="str"/>
      <x:c r="N720" s="171" t="str"/>
      <x:c r="O720" s="171" t="str">
        <x:v>Draft — verify in context</x:v>
      </x:c>
      <x:c r="P720" s="167" t="str">
        <x:v>https://www.oxfordlearnersdictionaries.com/wordlists/oxford3000-5000</x:v>
      </x:c>
    </x:row>
    <x:row r="721" ht="26" customHeight="1">
      <x:c r="A721" s="167" t="n">
        <x:v>720</x:v>
      </x:c>
      <x:c r="B721" s="167" t="str">
        <x:v>long-time</x:v>
      </x:c>
      <x:c r="C721" s="167" t="str">
        <x:v>adj.</x:v>
      </x:c>
      <x:c r="D721" s="170" t="str">
        <x:v>давній</x:v>
      </x:c>
      <x:c r="E721" s="167" t="str">
        <x:v>No</x:v>
      </x:c>
      <x:c r="F721" s="167"/>
      <x:c r="G721" s="167" t="str">
        <x:v>Core</x:v>
      </x:c>
      <x:c r="H721" s="167" t="str">
        <x:v>General</x:v>
      </x:c>
      <x:c r="I721" s="167" t="str">
        <x:v>Not Started</x:v>
      </x:c>
      <x:c r="J721" s="167" t="n">
        <x:v>0</x:v>
      </x:c>
      <x:c r="K721" s="168"/>
      <x:c r="L721" s="168" t="str">
        <x:f>IF(OR(I721="Mastered",K721=""),"",K721+IF(J721&gt;=5,30,IF(J721=4,14,IF(J721=3,7,IF(J721=2,3,1)))))</x:f>
      </x:c>
      <x:c r="M721" s="171" t="str"/>
      <x:c r="N721" s="171" t="str"/>
      <x:c r="O721" s="171" t="str">
        <x:v>Draft — verify in context</x:v>
      </x:c>
      <x:c r="P721" s="167" t="str">
        <x:v>https://www.oxfordlearnersdictionaries.com/wordlists/oxford3000-5000</x:v>
      </x:c>
    </x:row>
    <x:row r="722" ht="26" customHeight="1">
      <x:c r="A722" s="167" t="n">
        <x:v>721</x:v>
      </x:c>
      <x:c r="B722" s="167" t="str">
        <x:v>loom</x:v>
      </x:c>
      <x:c r="C722" s="167" t="str">
        <x:v>v.</x:v>
      </x:c>
      <x:c r="D722" s="170" t="str">
        <x:v>ткацький верстат</x:v>
      </x:c>
      <x:c r="E722" s="167" t="str">
        <x:v>No</x:v>
      </x:c>
      <x:c r="F722" s="167"/>
      <x:c r="G722" s="167" t="str">
        <x:v>Core</x:v>
      </x:c>
      <x:c r="H722" s="167" t="str">
        <x:v>General</x:v>
      </x:c>
      <x:c r="I722" s="167" t="str">
        <x:v>Not Started</x:v>
      </x:c>
      <x:c r="J722" s="167" t="n">
        <x:v>0</x:v>
      </x:c>
      <x:c r="K722" s="168"/>
      <x:c r="L722" s="168" t="str">
        <x:f>IF(OR(I722="Mastered",K722=""),"",K722+IF(J722&gt;=5,30,IF(J722=4,14,IF(J722=3,7,IF(J722=2,3,1)))))</x:f>
      </x:c>
      <x:c r="M722" s="171" t="str"/>
      <x:c r="N722" s="171" t="str"/>
      <x:c r="O722" s="171" t="str">
        <x:v>Draft — verify in context</x:v>
      </x:c>
      <x:c r="P722" s="167" t="str">
        <x:v>https://www.oxfordlearnersdictionaries.com/wordlists/oxford3000-5000</x:v>
      </x:c>
    </x:row>
    <x:row r="723" ht="26" customHeight="1">
      <x:c r="A723" s="167" t="n">
        <x:v>722</x:v>
      </x:c>
      <x:c r="B723" s="167" t="str">
        <x:v>loop</x:v>
      </x:c>
      <x:c r="C723" s="167" t="str">
        <x:v>n.</x:v>
      </x:c>
      <x:c r="D723" s="170" t="str">
        <x:v>петля</x:v>
      </x:c>
      <x:c r="E723" s="167" t="str">
        <x:v>No</x:v>
      </x:c>
      <x:c r="F723" s="167"/>
      <x:c r="G723" s="167" t="str">
        <x:v>Core</x:v>
      </x:c>
      <x:c r="H723" s="167" t="str">
        <x:v>General</x:v>
      </x:c>
      <x:c r="I723" s="167" t="str">
        <x:v>Not Started</x:v>
      </x:c>
      <x:c r="J723" s="167" t="n">
        <x:v>0</x:v>
      </x:c>
      <x:c r="K723" s="168"/>
      <x:c r="L723" s="168" t="str">
        <x:f>IF(OR(I723="Mastered",K723=""),"",K723+IF(J723&gt;=5,30,IF(J723=4,14,IF(J723=3,7,IF(J723=2,3,1)))))</x:f>
      </x:c>
      <x:c r="M723" s="171" t="str"/>
      <x:c r="N723" s="171" t="str"/>
      <x:c r="O723" s="171" t="str">
        <x:v>Draft — verify in context</x:v>
      </x:c>
      <x:c r="P723" s="167" t="str">
        <x:v>https://www.oxfordlearnersdictionaries.com/wordlists/oxford3000-5000</x:v>
      </x:c>
    </x:row>
    <x:row r="724" ht="26" customHeight="1">
      <x:c r="A724" s="167" t="n">
        <x:v>723</x:v>
      </x:c>
      <x:c r="B724" s="167" t="str">
        <x:v>loyalty</x:v>
      </x:c>
      <x:c r="C724" s="167" t="str">
        <x:v>n.</x:v>
      </x:c>
      <x:c r="D724" s="170" t="str">
        <x:v>вірність</x:v>
      </x:c>
      <x:c r="E724" s="167" t="str">
        <x:v>No</x:v>
      </x:c>
      <x:c r="F724" s="167"/>
      <x:c r="G724" s="167" t="str">
        <x:v>Core</x:v>
      </x:c>
      <x:c r="H724" s="167" t="str">
        <x:v>General</x:v>
      </x:c>
      <x:c r="I724" s="167" t="str">
        <x:v>Not Started</x:v>
      </x:c>
      <x:c r="J724" s="167" t="n">
        <x:v>0</x:v>
      </x:c>
      <x:c r="K724" s="168"/>
      <x:c r="L724" s="168" t="str">
        <x:f>IF(OR(I724="Mastered",K724=""),"",K724+IF(J724&gt;=5,30,IF(J724=4,14,IF(J724=3,7,IF(J724=2,3,1)))))</x:f>
      </x:c>
      <x:c r="M724" s="171" t="str"/>
      <x:c r="N724" s="171" t="str"/>
      <x:c r="O724" s="171" t="str">
        <x:v>Draft — verify in context</x:v>
      </x:c>
      <x:c r="P724" s="167" t="str">
        <x:v>https://www.oxfordlearnersdictionaries.com/wordlists/oxford3000-5000</x:v>
      </x:c>
    </x:row>
    <x:row r="725" ht="26" customHeight="1">
      <x:c r="A725" s="167" t="n">
        <x:v>724</x:v>
      </x:c>
      <x:c r="B725" s="167" t="str">
        <x:v>machinery</x:v>
      </x:c>
      <x:c r="C725" s="167" t="str">
        <x:v>n.</x:v>
      </x:c>
      <x:c r="D725" s="170" t="str">
        <x:v>машини</x:v>
      </x:c>
      <x:c r="E725" s="167" t="str">
        <x:v>No</x:v>
      </x:c>
      <x:c r="F725" s="167"/>
      <x:c r="G725" s="167" t="str">
        <x:v>Core</x:v>
      </x:c>
      <x:c r="H725" s="167" t="str">
        <x:v>General</x:v>
      </x:c>
      <x:c r="I725" s="167" t="str">
        <x:v>Not Started</x:v>
      </x:c>
      <x:c r="J725" s="167" t="n">
        <x:v>0</x:v>
      </x:c>
      <x:c r="K725" s="168"/>
      <x:c r="L725" s="168" t="str">
        <x:f>IF(OR(I725="Mastered",K725=""),"",K725+IF(J725&gt;=5,30,IF(J725=4,14,IF(J725=3,7,IF(J725=2,3,1)))))</x:f>
      </x:c>
      <x:c r="M725" s="171" t="str"/>
      <x:c r="N725" s="171" t="str"/>
      <x:c r="O725" s="171" t="str">
        <x:v>Draft — verify in context</x:v>
      </x:c>
      <x:c r="P725" s="167" t="str">
        <x:v>https://www.oxfordlearnersdictionaries.com/wordlists/oxford3000-5000</x:v>
      </x:c>
    </x:row>
    <x:row r="726" ht="26" customHeight="1">
      <x:c r="A726" s="167" t="n">
        <x:v>725</x:v>
      </x:c>
      <x:c r="B726" s="167" t="str">
        <x:v>magical</x:v>
      </x:c>
      <x:c r="C726" s="167" t="str">
        <x:v>adj.</x:v>
      </x:c>
      <x:c r="D726" s="170" t="str">
        <x:v>магічний</x:v>
      </x:c>
      <x:c r="E726" s="167" t="str">
        <x:v>No</x:v>
      </x:c>
      <x:c r="F726" s="167"/>
      <x:c r="G726" s="167" t="str">
        <x:v>Core</x:v>
      </x:c>
      <x:c r="H726" s="167" t="str">
        <x:v>General</x:v>
      </x:c>
      <x:c r="I726" s="167" t="str">
        <x:v>Not Started</x:v>
      </x:c>
      <x:c r="J726" s="167" t="n">
        <x:v>0</x:v>
      </x:c>
      <x:c r="K726" s="168"/>
      <x:c r="L726" s="168" t="str">
        <x:f>IF(OR(I726="Mastered",K726=""),"",K726+IF(J726&gt;=5,30,IF(J726=4,14,IF(J726=3,7,IF(J726=2,3,1)))))</x:f>
      </x:c>
      <x:c r="M726" s="171" t="str"/>
      <x:c r="N726" s="171" t="str"/>
      <x:c r="O726" s="171" t="str">
        <x:v>Draft — verify in context</x:v>
      </x:c>
      <x:c r="P726" s="167" t="str">
        <x:v>https://www.oxfordlearnersdictionaries.com/wordlists/oxford3000-5000</x:v>
      </x:c>
    </x:row>
    <x:row r="727" ht="26" customHeight="1">
      <x:c r="A727" s="167" t="n">
        <x:v>726</x:v>
      </x:c>
      <x:c r="B727" s="167" t="str">
        <x:v>magistrate</x:v>
      </x:c>
      <x:c r="C727" s="167" t="str">
        <x:v>n.</x:v>
      </x:c>
      <x:c r="D727" s="170" t="str">
        <x:v>суддя</x:v>
      </x:c>
      <x:c r="E727" s="167" t="str">
        <x:v>No</x:v>
      </x:c>
      <x:c r="F727" s="167"/>
      <x:c r="G727" s="167" t="str">
        <x:v>Core</x:v>
      </x:c>
      <x:c r="H727" s="167" t="str">
        <x:v>General</x:v>
      </x:c>
      <x:c r="I727" s="167" t="str">
        <x:v>Not Started</x:v>
      </x:c>
      <x:c r="J727" s="167" t="n">
        <x:v>0</x:v>
      </x:c>
      <x:c r="K727" s="168"/>
      <x:c r="L727" s="168" t="str">
        <x:f>IF(OR(I727="Mastered",K727=""),"",K727+IF(J727&gt;=5,30,IF(J727=4,14,IF(J727=3,7,IF(J727=2,3,1)))))</x:f>
      </x:c>
      <x:c r="M727" s="171" t="str"/>
      <x:c r="N727" s="171" t="str"/>
      <x:c r="O727" s="171" t="str">
        <x:v>Draft — verify in context</x:v>
      </x:c>
      <x:c r="P727" s="167" t="str">
        <x:v>https://www.oxfordlearnersdictionaries.com/wordlists/oxford3000-5000</x:v>
      </x:c>
    </x:row>
    <x:row r="728" ht="26" customHeight="1">
      <x:c r="A728" s="167" t="n">
        <x:v>727</x:v>
      </x:c>
      <x:c r="B728" s="167" t="str">
        <x:v>magnetic</x:v>
      </x:c>
      <x:c r="C728" s="167" t="str">
        <x:v>adj.</x:v>
      </x:c>
      <x:c r="D728" s="170" t="str">
        <x:v>магнітний</x:v>
      </x:c>
      <x:c r="E728" s="167" t="str">
        <x:v>No</x:v>
      </x:c>
      <x:c r="F728" s="167"/>
      <x:c r="G728" s="167" t="str">
        <x:v>Core</x:v>
      </x:c>
      <x:c r="H728" s="167" t="str">
        <x:v>General</x:v>
      </x:c>
      <x:c r="I728" s="167" t="str">
        <x:v>Not Started</x:v>
      </x:c>
      <x:c r="J728" s="167" t="n">
        <x:v>0</x:v>
      </x:c>
      <x:c r="K728" s="168"/>
      <x:c r="L728" s="168" t="str">
        <x:f>IF(OR(I728="Mastered",K728=""),"",K728+IF(J728&gt;=5,30,IF(J728=4,14,IF(J728=3,7,IF(J728=2,3,1)))))</x:f>
      </x:c>
      <x:c r="M728" s="171" t="str"/>
      <x:c r="N728" s="171" t="str"/>
      <x:c r="O728" s="171" t="str">
        <x:v>Draft — verify in context</x:v>
      </x:c>
      <x:c r="P728" s="167" t="str">
        <x:v>https://www.oxfordlearnersdictionaries.com/wordlists/oxford3000-5000</x:v>
      </x:c>
    </x:row>
    <x:row r="729" ht="26" customHeight="1">
      <x:c r="A729" s="167" t="n">
        <x:v>728</x:v>
      </x:c>
      <x:c r="B729" s="167" t="str">
        <x:v>magnitude</x:v>
      </x:c>
      <x:c r="C729" s="167" t="str">
        <x:v>n.</x:v>
      </x:c>
      <x:c r="D729" s="170" t="str">
        <x:v>величина</x:v>
      </x:c>
      <x:c r="E729" s="167" t="str">
        <x:v>No</x:v>
      </x:c>
      <x:c r="F729" s="167"/>
      <x:c r="G729" s="167" t="str">
        <x:v>Core</x:v>
      </x:c>
      <x:c r="H729" s="167" t="str">
        <x:v>General</x:v>
      </x:c>
      <x:c r="I729" s="167" t="str">
        <x:v>Not Started</x:v>
      </x:c>
      <x:c r="J729" s="167" t="n">
        <x:v>0</x:v>
      </x:c>
      <x:c r="K729" s="168"/>
      <x:c r="L729" s="168" t="str">
        <x:f>IF(OR(I729="Mastered",K729=""),"",K729+IF(J729&gt;=5,30,IF(J729=4,14,IF(J729=3,7,IF(J729=2,3,1)))))</x:f>
      </x:c>
      <x:c r="M729" s="171" t="str"/>
      <x:c r="N729" s="171" t="str"/>
      <x:c r="O729" s="171" t="str">
        <x:v>Draft — verify in context</x:v>
      </x:c>
      <x:c r="P729" s="167" t="str">
        <x:v>https://www.oxfordlearnersdictionaries.com/wordlists/oxford3000-5000</x:v>
      </x:c>
    </x:row>
    <x:row r="730" ht="26" customHeight="1">
      <x:c r="A730" s="167" t="n">
        <x:v>729</x:v>
      </x:c>
      <x:c r="B730" s="167" t="str">
        <x:v>mainland</x:v>
      </x:c>
      <x:c r="C730" s="167" t="str">
        <x:v>n.</x:v>
      </x:c>
      <x:c r="D730" s="170" t="str">
        <x:v>материк</x:v>
      </x:c>
      <x:c r="E730" s="167" t="str">
        <x:v>No</x:v>
      </x:c>
      <x:c r="F730" s="167"/>
      <x:c r="G730" s="167" t="str">
        <x:v>Core</x:v>
      </x:c>
      <x:c r="H730" s="167" t="str">
        <x:v>General</x:v>
      </x:c>
      <x:c r="I730" s="167" t="str">
        <x:v>Not Started</x:v>
      </x:c>
      <x:c r="J730" s="167" t="n">
        <x:v>0</x:v>
      </x:c>
      <x:c r="K730" s="168"/>
      <x:c r="L730" s="168" t="str">
        <x:f>IF(OR(I730="Mastered",K730=""),"",K730+IF(J730&gt;=5,30,IF(J730=4,14,IF(J730=3,7,IF(J730=2,3,1)))))</x:f>
      </x:c>
      <x:c r="M730" s="171" t="str"/>
      <x:c r="N730" s="171" t="str"/>
      <x:c r="O730" s="171" t="str">
        <x:v>Draft — verify in context</x:v>
      </x:c>
      <x:c r="P730" s="167" t="str">
        <x:v>https://www.oxfordlearnersdictionaries.com/wordlists/oxford3000-5000</x:v>
      </x:c>
    </x:row>
    <x:row r="731" ht="26" customHeight="1">
      <x:c r="A731" s="167" t="n">
        <x:v>730</x:v>
      </x:c>
      <x:c r="B731" s="167" t="str">
        <x:v>mainstream</x:v>
      </x:c>
      <x:c r="C731" s="167" t="str">
        <x:v>n., adj.</x:v>
      </x:c>
      <x:c r="D731" s="170" t="str">
        <x:v>мейнстрим; загальноприйнятий напрям</x:v>
      </x:c>
      <x:c r="E731" s="167" t="str">
        <x:v>No</x:v>
      </x:c>
      <x:c r="F731" s="167"/>
      <x:c r="G731" s="167" t="str">
        <x:v>Core</x:v>
      </x:c>
      <x:c r="H731" s="167" t="str">
        <x:v>General</x:v>
      </x:c>
      <x:c r="I731" s="167" t="str">
        <x:v>Not Started</x:v>
      </x:c>
      <x:c r="J731" s="167" t="n">
        <x:v>0</x:v>
      </x:c>
      <x:c r="K731" s="168"/>
      <x:c r="L731" s="168" t="str">
        <x:f>IF(OR(I731="Mastered",K731=""),"",K731+IF(J731&gt;=5,30,IF(J731=4,14,IF(J731=3,7,IF(J731=2,3,1)))))</x:f>
      </x:c>
      <x:c r="M731" s="171" t="str"/>
      <x:c r="N731" s="171" t="str"/>
      <x:c r="O731" s="171" t="str">
        <x:v>Draft — verify in context</x:v>
      </x:c>
      <x:c r="P731" s="167" t="str">
        <x:v>https://www.oxfordlearnersdictionaries.com/wordlists/oxford3000-5000</x:v>
      </x:c>
    </x:row>
    <x:row r="732" ht="26" customHeight="1">
      <x:c r="A732" s="167" t="n">
        <x:v>731</x:v>
      </x:c>
      <x:c r="B732" s="167" t="str">
        <x:v>maintenance</x:v>
      </x:c>
      <x:c r="C732" s="167" t="str">
        <x:v>n.</x:v>
      </x:c>
      <x:c r="D732" s="170" t="str">
        <x:v>обслуговування</x:v>
      </x:c>
      <x:c r="E732" s="167" t="str">
        <x:v>Yes</x:v>
      </x:c>
      <x:c r="F732" s="167" t="n">
        <x:v>2</x:v>
      </x:c>
      <x:c r="G732" s="167" t="str">
        <x:v>High</x:v>
      </x:c>
      <x:c r="H732" s="167" t="str">
        <x:v>General</x:v>
      </x:c>
      <x:c r="I732" s="167" t="str">
        <x:v>Not Started</x:v>
      </x:c>
      <x:c r="J732" s="167" t="n">
        <x:v>0</x:v>
      </x:c>
      <x:c r="K732" s="168"/>
      <x:c r="L732" s="168" t="str">
        <x:f>IF(OR(I732="Mastered",K732=""),"",K732+IF(J732&gt;=5,30,IF(J732=4,14,IF(J732=3,7,IF(J732=2,3,1)))))</x:f>
      </x:c>
      <x:c r="M732" s="171" t="str"/>
      <x:c r="N732" s="171" t="str"/>
      <x:c r="O732" s="171" t="str">
        <x:v>Draft — verify in context</x:v>
      </x:c>
      <x:c r="P732" s="167" t="str">
        <x:v>https://www.oxfordlearnersdictionaries.com/wordlists/oxford3000-5000</x:v>
      </x:c>
    </x:row>
    <x:row r="733" ht="26" customHeight="1">
      <x:c r="A733" s="167" t="n">
        <x:v>732</x:v>
      </x:c>
      <x:c r="B733" s="167" t="str">
        <x:v>mandate</x:v>
      </x:c>
      <x:c r="C733" s="167" t="str">
        <x:v>n.</x:v>
      </x:c>
      <x:c r="D733" s="170" t="str">
        <x:v>мандат; офіційні повноваження</x:v>
      </x:c>
      <x:c r="E733" s="167" t="str">
        <x:v>No</x:v>
      </x:c>
      <x:c r="F733" s="167"/>
      <x:c r="G733" s="167" t="str">
        <x:v>Core</x:v>
      </x:c>
      <x:c r="H733" s="167" t="str">
        <x:v>General</x:v>
      </x:c>
      <x:c r="I733" s="167" t="str">
        <x:v>Not Started</x:v>
      </x:c>
      <x:c r="J733" s="167" t="n">
        <x:v>0</x:v>
      </x:c>
      <x:c r="K733" s="168"/>
      <x:c r="L733" s="168" t="str">
        <x:f>IF(OR(I733="Mastered",K733=""),"",K733+IF(J733&gt;=5,30,IF(J733=4,14,IF(J733=3,7,IF(J733=2,3,1)))))</x:f>
      </x:c>
      <x:c r="M733" s="171" t="str"/>
      <x:c r="N733" s="171" t="str"/>
      <x:c r="O733" s="171" t="str">
        <x:v>Draft — verify in context</x:v>
      </x:c>
      <x:c r="P733" s="167" t="str">
        <x:v>https://www.oxfordlearnersdictionaries.com/wordlists/oxford3000-5000</x:v>
      </x:c>
    </x:row>
    <x:row r="734" ht="26" customHeight="1">
      <x:c r="A734" s="167" t="n">
        <x:v>733</x:v>
      </x:c>
      <x:c r="B734" s="167" t="str">
        <x:v>mandatory</x:v>
      </x:c>
      <x:c r="C734" s="167" t="str">
        <x:v>adj.</x:v>
      </x:c>
      <x:c r="D734" s="170" t="str">
        <x:v>обов'язковий</x:v>
      </x:c>
      <x:c r="E734" s="167" t="str">
        <x:v>No</x:v>
      </x:c>
      <x:c r="F734" s="167"/>
      <x:c r="G734" s="167" t="str">
        <x:v>Core</x:v>
      </x:c>
      <x:c r="H734" s="167" t="str">
        <x:v>General</x:v>
      </x:c>
      <x:c r="I734" s="167" t="str">
        <x:v>Not Started</x:v>
      </x:c>
      <x:c r="J734" s="167" t="n">
        <x:v>0</x:v>
      </x:c>
      <x:c r="K734" s="168"/>
      <x:c r="L734" s="168" t="str">
        <x:f>IF(OR(I734="Mastered",K734=""),"",K734+IF(J734&gt;=5,30,IF(J734=4,14,IF(J734=3,7,IF(J734=2,3,1)))))</x:f>
      </x:c>
      <x:c r="M734" s="171" t="str"/>
      <x:c r="N734" s="171" t="str"/>
      <x:c r="O734" s="171" t="str">
        <x:v>Draft — verify in context</x:v>
      </x:c>
      <x:c r="P734" s="167" t="str">
        <x:v>https://www.oxfordlearnersdictionaries.com/wordlists/oxford3000-5000</x:v>
      </x:c>
    </x:row>
    <x:row r="735" ht="26" customHeight="1">
      <x:c r="A735" s="167" t="n">
        <x:v>734</x:v>
      </x:c>
      <x:c r="B735" s="167" t="str">
        <x:v>manifest</x:v>
      </x:c>
      <x:c r="C735" s="167" t="str">
        <x:v>v.</x:v>
      </x:c>
      <x:c r="D735" s="170" t="str">
        <x:v>проявляти; виявлятися</x:v>
      </x:c>
      <x:c r="E735" s="167" t="str">
        <x:v>No</x:v>
      </x:c>
      <x:c r="F735" s="167"/>
      <x:c r="G735" s="167" t="str">
        <x:v>Core</x:v>
      </x:c>
      <x:c r="H735" s="167" t="str">
        <x:v>General</x:v>
      </x:c>
      <x:c r="I735" s="167" t="str">
        <x:v>Not Started</x:v>
      </x:c>
      <x:c r="J735" s="167" t="n">
        <x:v>0</x:v>
      </x:c>
      <x:c r="K735" s="168"/>
      <x:c r="L735" s="168" t="str">
        <x:f>IF(OR(I735="Mastered",K735=""),"",K735+IF(J735&gt;=5,30,IF(J735=4,14,IF(J735=3,7,IF(J735=2,3,1)))))</x:f>
      </x:c>
      <x:c r="M735" s="171" t="str"/>
      <x:c r="N735" s="171" t="str"/>
      <x:c r="O735" s="171" t="str">
        <x:v>Draft — verify in context</x:v>
      </x:c>
      <x:c r="P735" s="167" t="str">
        <x:v>https://www.oxfordlearnersdictionaries.com/wordlists/oxford3000-5000</x:v>
      </x:c>
    </x:row>
    <x:row r="736" ht="26" customHeight="1">
      <x:c r="A736" s="167" t="n">
        <x:v>735</x:v>
      </x:c>
      <x:c r="B736" s="167" t="str">
        <x:v>manipulate</x:v>
      </x:c>
      <x:c r="C736" s="167" t="str">
        <x:v>v.</x:v>
      </x:c>
      <x:c r="D736" s="170" t="str">
        <x:v>маніпулювати</x:v>
      </x:c>
      <x:c r="E736" s="167" t="str">
        <x:v>No</x:v>
      </x:c>
      <x:c r="F736" s="167"/>
      <x:c r="G736" s="167" t="str">
        <x:v>Core</x:v>
      </x:c>
      <x:c r="H736" s="167" t="str">
        <x:v>General</x:v>
      </x:c>
      <x:c r="I736" s="167" t="str">
        <x:v>Not Started</x:v>
      </x:c>
      <x:c r="J736" s="167" t="n">
        <x:v>0</x:v>
      </x:c>
      <x:c r="K736" s="168"/>
      <x:c r="L736" s="168" t="str">
        <x:f>IF(OR(I736="Mastered",K736=""),"",K736+IF(J736&gt;=5,30,IF(J736=4,14,IF(J736=3,7,IF(J736=2,3,1)))))</x:f>
      </x:c>
      <x:c r="M736" s="171" t="str"/>
      <x:c r="N736" s="171" t="str"/>
      <x:c r="O736" s="171" t="str">
        <x:v>Draft — verify in context</x:v>
      </x:c>
      <x:c r="P736" s="167" t="str">
        <x:v>https://www.oxfordlearnersdictionaries.com/wordlists/oxford3000-5000</x:v>
      </x:c>
    </x:row>
    <x:row r="737" ht="26" customHeight="1">
      <x:c r="A737" s="167" t="n">
        <x:v>736</x:v>
      </x:c>
      <x:c r="B737" s="167" t="str">
        <x:v>manipulation</x:v>
      </x:c>
      <x:c r="C737" s="167" t="str">
        <x:v>n.</x:v>
      </x:c>
      <x:c r="D737" s="170" t="str">
        <x:v>маніпуляція</x:v>
      </x:c>
      <x:c r="E737" s="167" t="str">
        <x:v>Yes</x:v>
      </x:c>
      <x:c r="F737" s="167" t="n">
        <x:v>8</x:v>
      </x:c>
      <x:c r="G737" s="167" t="str">
        <x:v>High</x:v>
      </x:c>
      <x:c r="H737" s="167" t="str">
        <x:v>General</x:v>
      </x:c>
      <x:c r="I737" s="167" t="str">
        <x:v>Not Started</x:v>
      </x:c>
      <x:c r="J737" s="167" t="n">
        <x:v>0</x:v>
      </x:c>
      <x:c r="K737" s="168"/>
      <x:c r="L737" s="168" t="str">
        <x:f>IF(OR(I737="Mastered",K737=""),"",K737+IF(J737&gt;=5,30,IF(J737=4,14,IF(J737=3,7,IF(J737=2,3,1)))))</x:f>
      </x:c>
      <x:c r="M737" s="171" t="str"/>
      <x:c r="N737" s="171" t="str"/>
      <x:c r="O737" s="171" t="str">
        <x:v>Draft — verify in context</x:v>
      </x:c>
      <x:c r="P737" s="167" t="str">
        <x:v>https://www.oxfordlearnersdictionaries.com/wordlists/oxford3000-5000</x:v>
      </x:c>
    </x:row>
    <x:row r="738" ht="26" customHeight="1">
      <x:c r="A738" s="167" t="n">
        <x:v>737</x:v>
      </x:c>
      <x:c r="B738" s="167" t="str">
        <x:v>manuscript</x:v>
      </x:c>
      <x:c r="C738" s="167" t="str">
        <x:v>n.</x:v>
      </x:c>
      <x:c r="D738" s="170" t="str">
        <x:v>рукопис</x:v>
      </x:c>
      <x:c r="E738" s="167" t="str">
        <x:v>No</x:v>
      </x:c>
      <x:c r="F738" s="167"/>
      <x:c r="G738" s="167" t="str">
        <x:v>Core</x:v>
      </x:c>
      <x:c r="H738" s="167" t="str">
        <x:v>General</x:v>
      </x:c>
      <x:c r="I738" s="167" t="str">
        <x:v>Not Started</x:v>
      </x:c>
      <x:c r="J738" s="167" t="n">
        <x:v>0</x:v>
      </x:c>
      <x:c r="K738" s="168"/>
      <x:c r="L738" s="168" t="str">
        <x:f>IF(OR(I738="Mastered",K738=""),"",K738+IF(J738&gt;=5,30,IF(J738=4,14,IF(J738=3,7,IF(J738=2,3,1)))))</x:f>
      </x:c>
      <x:c r="M738" s="171" t="str"/>
      <x:c r="N738" s="171" t="str"/>
      <x:c r="O738" s="171" t="str">
        <x:v>Draft — verify in context</x:v>
      </x:c>
      <x:c r="P738" s="167" t="str">
        <x:v>https://www.oxfordlearnersdictionaries.com/wordlists/oxford3000-5000</x:v>
      </x:c>
    </x:row>
    <x:row r="739" ht="26" customHeight="1">
      <x:c r="A739" s="167" t="n">
        <x:v>738</x:v>
      </x:c>
      <x:c r="B739" s="167" t="str">
        <x:v>march</x:v>
      </x:c>
      <x:c r="C739" s="167" t="str">
        <x:v>n., v.</x:v>
      </x:c>
      <x:c r="D739" s="170" t="str">
        <x:v>марш</x:v>
      </x:c>
      <x:c r="E739" s="167" t="str">
        <x:v>No</x:v>
      </x:c>
      <x:c r="F739" s="167"/>
      <x:c r="G739" s="167" t="str">
        <x:v>Core</x:v>
      </x:c>
      <x:c r="H739" s="167" t="str">
        <x:v>General</x:v>
      </x:c>
      <x:c r="I739" s="167" t="str">
        <x:v>Not Started</x:v>
      </x:c>
      <x:c r="J739" s="167" t="n">
        <x:v>0</x:v>
      </x:c>
      <x:c r="K739" s="168"/>
      <x:c r="L739" s="168" t="str">
        <x:f>IF(OR(I739="Mastered",K739=""),"",K739+IF(J739&gt;=5,30,IF(J739=4,14,IF(J739=3,7,IF(J739=2,3,1)))))</x:f>
      </x:c>
      <x:c r="M739" s="171" t="str"/>
      <x:c r="N739" s="171" t="str"/>
      <x:c r="O739" s="171" t="str">
        <x:v>Draft — verify in context</x:v>
      </x:c>
      <x:c r="P739" s="167" t="str">
        <x:v>https://www.oxfordlearnersdictionaries.com/wordlists/oxford3000-5000</x:v>
      </x:c>
    </x:row>
    <x:row r="740" ht="26" customHeight="1">
      <x:c r="A740" s="167" t="n">
        <x:v>739</x:v>
      </x:c>
      <x:c r="B740" s="167" t="str">
        <x:v>marginal</x:v>
      </x:c>
      <x:c r="C740" s="167" t="str">
        <x:v>adj.</x:v>
      </x:c>
      <x:c r="D740" s="170" t="str">
        <x:v>маргінальний</x:v>
      </x:c>
      <x:c r="E740" s="167" t="str">
        <x:v>Yes</x:v>
      </x:c>
      <x:c r="F740" s="167" t="n">
        <x:v>5</x:v>
      </x:c>
      <x:c r="G740" s="167" t="str">
        <x:v>High</x:v>
      </x:c>
      <x:c r="H740" s="167" t="str">
        <x:v>General</x:v>
      </x:c>
      <x:c r="I740" s="167" t="str">
        <x:v>Not Started</x:v>
      </x:c>
      <x:c r="J740" s="167" t="n">
        <x:v>0</x:v>
      </x:c>
      <x:c r="K740" s="168"/>
      <x:c r="L740" s="168" t="str">
        <x:f>IF(OR(I740="Mastered",K740=""),"",K740+IF(J740&gt;=5,30,IF(J740=4,14,IF(J740=3,7,IF(J740=2,3,1)))))</x:f>
      </x:c>
      <x:c r="M740" s="171" t="str"/>
      <x:c r="N740" s="171" t="str"/>
      <x:c r="O740" s="171" t="str">
        <x:v>Draft — verify in context</x:v>
      </x:c>
      <x:c r="P740" s="167" t="str">
        <x:v>https://www.oxfordlearnersdictionaries.com/wordlists/oxford3000-5000</x:v>
      </x:c>
    </x:row>
    <x:row r="741" ht="26" customHeight="1">
      <x:c r="A741" s="167" t="n">
        <x:v>740</x:v>
      </x:c>
      <x:c r="B741" s="167" t="str">
        <x:v>marine</x:v>
      </x:c>
      <x:c r="C741" s="167" t="str">
        <x:v>adj.</x:v>
      </x:c>
      <x:c r="D741" s="170" t="str">
        <x:v>морський</x:v>
      </x:c>
      <x:c r="E741" s="167" t="str">
        <x:v>No</x:v>
      </x:c>
      <x:c r="F741" s="167"/>
      <x:c r="G741" s="167" t="str">
        <x:v>Core</x:v>
      </x:c>
      <x:c r="H741" s="167" t="str">
        <x:v>General</x:v>
      </x:c>
      <x:c r="I741" s="167" t="str">
        <x:v>Not Started</x:v>
      </x:c>
      <x:c r="J741" s="167" t="n">
        <x:v>0</x:v>
      </x:c>
      <x:c r="K741" s="168"/>
      <x:c r="L741" s="168" t="str">
        <x:f>IF(OR(I741="Mastered",K741=""),"",K741+IF(J741&gt;=5,30,IF(J741=4,14,IF(J741=3,7,IF(J741=2,3,1)))))</x:f>
      </x:c>
      <x:c r="M741" s="171" t="str"/>
      <x:c r="N741" s="171" t="str"/>
      <x:c r="O741" s="171" t="str">
        <x:v>Draft — verify in context</x:v>
      </x:c>
      <x:c r="P741" s="167" t="str">
        <x:v>https://www.oxfordlearnersdictionaries.com/wordlists/oxford3000-5000</x:v>
      </x:c>
    </x:row>
    <x:row r="742" ht="26" customHeight="1">
      <x:c r="A742" s="167" t="n">
        <x:v>741</x:v>
      </x:c>
      <x:c r="B742" s="167" t="str">
        <x:v>marketplace</x:v>
      </x:c>
      <x:c r="C742" s="167" t="str">
        <x:v>n.</x:v>
      </x:c>
      <x:c r="D742" s="170" t="str">
        <x:v>ринок</x:v>
      </x:c>
      <x:c r="E742" s="167" t="str">
        <x:v>No</x:v>
      </x:c>
      <x:c r="F742" s="167"/>
      <x:c r="G742" s="167" t="str">
        <x:v>Core</x:v>
      </x:c>
      <x:c r="H742" s="167" t="str">
        <x:v>General</x:v>
      </x:c>
      <x:c r="I742" s="167" t="str">
        <x:v>Not Started</x:v>
      </x:c>
      <x:c r="J742" s="167" t="n">
        <x:v>0</x:v>
      </x:c>
      <x:c r="K742" s="168"/>
      <x:c r="L742" s="168" t="str">
        <x:f>IF(OR(I742="Mastered",K742=""),"",K742+IF(J742&gt;=5,30,IF(J742=4,14,IF(J742=3,7,IF(J742=2,3,1)))))</x:f>
      </x:c>
      <x:c r="M742" s="171" t="str"/>
      <x:c r="N742" s="171" t="str"/>
      <x:c r="O742" s="171" t="str">
        <x:v>Draft — verify in context</x:v>
      </x:c>
      <x:c r="P742" s="167" t="str">
        <x:v>https://www.oxfordlearnersdictionaries.com/wordlists/oxford3000-5000</x:v>
      </x:c>
    </x:row>
    <x:row r="743" ht="26" customHeight="1">
      <x:c r="A743" s="167" t="n">
        <x:v>742</x:v>
      </x:c>
      <x:c r="B743" s="167" t="str">
        <x:v>mask</x:v>
      </x:c>
      <x:c r="C743" s="167" t="str">
        <x:v>n.</x:v>
      </x:c>
      <x:c r="D743" s="170" t="str">
        <x:v>маска</x:v>
      </x:c>
      <x:c r="E743" s="167" t="str">
        <x:v>No</x:v>
      </x:c>
      <x:c r="F743" s="167"/>
      <x:c r="G743" s="167" t="str">
        <x:v>Core</x:v>
      </x:c>
      <x:c r="H743" s="167" t="str">
        <x:v>General</x:v>
      </x:c>
      <x:c r="I743" s="167" t="str">
        <x:v>Not Started</x:v>
      </x:c>
      <x:c r="J743" s="167" t="n">
        <x:v>0</x:v>
      </x:c>
      <x:c r="K743" s="168"/>
      <x:c r="L743" s="168" t="str">
        <x:f>IF(OR(I743="Mastered",K743=""),"",K743+IF(J743&gt;=5,30,IF(J743=4,14,IF(J743=3,7,IF(J743=2,3,1)))))</x:f>
      </x:c>
      <x:c r="M743" s="171" t="str"/>
      <x:c r="N743" s="171" t="str"/>
      <x:c r="O743" s="171" t="str">
        <x:v>Draft — verify in context</x:v>
      </x:c>
      <x:c r="P743" s="167" t="str">
        <x:v>https://www.oxfordlearnersdictionaries.com/wordlists/oxford3000-5000</x:v>
      </x:c>
    </x:row>
    <x:row r="744" ht="26" customHeight="1">
      <x:c r="A744" s="167" t="n">
        <x:v>743</x:v>
      </x:c>
      <x:c r="B744" s="167" t="str">
        <x:v>massacre</x:v>
      </x:c>
      <x:c r="C744" s="167" t="str">
        <x:v>n.</x:v>
      </x:c>
      <x:c r="D744" s="170" t="str">
        <x:v>різанина</x:v>
      </x:c>
      <x:c r="E744" s="167" t="str">
        <x:v>No</x:v>
      </x:c>
      <x:c r="F744" s="167"/>
      <x:c r="G744" s="167" t="str">
        <x:v>Core</x:v>
      </x:c>
      <x:c r="H744" s="167" t="str">
        <x:v>General</x:v>
      </x:c>
      <x:c r="I744" s="167" t="str">
        <x:v>Not Started</x:v>
      </x:c>
      <x:c r="J744" s="167" t="n">
        <x:v>0</x:v>
      </x:c>
      <x:c r="K744" s="168"/>
      <x:c r="L744" s="168" t="str">
        <x:f>IF(OR(I744="Mastered",K744=""),"",K744+IF(J744&gt;=5,30,IF(J744=4,14,IF(J744=3,7,IF(J744=2,3,1)))))</x:f>
      </x:c>
      <x:c r="M744" s="171" t="str"/>
      <x:c r="N744" s="171" t="str"/>
      <x:c r="O744" s="171" t="str">
        <x:v>Draft — verify in context</x:v>
      </x:c>
      <x:c r="P744" s="167" t="str">
        <x:v>https://www.oxfordlearnersdictionaries.com/wordlists/oxford3000-5000</x:v>
      </x:c>
    </x:row>
    <x:row r="745" ht="26" customHeight="1">
      <x:c r="A745" s="167" t="n">
        <x:v>744</x:v>
      </x:c>
      <x:c r="B745" s="167" t="str">
        <x:v>mathematical</x:v>
      </x:c>
      <x:c r="C745" s="167" t="str">
        <x:v>adj.</x:v>
      </x:c>
      <x:c r="D745" s="170" t="str">
        <x:v>математичний</x:v>
      </x:c>
      <x:c r="E745" s="167" t="str">
        <x:v>No</x:v>
      </x:c>
      <x:c r="F745" s="167"/>
      <x:c r="G745" s="167" t="str">
        <x:v>Core</x:v>
      </x:c>
      <x:c r="H745" s="167" t="str">
        <x:v>General</x:v>
      </x:c>
      <x:c r="I745" s="167" t="str">
        <x:v>Not Started</x:v>
      </x:c>
      <x:c r="J745" s="167" t="n">
        <x:v>0</x:v>
      </x:c>
      <x:c r="K745" s="168"/>
      <x:c r="L745" s="168" t="str">
        <x:f>IF(OR(I745="Mastered",K745=""),"",K745+IF(J745&gt;=5,30,IF(J745=4,14,IF(J745=3,7,IF(J745=2,3,1)))))</x:f>
      </x:c>
      <x:c r="M745" s="171" t="str"/>
      <x:c r="N745" s="171" t="str"/>
      <x:c r="O745" s="171" t="str">
        <x:v>Draft — verify in context</x:v>
      </x:c>
      <x:c r="P745" s="167" t="str">
        <x:v>https://www.oxfordlearnersdictionaries.com/wordlists/oxford3000-5000</x:v>
      </x:c>
    </x:row>
    <x:row r="746" ht="26" customHeight="1">
      <x:c r="A746" s="167" t="n">
        <x:v>745</x:v>
      </x:c>
      <x:c r="B746" s="167" t="str">
        <x:v>mature</x:v>
      </x:c>
      <x:c r="C746" s="167" t="str">
        <x:v>adj., v.</x:v>
      </x:c>
      <x:c r="D746" s="170" t="str">
        <x:v>зрілий</x:v>
      </x:c>
      <x:c r="E746" s="167" t="str">
        <x:v>Yes</x:v>
      </x:c>
      <x:c r="F746" s="167" t="n">
        <x:v>9</x:v>
      </x:c>
      <x:c r="G746" s="167" t="str">
        <x:v>High</x:v>
      </x:c>
      <x:c r="H746" s="167" t="str">
        <x:v>General</x:v>
      </x:c>
      <x:c r="I746" s="167" t="str">
        <x:v>Not Started</x:v>
      </x:c>
      <x:c r="J746" s="167" t="n">
        <x:v>0</x:v>
      </x:c>
      <x:c r="K746" s="168"/>
      <x:c r="L746" s="168" t="str">
        <x:f>IF(OR(I746="Mastered",K746=""),"",K746+IF(J746&gt;=5,30,IF(J746=4,14,IF(J746=3,7,IF(J746=2,3,1)))))</x:f>
      </x:c>
      <x:c r="M746" s="171" t="str"/>
      <x:c r="N746" s="171" t="str"/>
      <x:c r="O746" s="171" t="str">
        <x:v>Draft — verify in context</x:v>
      </x:c>
      <x:c r="P746" s="167" t="str">
        <x:v>https://www.oxfordlearnersdictionaries.com/wordlists/oxford3000-5000</x:v>
      </x:c>
    </x:row>
    <x:row r="747" ht="26" customHeight="1">
      <x:c r="A747" s="167" t="n">
        <x:v>746</x:v>
      </x:c>
      <x:c r="B747" s="167" t="str">
        <x:v>maximize</x:v>
      </x:c>
      <x:c r="C747" s="167" t="str">
        <x:v>v.</x:v>
      </x:c>
      <x:c r="D747" s="170" t="str">
        <x:v>максимізувати</x:v>
      </x:c>
      <x:c r="E747" s="167" t="str">
        <x:v>No</x:v>
      </x:c>
      <x:c r="F747" s="167"/>
      <x:c r="G747" s="167" t="str">
        <x:v>Core</x:v>
      </x:c>
      <x:c r="H747" s="167" t="str">
        <x:v>General</x:v>
      </x:c>
      <x:c r="I747" s="167" t="str">
        <x:v>Not Started</x:v>
      </x:c>
      <x:c r="J747" s="167" t="n">
        <x:v>0</x:v>
      </x:c>
      <x:c r="K747" s="168"/>
      <x:c r="L747" s="168" t="str">
        <x:f>IF(OR(I747="Mastered",K747=""),"",K747+IF(J747&gt;=5,30,IF(J747=4,14,IF(J747=3,7,IF(J747=2,3,1)))))</x:f>
      </x:c>
      <x:c r="M747" s="171" t="str"/>
      <x:c r="N747" s="171" t="str"/>
      <x:c r="O747" s="171" t="str">
        <x:v>Draft — verify in context</x:v>
      </x:c>
      <x:c r="P747" s="167" t="str">
        <x:v>https://www.oxfordlearnersdictionaries.com/wordlists/oxford3000-5000</x:v>
      </x:c>
    </x:row>
    <x:row r="748" ht="26" customHeight="1">
      <x:c r="A748" s="167" t="n">
        <x:v>747</x:v>
      </x:c>
      <x:c r="B748" s="167" t="str">
        <x:v>meaningful</x:v>
      </x:c>
      <x:c r="C748" s="167" t="str">
        <x:v>adj.</x:v>
      </x:c>
      <x:c r="D748" s="170" t="str">
        <x:v>значущий</x:v>
      </x:c>
      <x:c r="E748" s="167" t="str">
        <x:v>No</x:v>
      </x:c>
      <x:c r="F748" s="167"/>
      <x:c r="G748" s="167" t="str">
        <x:v>Core</x:v>
      </x:c>
      <x:c r="H748" s="167" t="str">
        <x:v>General</x:v>
      </x:c>
      <x:c r="I748" s="167" t="str">
        <x:v>Not Started</x:v>
      </x:c>
      <x:c r="J748" s="167" t="n">
        <x:v>0</x:v>
      </x:c>
      <x:c r="K748" s="168"/>
      <x:c r="L748" s="168" t="str">
        <x:f>IF(OR(I748="Mastered",K748=""),"",K748+IF(J748&gt;=5,30,IF(J748=4,14,IF(J748=3,7,IF(J748=2,3,1)))))</x:f>
      </x:c>
      <x:c r="M748" s="171" t="str"/>
      <x:c r="N748" s="171" t="str"/>
      <x:c r="O748" s="171" t="str">
        <x:v>Draft — verify in context</x:v>
      </x:c>
      <x:c r="P748" s="167" t="str">
        <x:v>https://www.oxfordlearnersdictionaries.com/wordlists/oxford3000-5000</x:v>
      </x:c>
    </x:row>
    <x:row r="749" ht="26" customHeight="1">
      <x:c r="A749" s="167" t="n">
        <x:v>748</x:v>
      </x:c>
      <x:c r="B749" s="167" t="str">
        <x:v>meantime</x:v>
      </x:c>
      <x:c r="C749" s="167" t="str">
        <x:v>n.</x:v>
      </x:c>
      <x:c r="D749" s="170" t="str">
        <x:v>тим часом</x:v>
      </x:c>
      <x:c r="E749" s="167" t="str">
        <x:v>No</x:v>
      </x:c>
      <x:c r="F749" s="167"/>
      <x:c r="G749" s="167" t="str">
        <x:v>Core</x:v>
      </x:c>
      <x:c r="H749" s="167" t="str">
        <x:v>General</x:v>
      </x:c>
      <x:c r="I749" s="167" t="str">
        <x:v>Not Started</x:v>
      </x:c>
      <x:c r="J749" s="167" t="n">
        <x:v>0</x:v>
      </x:c>
      <x:c r="K749" s="168"/>
      <x:c r="L749" s="168" t="str">
        <x:f>IF(OR(I749="Mastered",K749=""),"",K749+IF(J749&gt;=5,30,IF(J749=4,14,IF(J749=3,7,IF(J749=2,3,1)))))</x:f>
      </x:c>
      <x:c r="M749" s="171" t="str"/>
      <x:c r="N749" s="171" t="str"/>
      <x:c r="O749" s="171" t="str">
        <x:v>Draft — verify in context</x:v>
      </x:c>
      <x:c r="P749" s="167" t="str">
        <x:v>https://www.oxfordlearnersdictionaries.com/wordlists/oxford3000-5000</x:v>
      </x:c>
    </x:row>
    <x:row r="750" ht="26" customHeight="1">
      <x:c r="A750" s="167" t="n">
        <x:v>749</x:v>
      </x:c>
      <x:c r="B750" s="167" t="str">
        <x:v>medieval</x:v>
      </x:c>
      <x:c r="C750" s="167" t="str">
        <x:v>adj.</x:v>
      </x:c>
      <x:c r="D750" s="170" t="str">
        <x:v>середньовічний</x:v>
      </x:c>
      <x:c r="E750" s="167" t="str">
        <x:v>No</x:v>
      </x:c>
      <x:c r="F750" s="167"/>
      <x:c r="G750" s="167" t="str">
        <x:v>Core</x:v>
      </x:c>
      <x:c r="H750" s="167" t="str">
        <x:v>General</x:v>
      </x:c>
      <x:c r="I750" s="167" t="str">
        <x:v>Not Started</x:v>
      </x:c>
      <x:c r="J750" s="167" t="n">
        <x:v>0</x:v>
      </x:c>
      <x:c r="K750" s="168"/>
      <x:c r="L750" s="168" t="str">
        <x:f>IF(OR(I750="Mastered",K750=""),"",K750+IF(J750&gt;=5,30,IF(J750=4,14,IF(J750=3,7,IF(J750=2,3,1)))))</x:f>
      </x:c>
      <x:c r="M750" s="171" t="str"/>
      <x:c r="N750" s="171" t="str"/>
      <x:c r="O750" s="171" t="str">
        <x:v>Draft — verify in context</x:v>
      </x:c>
      <x:c r="P750" s="167" t="str">
        <x:v>https://www.oxfordlearnersdictionaries.com/wordlists/oxford3000-5000</x:v>
      </x:c>
    </x:row>
    <x:row r="751" ht="26" customHeight="1">
      <x:c r="A751" s="167" t="n">
        <x:v>750</x:v>
      </x:c>
      <x:c r="B751" s="167" t="str">
        <x:v>meditation</x:v>
      </x:c>
      <x:c r="C751" s="167" t="str">
        <x:v>n.</x:v>
      </x:c>
      <x:c r="D751" s="170" t="str">
        <x:v>медитація</x:v>
      </x:c>
      <x:c r="E751" s="167" t="str">
        <x:v>No</x:v>
      </x:c>
      <x:c r="F751" s="167"/>
      <x:c r="G751" s="167" t="str">
        <x:v>Core</x:v>
      </x:c>
      <x:c r="H751" s="167" t="str">
        <x:v>General</x:v>
      </x:c>
      <x:c r="I751" s="167" t="str">
        <x:v>Not Started</x:v>
      </x:c>
      <x:c r="J751" s="167" t="n">
        <x:v>0</x:v>
      </x:c>
      <x:c r="K751" s="168"/>
      <x:c r="L751" s="168" t="str">
        <x:f>IF(OR(I751="Mastered",K751=""),"",K751+IF(J751&gt;=5,30,IF(J751=4,14,IF(J751=3,7,IF(J751=2,3,1)))))</x:f>
      </x:c>
      <x:c r="M751" s="171" t="str"/>
      <x:c r="N751" s="171" t="str"/>
      <x:c r="O751" s="171" t="str">
        <x:v>Draft — verify in context</x:v>
      </x:c>
      <x:c r="P751" s="167" t="str">
        <x:v>https://www.oxfordlearnersdictionaries.com/wordlists/oxford3000-5000</x:v>
      </x:c>
    </x:row>
    <x:row r="752" ht="26" customHeight="1">
      <x:c r="A752" s="167" t="n">
        <x:v>751</x:v>
      </x:c>
      <x:c r="B752" s="167" t="str">
        <x:v>melody</x:v>
      </x:c>
      <x:c r="C752" s="167" t="str">
        <x:v>n.</x:v>
      </x:c>
      <x:c r="D752" s="170" t="str">
        <x:v>мелодія</x:v>
      </x:c>
      <x:c r="E752" s="167" t="str">
        <x:v>No</x:v>
      </x:c>
      <x:c r="F752" s="167"/>
      <x:c r="G752" s="167" t="str">
        <x:v>Core</x:v>
      </x:c>
      <x:c r="H752" s="167" t="str">
        <x:v>General</x:v>
      </x:c>
      <x:c r="I752" s="167" t="str">
        <x:v>Not Started</x:v>
      </x:c>
      <x:c r="J752" s="167" t="n">
        <x:v>0</x:v>
      </x:c>
      <x:c r="K752" s="168"/>
      <x:c r="L752" s="168" t="str">
        <x:f>IF(OR(I752="Mastered",K752=""),"",K752+IF(J752&gt;=5,30,IF(J752=4,14,IF(J752=3,7,IF(J752=2,3,1)))))</x:f>
      </x:c>
      <x:c r="M752" s="171" t="str"/>
      <x:c r="N752" s="171" t="str"/>
      <x:c r="O752" s="171" t="str">
        <x:v>Draft — verify in context</x:v>
      </x:c>
      <x:c r="P752" s="167" t="str">
        <x:v>https://www.oxfordlearnersdictionaries.com/wordlists/oxford3000-5000</x:v>
      </x:c>
    </x:row>
    <x:row r="753" ht="26" customHeight="1">
      <x:c r="A753" s="167" t="n">
        <x:v>752</x:v>
      </x:c>
      <x:c r="B753" s="167" t="str">
        <x:v>memo</x:v>
      </x:c>
      <x:c r="C753" s="167" t="str">
        <x:v>n.</x:v>
      </x:c>
      <x:c r="D753" s="170" t="str">
        <x:v>записка</x:v>
      </x:c>
      <x:c r="E753" s="167" t="str">
        <x:v>No</x:v>
      </x:c>
      <x:c r="F753" s="167"/>
      <x:c r="G753" s="167" t="str">
        <x:v>Core</x:v>
      </x:c>
      <x:c r="H753" s="167" t="str">
        <x:v>General</x:v>
      </x:c>
      <x:c r="I753" s="167" t="str">
        <x:v>Not Started</x:v>
      </x:c>
      <x:c r="J753" s="167" t="n">
        <x:v>0</x:v>
      </x:c>
      <x:c r="K753" s="168"/>
      <x:c r="L753" s="168" t="str">
        <x:f>IF(OR(I753="Mastered",K753=""),"",K753+IF(J753&gt;=5,30,IF(J753=4,14,IF(J753=3,7,IF(J753=2,3,1)))))</x:f>
      </x:c>
      <x:c r="M753" s="171" t="str"/>
      <x:c r="N753" s="171" t="str"/>
      <x:c r="O753" s="171" t="str">
        <x:v>Draft — verify in context</x:v>
      </x:c>
      <x:c r="P753" s="167" t="str">
        <x:v>https://www.oxfordlearnersdictionaries.com/wordlists/oxford3000-5000</x:v>
      </x:c>
    </x:row>
    <x:row r="754" ht="26" customHeight="1">
      <x:c r="A754" s="167" t="n">
        <x:v>753</x:v>
      </x:c>
      <x:c r="B754" s="167" t="str">
        <x:v>memoir</x:v>
      </x:c>
      <x:c r="C754" s="167" t="str">
        <x:v>n.</x:v>
      </x:c>
      <x:c r="D754" s="170" t="str">
        <x:v>мемуари</x:v>
      </x:c>
      <x:c r="E754" s="167" t="str">
        <x:v>No</x:v>
      </x:c>
      <x:c r="F754" s="167"/>
      <x:c r="G754" s="167" t="str">
        <x:v>Core</x:v>
      </x:c>
      <x:c r="H754" s="167" t="str">
        <x:v>General</x:v>
      </x:c>
      <x:c r="I754" s="167" t="str">
        <x:v>Not Started</x:v>
      </x:c>
      <x:c r="J754" s="167" t="n">
        <x:v>0</x:v>
      </x:c>
      <x:c r="K754" s="168"/>
      <x:c r="L754" s="168" t="str">
        <x:f>IF(OR(I754="Mastered",K754=""),"",K754+IF(J754&gt;=5,30,IF(J754=4,14,IF(J754=3,7,IF(J754=2,3,1)))))</x:f>
      </x:c>
      <x:c r="M754" s="171" t="str"/>
      <x:c r="N754" s="171" t="str"/>
      <x:c r="O754" s="171" t="str">
        <x:v>Draft — verify in context</x:v>
      </x:c>
      <x:c r="P754" s="167" t="str">
        <x:v>https://www.oxfordlearnersdictionaries.com/wordlists/oxford3000-5000</x:v>
      </x:c>
    </x:row>
    <x:row r="755" ht="26" customHeight="1">
      <x:c r="A755" s="167" t="n">
        <x:v>754</x:v>
      </x:c>
      <x:c r="B755" s="167" t="str">
        <x:v>memorial</x:v>
      </x:c>
      <x:c r="C755" s="167" t="str">
        <x:v>n.</x:v>
      </x:c>
      <x:c r="D755" s="170" t="str">
        <x:v>меморіал</x:v>
      </x:c>
      <x:c r="E755" s="167" t="str">
        <x:v>No</x:v>
      </x:c>
      <x:c r="F755" s="167"/>
      <x:c r="G755" s="167" t="str">
        <x:v>Core</x:v>
      </x:c>
      <x:c r="H755" s="167" t="str">
        <x:v>General</x:v>
      </x:c>
      <x:c r="I755" s="167" t="str">
        <x:v>Not Started</x:v>
      </x:c>
      <x:c r="J755" s="167" t="n">
        <x:v>0</x:v>
      </x:c>
      <x:c r="K755" s="168"/>
      <x:c r="L755" s="168" t="str">
        <x:f>IF(OR(I755="Mastered",K755=""),"",K755+IF(J755&gt;=5,30,IF(J755=4,14,IF(J755=3,7,IF(J755=2,3,1)))))</x:f>
      </x:c>
      <x:c r="M755" s="171" t="str"/>
      <x:c r="N755" s="171" t="str"/>
      <x:c r="O755" s="171" t="str">
        <x:v>Draft — verify in context</x:v>
      </x:c>
      <x:c r="P755" s="167" t="str">
        <x:v>https://www.oxfordlearnersdictionaries.com/wordlists/oxford3000-5000</x:v>
      </x:c>
    </x:row>
    <x:row r="756" ht="26" customHeight="1">
      <x:c r="A756" s="167" t="n">
        <x:v>755</x:v>
      </x:c>
      <x:c r="B756" s="167" t="str">
        <x:v>mentor</x:v>
      </x:c>
      <x:c r="C756" s="167" t="str">
        <x:v>n.</x:v>
      </x:c>
      <x:c r="D756" s="170" t="str">
        <x:v>ментор</x:v>
      </x:c>
      <x:c r="E756" s="167" t="str">
        <x:v>No</x:v>
      </x:c>
      <x:c r="F756" s="167"/>
      <x:c r="G756" s="167" t="str">
        <x:v>Core</x:v>
      </x:c>
      <x:c r="H756" s="167" t="str">
        <x:v>General</x:v>
      </x:c>
      <x:c r="I756" s="167" t="str">
        <x:v>Not Started</x:v>
      </x:c>
      <x:c r="J756" s="167" t="n">
        <x:v>0</x:v>
      </x:c>
      <x:c r="K756" s="168"/>
      <x:c r="L756" s="168" t="str">
        <x:f>IF(OR(I756="Mastered",K756=""),"",K756+IF(J756&gt;=5,30,IF(J756=4,14,IF(J756=3,7,IF(J756=2,3,1)))))</x:f>
      </x:c>
      <x:c r="M756" s="171" t="str"/>
      <x:c r="N756" s="171" t="str"/>
      <x:c r="O756" s="171" t="str">
        <x:v>Draft — verify in context</x:v>
      </x:c>
      <x:c r="P756" s="167" t="str">
        <x:v>https://www.oxfordlearnersdictionaries.com/wordlists/oxford3000-5000</x:v>
      </x:c>
    </x:row>
    <x:row r="757" ht="26" customHeight="1">
      <x:c r="A757" s="167" t="n">
        <x:v>756</x:v>
      </x:c>
      <x:c r="B757" s="167" t="str">
        <x:v>merchant</x:v>
      </x:c>
      <x:c r="C757" s="167" t="str">
        <x:v>n.</x:v>
      </x:c>
      <x:c r="D757" s="170" t="str">
        <x:v>купець</x:v>
      </x:c>
      <x:c r="E757" s="167" t="str">
        <x:v>No</x:v>
      </x:c>
      <x:c r="F757" s="167"/>
      <x:c r="G757" s="167" t="str">
        <x:v>Core</x:v>
      </x:c>
      <x:c r="H757" s="167" t="str">
        <x:v>General</x:v>
      </x:c>
      <x:c r="I757" s="167" t="str">
        <x:v>Not Started</x:v>
      </x:c>
      <x:c r="J757" s="167" t="n">
        <x:v>0</x:v>
      </x:c>
      <x:c r="K757" s="168"/>
      <x:c r="L757" s="168" t="str">
        <x:f>IF(OR(I757="Mastered",K757=""),"",K757+IF(J757&gt;=5,30,IF(J757=4,14,IF(J757=3,7,IF(J757=2,3,1)))))</x:f>
      </x:c>
      <x:c r="M757" s="171" t="str"/>
      <x:c r="N757" s="171" t="str"/>
      <x:c r="O757" s="171" t="str">
        <x:v>Draft — verify in context</x:v>
      </x:c>
      <x:c r="P757" s="167" t="str">
        <x:v>https://www.oxfordlearnersdictionaries.com/wordlists/oxford3000-5000</x:v>
      </x:c>
    </x:row>
    <x:row r="758" ht="26" customHeight="1">
      <x:c r="A758" s="167" t="n">
        <x:v>757</x:v>
      </x:c>
      <x:c r="B758" s="167" t="str">
        <x:v>mercy</x:v>
      </x:c>
      <x:c r="C758" s="167" t="str">
        <x:v>n.</x:v>
      </x:c>
      <x:c r="D758" s="170" t="str">
        <x:v>милосердя</x:v>
      </x:c>
      <x:c r="E758" s="167" t="str">
        <x:v>No</x:v>
      </x:c>
      <x:c r="F758" s="167"/>
      <x:c r="G758" s="167" t="str">
        <x:v>Core</x:v>
      </x:c>
      <x:c r="H758" s="167" t="str">
        <x:v>General</x:v>
      </x:c>
      <x:c r="I758" s="167" t="str">
        <x:v>Not Started</x:v>
      </x:c>
      <x:c r="J758" s="167" t="n">
        <x:v>0</x:v>
      </x:c>
      <x:c r="K758" s="168"/>
      <x:c r="L758" s="168" t="str">
        <x:f>IF(OR(I758="Mastered",K758=""),"",K758+IF(J758&gt;=5,30,IF(J758=4,14,IF(J758=3,7,IF(J758=2,3,1)))))</x:f>
      </x:c>
      <x:c r="M758" s="171" t="str"/>
      <x:c r="N758" s="171" t="str"/>
      <x:c r="O758" s="171" t="str">
        <x:v>Draft — verify in context</x:v>
      </x:c>
      <x:c r="P758" s="167" t="str">
        <x:v>https://www.oxfordlearnersdictionaries.com/wordlists/oxford3000-5000</x:v>
      </x:c>
    </x:row>
    <x:row r="759" ht="26" customHeight="1">
      <x:c r="A759" s="167" t="n">
        <x:v>758</x:v>
      </x:c>
      <x:c r="B759" s="167" t="str">
        <x:v>mere</x:v>
      </x:c>
      <x:c r="C759" s="167" t="str">
        <x:v>adj.</x:v>
      </x:c>
      <x:c r="D759" s="170" t="str">
        <x:v>простий</x:v>
      </x:c>
      <x:c r="E759" s="167" t="str">
        <x:v>No</x:v>
      </x:c>
      <x:c r="F759" s="167"/>
      <x:c r="G759" s="167" t="str">
        <x:v>Core</x:v>
      </x:c>
      <x:c r="H759" s="167" t="str">
        <x:v>General</x:v>
      </x:c>
      <x:c r="I759" s="167" t="str">
        <x:v>Not Started</x:v>
      </x:c>
      <x:c r="J759" s="167" t="n">
        <x:v>0</x:v>
      </x:c>
      <x:c r="K759" s="168"/>
      <x:c r="L759" s="168" t="str">
        <x:f>IF(OR(I759="Mastered",K759=""),"",K759+IF(J759&gt;=5,30,IF(J759=4,14,IF(J759=3,7,IF(J759=2,3,1)))))</x:f>
      </x:c>
      <x:c r="M759" s="171" t="str"/>
      <x:c r="N759" s="171" t="str"/>
      <x:c r="O759" s="171" t="str">
        <x:v>Draft — verify in context</x:v>
      </x:c>
      <x:c r="P759" s="167" t="str">
        <x:v>https://www.oxfordlearnersdictionaries.com/wordlists/oxford3000-5000</x:v>
      </x:c>
    </x:row>
    <x:row r="760" ht="26" customHeight="1">
      <x:c r="A760" s="167" t="n">
        <x:v>759</x:v>
      </x:c>
      <x:c r="B760" s="167" t="str">
        <x:v>merely</x:v>
      </x:c>
      <x:c r="C760" s="167" t="str">
        <x:v>adv.</x:v>
      </x:c>
      <x:c r="D760" s="170" t="str">
        <x:v>просто</x:v>
      </x:c>
      <x:c r="E760" s="167" t="str">
        <x:v>No</x:v>
      </x:c>
      <x:c r="F760" s="167"/>
      <x:c r="G760" s="167" t="str">
        <x:v>Core</x:v>
      </x:c>
      <x:c r="H760" s="167" t="str">
        <x:v>General</x:v>
      </x:c>
      <x:c r="I760" s="167" t="str">
        <x:v>Not Started</x:v>
      </x:c>
      <x:c r="J760" s="167" t="n">
        <x:v>0</x:v>
      </x:c>
      <x:c r="K760" s="168"/>
      <x:c r="L760" s="168" t="str">
        <x:f>IF(OR(I760="Mastered",K760=""),"",K760+IF(J760&gt;=5,30,IF(J760=4,14,IF(J760=3,7,IF(J760=2,3,1)))))</x:f>
      </x:c>
      <x:c r="M760" s="171" t="str"/>
      <x:c r="N760" s="171" t="str"/>
      <x:c r="O760" s="171" t="str">
        <x:v>Draft — verify in context</x:v>
      </x:c>
      <x:c r="P760" s="167" t="str">
        <x:v>https://www.oxfordlearnersdictionaries.com/wordlists/oxford3000-5000</x:v>
      </x:c>
    </x:row>
    <x:row r="761" ht="26" customHeight="1">
      <x:c r="A761" s="167" t="n">
        <x:v>760</x:v>
      </x:c>
      <x:c r="B761" s="167" t="str">
        <x:v>merge</x:v>
      </x:c>
      <x:c r="C761" s="167" t="str">
        <x:v>v.</x:v>
      </x:c>
      <x:c r="D761" s="170" t="str">
        <x:v>злити</x:v>
      </x:c>
      <x:c r="E761" s="167" t="str">
        <x:v>No</x:v>
      </x:c>
      <x:c r="F761" s="167"/>
      <x:c r="G761" s="167" t="str">
        <x:v>Core</x:v>
      </x:c>
      <x:c r="H761" s="167" t="str">
        <x:v>General</x:v>
      </x:c>
      <x:c r="I761" s="167" t="str">
        <x:v>Not Started</x:v>
      </x:c>
      <x:c r="J761" s="167" t="n">
        <x:v>0</x:v>
      </x:c>
      <x:c r="K761" s="168"/>
      <x:c r="L761" s="168" t="str">
        <x:f>IF(OR(I761="Mastered",K761=""),"",K761+IF(J761&gt;=5,30,IF(J761=4,14,IF(J761=3,7,IF(J761=2,3,1)))))</x:f>
      </x:c>
      <x:c r="M761" s="171" t="str"/>
      <x:c r="N761" s="171" t="str"/>
      <x:c r="O761" s="171" t="str">
        <x:v>Draft — verify in context</x:v>
      </x:c>
      <x:c r="P761" s="167" t="str">
        <x:v>https://www.oxfordlearnersdictionaries.com/wordlists/oxford3000-5000</x:v>
      </x:c>
    </x:row>
    <x:row r="762" ht="26" customHeight="1">
      <x:c r="A762" s="167" t="n">
        <x:v>761</x:v>
      </x:c>
      <x:c r="B762" s="167" t="str">
        <x:v>merger</x:v>
      </x:c>
      <x:c r="C762" s="167" t="str">
        <x:v>n.</x:v>
      </x:c>
      <x:c r="D762" s="170" t="str">
        <x:v>злиття</x:v>
      </x:c>
      <x:c r="E762" s="167" t="str">
        <x:v>No</x:v>
      </x:c>
      <x:c r="F762" s="167"/>
      <x:c r="G762" s="167" t="str">
        <x:v>Core</x:v>
      </x:c>
      <x:c r="H762" s="167" t="str">
        <x:v>General</x:v>
      </x:c>
      <x:c r="I762" s="167" t="str">
        <x:v>Not Started</x:v>
      </x:c>
      <x:c r="J762" s="167" t="n">
        <x:v>0</x:v>
      </x:c>
      <x:c r="K762" s="168"/>
      <x:c r="L762" s="168" t="str">
        <x:f>IF(OR(I762="Mastered",K762=""),"",K762+IF(J762&gt;=5,30,IF(J762=4,14,IF(J762=3,7,IF(J762=2,3,1)))))</x:f>
      </x:c>
      <x:c r="M762" s="171" t="str"/>
      <x:c r="N762" s="171" t="str"/>
      <x:c r="O762" s="171" t="str">
        <x:v>Draft — verify in context</x:v>
      </x:c>
      <x:c r="P762" s="167" t="str">
        <x:v>https://www.oxfordlearnersdictionaries.com/wordlists/oxford3000-5000</x:v>
      </x:c>
    </x:row>
    <x:row r="763" ht="26" customHeight="1">
      <x:c r="A763" s="167" t="n">
        <x:v>762</x:v>
      </x:c>
      <x:c r="B763" s="167" t="str">
        <x:v>merit</x:v>
      </x:c>
      <x:c r="C763" s="167" t="str">
        <x:v>n.</x:v>
      </x:c>
      <x:c r="D763" s="170" t="str">
        <x:v>заслуга</x:v>
      </x:c>
      <x:c r="E763" s="167" t="str">
        <x:v>No</x:v>
      </x:c>
      <x:c r="F763" s="167"/>
      <x:c r="G763" s="167" t="str">
        <x:v>Core</x:v>
      </x:c>
      <x:c r="H763" s="167" t="str">
        <x:v>General</x:v>
      </x:c>
      <x:c r="I763" s="167" t="str">
        <x:v>Not Started</x:v>
      </x:c>
      <x:c r="J763" s="167" t="n">
        <x:v>0</x:v>
      </x:c>
      <x:c r="K763" s="168"/>
      <x:c r="L763" s="168" t="str">
        <x:f>IF(OR(I763="Mastered",K763=""),"",K763+IF(J763&gt;=5,30,IF(J763=4,14,IF(J763=3,7,IF(J763=2,3,1)))))</x:f>
      </x:c>
      <x:c r="M763" s="171" t="str"/>
      <x:c r="N763" s="171" t="str"/>
      <x:c r="O763" s="171" t="str">
        <x:v>Draft — verify in context</x:v>
      </x:c>
      <x:c r="P763" s="167" t="str">
        <x:v>https://www.oxfordlearnersdictionaries.com/wordlists/oxford3000-5000</x:v>
      </x:c>
    </x:row>
    <x:row r="764" ht="26" customHeight="1">
      <x:c r="A764" s="167" t="n">
        <x:v>763</x:v>
      </x:c>
      <x:c r="B764" s="167" t="str">
        <x:v>methodology</x:v>
      </x:c>
      <x:c r="C764" s="167" t="str">
        <x:v>n.</x:v>
      </x:c>
      <x:c r="D764" s="170" t="str">
        <x:v>методологія</x:v>
      </x:c>
      <x:c r="E764" s="167" t="str">
        <x:v>No</x:v>
      </x:c>
      <x:c r="F764" s="167"/>
      <x:c r="G764" s="167" t="str">
        <x:v>High</x:v>
      </x:c>
      <x:c r="H764" s="167" t="str">
        <x:v>Research &amp; data</x:v>
      </x:c>
      <x:c r="I764" s="167" t="str">
        <x:v>Not Started</x:v>
      </x:c>
      <x:c r="J764" s="167" t="n">
        <x:v>0</x:v>
      </x:c>
      <x:c r="K764" s="168"/>
      <x:c r="L764" s="168" t="str">
        <x:f>IF(OR(I764="Mastered",K764=""),"",K764+IF(J764&gt;=5,30,IF(J764=4,14,IF(J764=3,7,IF(J764=2,3,1)))))</x:f>
      </x:c>
      <x:c r="M764" s="171" t="str"/>
      <x:c r="N764" s="171" t="str"/>
      <x:c r="O764" s="171" t="str">
        <x:v>Draft — verify in context</x:v>
      </x:c>
      <x:c r="P764" s="167" t="str">
        <x:v>https://www.oxfordlearnersdictionaries.com/wordlists/oxford3000-5000</x:v>
      </x:c>
    </x:row>
    <x:row r="765" ht="26" customHeight="1">
      <x:c r="A765" s="167" t="n">
        <x:v>764</x:v>
      </x:c>
      <x:c r="B765" s="167" t="str">
        <x:v>midst</x:v>
      </x:c>
      <x:c r="C765" s="167" t="str">
        <x:v>n.</x:v>
      </x:c>
      <x:c r="D765" s="170" t="str">
        <x:v>посеред</x:v>
      </x:c>
      <x:c r="E765" s="167" t="str">
        <x:v>No</x:v>
      </x:c>
      <x:c r="F765" s="167"/>
      <x:c r="G765" s="167" t="str">
        <x:v>Core</x:v>
      </x:c>
      <x:c r="H765" s="167" t="str">
        <x:v>General</x:v>
      </x:c>
      <x:c r="I765" s="167" t="str">
        <x:v>Not Started</x:v>
      </x:c>
      <x:c r="J765" s="167" t="n">
        <x:v>0</x:v>
      </x:c>
      <x:c r="K765" s="168"/>
      <x:c r="L765" s="168" t="str">
        <x:f>IF(OR(I765="Mastered",K765=""),"",K765+IF(J765&gt;=5,30,IF(J765=4,14,IF(J765=3,7,IF(J765=2,3,1)))))</x:f>
      </x:c>
      <x:c r="M765" s="171" t="str"/>
      <x:c r="N765" s="171" t="str"/>
      <x:c r="O765" s="171" t="str">
        <x:v>Draft — verify in context</x:v>
      </x:c>
      <x:c r="P765" s="167" t="str">
        <x:v>https://www.oxfordlearnersdictionaries.com/wordlists/oxford3000-5000</x:v>
      </x:c>
    </x:row>
    <x:row r="766" ht="26" customHeight="1">
      <x:c r="A766" s="167" t="n">
        <x:v>765</x:v>
      </x:c>
      <x:c r="B766" s="167" t="str">
        <x:v>migration</x:v>
      </x:c>
      <x:c r="C766" s="167" t="str">
        <x:v>n.</x:v>
      </x:c>
      <x:c r="D766" s="170" t="str">
        <x:v>міграція</x:v>
      </x:c>
      <x:c r="E766" s="167" t="str">
        <x:v>Yes</x:v>
      </x:c>
      <x:c r="F766" s="167" t="n">
        <x:v>6</x:v>
      </x:c>
      <x:c r="G766" s="167" t="str">
        <x:v>High</x:v>
      </x:c>
      <x:c r="H766" s="167" t="str">
        <x:v>Society &amp; culture</x:v>
      </x:c>
      <x:c r="I766" s="167" t="str">
        <x:v>Not Started</x:v>
      </x:c>
      <x:c r="J766" s="167" t="n">
        <x:v>0</x:v>
      </x:c>
      <x:c r="K766" s="168"/>
      <x:c r="L766" s="168" t="str">
        <x:f>IF(OR(I766="Mastered",K766=""),"",K766+IF(J766&gt;=5,30,IF(J766=4,14,IF(J766=3,7,IF(J766=2,3,1)))))</x:f>
      </x:c>
      <x:c r="M766" s="171" t="str"/>
      <x:c r="N766" s="171" t="str"/>
      <x:c r="O766" s="171" t="str">
        <x:v>Draft — verify in context</x:v>
      </x:c>
      <x:c r="P766" s="167" t="str">
        <x:v>https://www.oxfordlearnersdictionaries.com/wordlists/oxford3000-5000</x:v>
      </x:c>
    </x:row>
    <x:row r="767" ht="26" customHeight="1">
      <x:c r="A767" s="167" t="n">
        <x:v>766</x:v>
      </x:c>
      <x:c r="B767" s="167" t="str">
        <x:v>militant</x:v>
      </x:c>
      <x:c r="C767" s="167" t="str">
        <x:v>n., adj.</x:v>
      </x:c>
      <x:c r="D767" s="170" t="str">
        <x:v>войовничий</x:v>
      </x:c>
      <x:c r="E767" s="167" t="str">
        <x:v>No</x:v>
      </x:c>
      <x:c r="F767" s="167"/>
      <x:c r="G767" s="167" t="str">
        <x:v>Core</x:v>
      </x:c>
      <x:c r="H767" s="167" t="str">
        <x:v>General</x:v>
      </x:c>
      <x:c r="I767" s="167" t="str">
        <x:v>Not Started</x:v>
      </x:c>
      <x:c r="J767" s="167" t="n">
        <x:v>0</x:v>
      </x:c>
      <x:c r="K767" s="168"/>
      <x:c r="L767" s="168" t="str">
        <x:f>IF(OR(I767="Mastered",K767=""),"",K767+IF(J767&gt;=5,30,IF(J767=4,14,IF(J767=3,7,IF(J767=2,3,1)))))</x:f>
      </x:c>
      <x:c r="M767" s="171" t="str"/>
      <x:c r="N767" s="171" t="str"/>
      <x:c r="O767" s="171" t="str">
        <x:v>Draft — verify in context</x:v>
      </x:c>
      <x:c r="P767" s="167" t="str">
        <x:v>https://www.oxfordlearnersdictionaries.com/wordlists/oxford3000-5000</x:v>
      </x:c>
    </x:row>
    <x:row r="768" ht="26" customHeight="1">
      <x:c r="A768" s="167" t="n">
        <x:v>767</x:v>
      </x:c>
      <x:c r="B768" s="167" t="str">
        <x:v>militia</x:v>
      </x:c>
      <x:c r="C768" s="167" t="str">
        <x:v>n.</x:v>
      </x:c>
      <x:c r="D768" s="170" t="str">
        <x:v>міліція</x:v>
      </x:c>
      <x:c r="E768" s="167" t="str">
        <x:v>No</x:v>
      </x:c>
      <x:c r="F768" s="167"/>
      <x:c r="G768" s="167" t="str">
        <x:v>Core</x:v>
      </x:c>
      <x:c r="H768" s="167" t="str">
        <x:v>General</x:v>
      </x:c>
      <x:c r="I768" s="167" t="str">
        <x:v>Not Started</x:v>
      </x:c>
      <x:c r="J768" s="167" t="n">
        <x:v>0</x:v>
      </x:c>
      <x:c r="K768" s="168"/>
      <x:c r="L768" s="168" t="str">
        <x:f>IF(OR(I768="Mastered",K768=""),"",K768+IF(J768&gt;=5,30,IF(J768=4,14,IF(J768=3,7,IF(J768=2,3,1)))))</x:f>
      </x:c>
      <x:c r="M768" s="171" t="str"/>
      <x:c r="N768" s="171" t="str"/>
      <x:c r="O768" s="171" t="str">
        <x:v>Draft — verify in context</x:v>
      </x:c>
      <x:c r="P768" s="167" t="str">
        <x:v>https://www.oxfordlearnersdictionaries.com/wordlists/oxford3000-5000</x:v>
      </x:c>
    </x:row>
    <x:row r="769" ht="26" customHeight="1">
      <x:c r="A769" s="167" t="n">
        <x:v>768</x:v>
      </x:c>
      <x:c r="B769" s="167" t="str">
        <x:v>mill</x:v>
      </x:c>
      <x:c r="C769" s="167" t="str">
        <x:v>n.</x:v>
      </x:c>
      <x:c r="D769" s="170" t="str">
        <x:v>млин</x:v>
      </x:c>
      <x:c r="E769" s="167" t="str">
        <x:v>No</x:v>
      </x:c>
      <x:c r="F769" s="167"/>
      <x:c r="G769" s="167" t="str">
        <x:v>Core</x:v>
      </x:c>
      <x:c r="H769" s="167" t="str">
        <x:v>General</x:v>
      </x:c>
      <x:c r="I769" s="167" t="str">
        <x:v>Not Started</x:v>
      </x:c>
      <x:c r="J769" s="167" t="n">
        <x:v>0</x:v>
      </x:c>
      <x:c r="K769" s="168"/>
      <x:c r="L769" s="168" t="str">
        <x:f>IF(OR(I769="Mastered",K769=""),"",K769+IF(J769&gt;=5,30,IF(J769=4,14,IF(J769=3,7,IF(J769=2,3,1)))))</x:f>
      </x:c>
      <x:c r="M769" s="171" t="str"/>
      <x:c r="N769" s="171" t="str"/>
      <x:c r="O769" s="171" t="str">
        <x:v>Draft — verify in context</x:v>
      </x:c>
      <x:c r="P769" s="167" t="str">
        <x:v>https://www.oxfordlearnersdictionaries.com/wordlists/oxford3000-5000</x:v>
      </x:c>
    </x:row>
    <x:row r="770" ht="26" customHeight="1">
      <x:c r="A770" s="167" t="n">
        <x:v>769</x:v>
      </x:c>
      <x:c r="B770" s="167" t="str">
        <x:v>minimal</x:v>
      </x:c>
      <x:c r="C770" s="167" t="str">
        <x:v>adj.</x:v>
      </x:c>
      <x:c r="D770" s="170" t="str">
        <x:v>мінімальний</x:v>
      </x:c>
      <x:c r="E770" s="167" t="str">
        <x:v>Yes</x:v>
      </x:c>
      <x:c r="F770" s="167" t="n">
        <x:v>9</x:v>
      </x:c>
      <x:c r="G770" s="167" t="str">
        <x:v>High</x:v>
      </x:c>
      <x:c r="H770" s="167" t="str">
        <x:v>General</x:v>
      </x:c>
      <x:c r="I770" s="167" t="str">
        <x:v>Not Started</x:v>
      </x:c>
      <x:c r="J770" s="167" t="n">
        <x:v>0</x:v>
      </x:c>
      <x:c r="K770" s="168"/>
      <x:c r="L770" s="168" t="str">
        <x:f>IF(OR(I770="Mastered",K770=""),"",K770+IF(J770&gt;=5,30,IF(J770=4,14,IF(J770=3,7,IF(J770=2,3,1)))))</x:f>
      </x:c>
      <x:c r="M770" s="171" t="str"/>
      <x:c r="N770" s="171" t="str"/>
      <x:c r="O770" s="171" t="str">
        <x:v>Draft — verify in context</x:v>
      </x:c>
      <x:c r="P770" s="167" t="str">
        <x:v>https://www.oxfordlearnersdictionaries.com/wordlists/oxford3000-5000</x:v>
      </x:c>
    </x:row>
    <x:row r="771" ht="26" customHeight="1">
      <x:c r="A771" s="167" t="n">
        <x:v>770</x:v>
      </x:c>
      <x:c r="B771" s="167" t="str">
        <x:v>minimize</x:v>
      </x:c>
      <x:c r="C771" s="167" t="str">
        <x:v>v.</x:v>
      </x:c>
      <x:c r="D771" s="170" t="str">
        <x:v>мінімізувати</x:v>
      </x:c>
      <x:c r="E771" s="167" t="str">
        <x:v>No</x:v>
      </x:c>
      <x:c r="F771" s="167"/>
      <x:c r="G771" s="167" t="str">
        <x:v>Core</x:v>
      </x:c>
      <x:c r="H771" s="167" t="str">
        <x:v>General</x:v>
      </x:c>
      <x:c r="I771" s="167" t="str">
        <x:v>Not Started</x:v>
      </x:c>
      <x:c r="J771" s="167" t="n">
        <x:v>0</x:v>
      </x:c>
      <x:c r="K771" s="168"/>
      <x:c r="L771" s="168" t="str">
        <x:f>IF(OR(I771="Mastered",K771=""),"",K771+IF(J771&gt;=5,30,IF(J771=4,14,IF(J771=3,7,IF(J771=2,3,1)))))</x:f>
      </x:c>
      <x:c r="M771" s="171" t="str"/>
      <x:c r="N771" s="171" t="str"/>
      <x:c r="O771" s="171" t="str">
        <x:v>Draft — verify in context</x:v>
      </x:c>
      <x:c r="P771" s="167" t="str">
        <x:v>https://www.oxfordlearnersdictionaries.com/wordlists/oxford3000-5000</x:v>
      </x:c>
    </x:row>
    <x:row r="772" ht="26" customHeight="1">
      <x:c r="A772" s="167" t="n">
        <x:v>771</x:v>
      </x:c>
      <x:c r="B772" s="167" t="str">
        <x:v>mining</x:v>
      </x:c>
      <x:c r="C772" s="167" t="str">
        <x:v>n.</x:v>
      </x:c>
      <x:c r="D772" s="170" t="str">
        <x:v>видобуток</x:v>
      </x:c>
      <x:c r="E772" s="167" t="str">
        <x:v>No</x:v>
      </x:c>
      <x:c r="F772" s="167"/>
      <x:c r="G772" s="167" t="str">
        <x:v>Core</x:v>
      </x:c>
      <x:c r="H772" s="167" t="str">
        <x:v>General</x:v>
      </x:c>
      <x:c r="I772" s="167" t="str">
        <x:v>Not Started</x:v>
      </x:c>
      <x:c r="J772" s="167" t="n">
        <x:v>0</x:v>
      </x:c>
      <x:c r="K772" s="168"/>
      <x:c r="L772" s="168" t="str">
        <x:f>IF(OR(I772="Mastered",K772=""),"",K772+IF(J772&gt;=5,30,IF(J772=4,14,IF(J772=3,7,IF(J772=2,3,1)))))</x:f>
      </x:c>
      <x:c r="M772" s="171" t="str"/>
      <x:c r="N772" s="171" t="str"/>
      <x:c r="O772" s="171" t="str">
        <x:v>Draft — verify in context</x:v>
      </x:c>
      <x:c r="P772" s="167" t="str">
        <x:v>https://www.oxfordlearnersdictionaries.com/wordlists/oxford3000-5000</x:v>
      </x:c>
    </x:row>
    <x:row r="773" ht="26" customHeight="1">
      <x:c r="A773" s="167" t="n">
        <x:v>772</x:v>
      </x:c>
      <x:c r="B773" s="167" t="str">
        <x:v>ministry</x:v>
      </x:c>
      <x:c r="C773" s="167" t="str">
        <x:v>n.</x:v>
      </x:c>
      <x:c r="D773" s="170" t="str">
        <x:v>міністерство</x:v>
      </x:c>
      <x:c r="E773" s="167" t="str">
        <x:v>Yes</x:v>
      </x:c>
      <x:c r="F773" s="167" t="n">
        <x:v>6</x:v>
      </x:c>
      <x:c r="G773" s="167" t="str">
        <x:v>High</x:v>
      </x:c>
      <x:c r="H773" s="167" t="str">
        <x:v>General</x:v>
      </x:c>
      <x:c r="I773" s="167" t="str">
        <x:v>Not Started</x:v>
      </x:c>
      <x:c r="J773" s="167" t="n">
        <x:v>0</x:v>
      </x:c>
      <x:c r="K773" s="168"/>
      <x:c r="L773" s="168" t="str">
        <x:f>IF(OR(I773="Mastered",K773=""),"",K773+IF(J773&gt;=5,30,IF(J773=4,14,IF(J773=3,7,IF(J773=2,3,1)))))</x:f>
      </x:c>
      <x:c r="M773" s="171" t="str"/>
      <x:c r="N773" s="171" t="str"/>
      <x:c r="O773" s="171" t="str">
        <x:v>Draft — verify in context</x:v>
      </x:c>
      <x:c r="P773" s="167" t="str">
        <x:v>https://www.oxfordlearnersdictionaries.com/wordlists/oxford3000-5000</x:v>
      </x:c>
    </x:row>
    <x:row r="774" ht="26" customHeight="1">
      <x:c r="A774" s="167" t="n">
        <x:v>773</x:v>
      </x:c>
      <x:c r="B774" s="167" t="str">
        <x:v>minute2</x:v>
      </x:c>
      <x:c r="C774" s="167" t="str">
        <x:v>adj.</x:v>
      </x:c>
      <x:c r="D774" s="170" t="str">
        <x:v>хвилина</x:v>
      </x:c>
      <x:c r="E774" s="167" t="str">
        <x:v>No</x:v>
      </x:c>
      <x:c r="F774" s="167"/>
      <x:c r="G774" s="167" t="str">
        <x:v>Core</x:v>
      </x:c>
      <x:c r="H774" s="167" t="str">
        <x:v>General</x:v>
      </x:c>
      <x:c r="I774" s="167" t="str">
        <x:v>Not Started</x:v>
      </x:c>
      <x:c r="J774" s="167" t="n">
        <x:v>0</x:v>
      </x:c>
      <x:c r="K774" s="168"/>
      <x:c r="L774" s="168" t="str">
        <x:f>IF(OR(I774="Mastered",K774=""),"",K774+IF(J774&gt;=5,30,IF(J774=4,14,IF(J774=3,7,IF(J774=2,3,1)))))</x:f>
      </x:c>
      <x:c r="M774" s="171" t="str"/>
      <x:c r="N774" s="171" t="str"/>
      <x:c r="O774" s="171" t="str">
        <x:v>Draft — verify in context</x:v>
      </x:c>
      <x:c r="P774" s="167" t="str">
        <x:v>https://www.oxfordlearnersdictionaries.com/wordlists/oxford3000-5000</x:v>
      </x:c>
    </x:row>
    <x:row r="775" ht="26" customHeight="1">
      <x:c r="A775" s="167" t="n">
        <x:v>774</x:v>
      </x:c>
      <x:c r="B775" s="167" t="str">
        <x:v>miracle</x:v>
      </x:c>
      <x:c r="C775" s="167" t="str">
        <x:v>n.</x:v>
      </x:c>
      <x:c r="D775" s="170" t="str">
        <x:v>чудо</x:v>
      </x:c>
      <x:c r="E775" s="167" t="str">
        <x:v>No</x:v>
      </x:c>
      <x:c r="F775" s="167"/>
      <x:c r="G775" s="167" t="str">
        <x:v>Core</x:v>
      </x:c>
      <x:c r="H775" s="167" t="str">
        <x:v>General</x:v>
      </x:c>
      <x:c r="I775" s="167" t="str">
        <x:v>Not Started</x:v>
      </x:c>
      <x:c r="J775" s="167" t="n">
        <x:v>0</x:v>
      </x:c>
      <x:c r="K775" s="168"/>
      <x:c r="L775" s="168" t="str">
        <x:f>IF(OR(I775="Mastered",K775=""),"",K775+IF(J775&gt;=5,30,IF(J775=4,14,IF(J775=3,7,IF(J775=2,3,1)))))</x:f>
      </x:c>
      <x:c r="M775" s="171" t="str"/>
      <x:c r="N775" s="171" t="str"/>
      <x:c r="O775" s="171" t="str">
        <x:v>Draft — verify in context</x:v>
      </x:c>
      <x:c r="P775" s="167" t="str">
        <x:v>https://www.oxfordlearnersdictionaries.com/wordlists/oxford3000-5000</x:v>
      </x:c>
    </x:row>
    <x:row r="776" ht="26" customHeight="1">
      <x:c r="A776" s="167" t="n">
        <x:v>775</x:v>
      </x:c>
      <x:c r="B776" s="167" t="str">
        <x:v>misery</x:v>
      </x:c>
      <x:c r="C776" s="167" t="str">
        <x:v>n.</x:v>
      </x:c>
      <x:c r="D776" s="170" t="str">
        <x:v>страждання</x:v>
      </x:c>
      <x:c r="E776" s="167" t="str">
        <x:v>No</x:v>
      </x:c>
      <x:c r="F776" s="167"/>
      <x:c r="G776" s="167" t="str">
        <x:v>Core</x:v>
      </x:c>
      <x:c r="H776" s="167" t="str">
        <x:v>General</x:v>
      </x:c>
      <x:c r="I776" s="167" t="str">
        <x:v>Not Started</x:v>
      </x:c>
      <x:c r="J776" s="167" t="n">
        <x:v>0</x:v>
      </x:c>
      <x:c r="K776" s="168"/>
      <x:c r="L776" s="168" t="str">
        <x:f>IF(OR(I776="Mastered",K776=""),"",K776+IF(J776&gt;=5,30,IF(J776=4,14,IF(J776=3,7,IF(J776=2,3,1)))))</x:f>
      </x:c>
      <x:c r="M776" s="171" t="str"/>
      <x:c r="N776" s="171" t="str"/>
      <x:c r="O776" s="171" t="str">
        <x:v>Draft — verify in context</x:v>
      </x:c>
      <x:c r="P776" s="167" t="str">
        <x:v>https://www.oxfordlearnersdictionaries.com/wordlists/oxford3000-5000</x:v>
      </x:c>
    </x:row>
    <x:row r="777" ht="26" customHeight="1">
      <x:c r="A777" s="167" t="n">
        <x:v>776</x:v>
      </x:c>
      <x:c r="B777" s="167" t="str">
        <x:v>misleading</x:v>
      </x:c>
      <x:c r="C777" s="167" t="str">
        <x:v>adj.</x:v>
      </x:c>
      <x:c r="D777" s="170" t="str">
        <x:v>оманливий</x:v>
      </x:c>
      <x:c r="E777" s="167" t="str">
        <x:v>No</x:v>
      </x:c>
      <x:c r="F777" s="167"/>
      <x:c r="G777" s="167" t="str">
        <x:v>Core</x:v>
      </x:c>
      <x:c r="H777" s="167" t="str">
        <x:v>General</x:v>
      </x:c>
      <x:c r="I777" s="167" t="str">
        <x:v>Not Started</x:v>
      </x:c>
      <x:c r="J777" s="167" t="n">
        <x:v>0</x:v>
      </x:c>
      <x:c r="K777" s="168"/>
      <x:c r="L777" s="168" t="str">
        <x:f>IF(OR(I777="Mastered",K777=""),"",K777+IF(J777&gt;=5,30,IF(J777=4,14,IF(J777=3,7,IF(J777=2,3,1)))))</x:f>
      </x:c>
      <x:c r="M777" s="171" t="str"/>
      <x:c r="N777" s="171" t="str"/>
      <x:c r="O777" s="171" t="str">
        <x:v>Draft — verify in context</x:v>
      </x:c>
      <x:c r="P777" s="167" t="str">
        <x:v>https://www.oxfordlearnersdictionaries.com/wordlists/oxford3000-5000</x:v>
      </x:c>
    </x:row>
    <x:row r="778" ht="26" customHeight="1">
      <x:c r="A778" s="167" t="n">
        <x:v>777</x:v>
      </x:c>
      <x:c r="B778" s="167" t="str">
        <x:v>missile</x:v>
      </x:c>
      <x:c r="C778" s="167" t="str">
        <x:v>n.</x:v>
      </x:c>
      <x:c r="D778" s="170" t="str">
        <x:v>ракета</x:v>
      </x:c>
      <x:c r="E778" s="167" t="str">
        <x:v>No</x:v>
      </x:c>
      <x:c r="F778" s="167"/>
      <x:c r="G778" s="167" t="str">
        <x:v>Core</x:v>
      </x:c>
      <x:c r="H778" s="167" t="str">
        <x:v>General</x:v>
      </x:c>
      <x:c r="I778" s="167" t="str">
        <x:v>Not Started</x:v>
      </x:c>
      <x:c r="J778" s="167" t="n">
        <x:v>0</x:v>
      </x:c>
      <x:c r="K778" s="168"/>
      <x:c r="L778" s="168" t="str">
        <x:f>IF(OR(I778="Mastered",K778=""),"",K778+IF(J778&gt;=5,30,IF(J778=4,14,IF(J778=3,7,IF(J778=2,3,1)))))</x:f>
      </x:c>
      <x:c r="M778" s="171" t="str"/>
      <x:c r="N778" s="171" t="str"/>
      <x:c r="O778" s="171" t="str">
        <x:v>Draft — verify in context</x:v>
      </x:c>
      <x:c r="P778" s="167" t="str">
        <x:v>https://www.oxfordlearnersdictionaries.com/wordlists/oxford3000-5000</x:v>
      </x:c>
    </x:row>
    <x:row r="779" ht="26" customHeight="1">
      <x:c r="A779" s="167" t="n">
        <x:v>778</x:v>
      </x:c>
      <x:c r="B779" s="167" t="str">
        <x:v>mob</x:v>
      </x:c>
      <x:c r="C779" s="167" t="str">
        <x:v>n.</x:v>
      </x:c>
      <x:c r="D779" s="170" t="str">
        <x:v>моб</x:v>
      </x:c>
      <x:c r="E779" s="167" t="str">
        <x:v>No</x:v>
      </x:c>
      <x:c r="F779" s="167"/>
      <x:c r="G779" s="167" t="str">
        <x:v>Core</x:v>
      </x:c>
      <x:c r="H779" s="167" t="str">
        <x:v>General</x:v>
      </x:c>
      <x:c r="I779" s="167" t="str">
        <x:v>Not Started</x:v>
      </x:c>
      <x:c r="J779" s="167" t="n">
        <x:v>0</x:v>
      </x:c>
      <x:c r="K779" s="168"/>
      <x:c r="L779" s="168" t="str">
        <x:f>IF(OR(I779="Mastered",K779=""),"",K779+IF(J779&gt;=5,30,IF(J779=4,14,IF(J779=3,7,IF(J779=2,3,1)))))</x:f>
      </x:c>
      <x:c r="M779" s="171" t="str"/>
      <x:c r="N779" s="171" t="str"/>
      <x:c r="O779" s="171" t="str">
        <x:v>Draft — verify in context</x:v>
      </x:c>
      <x:c r="P779" s="167" t="str">
        <x:v>https://www.oxfordlearnersdictionaries.com/wordlists/oxford3000-5000</x:v>
      </x:c>
    </x:row>
    <x:row r="780" ht="26" customHeight="1">
      <x:c r="A780" s="167" t="n">
        <x:v>779</x:v>
      </x:c>
      <x:c r="B780" s="167" t="str">
        <x:v>mobility</x:v>
      </x:c>
      <x:c r="C780" s="167" t="str">
        <x:v>n.</x:v>
      </x:c>
      <x:c r="D780" s="170" t="str">
        <x:v>мобільність</x:v>
      </x:c>
      <x:c r="E780" s="167" t="str">
        <x:v>No</x:v>
      </x:c>
      <x:c r="F780" s="167"/>
      <x:c r="G780" s="167" t="str">
        <x:v>Core</x:v>
      </x:c>
      <x:c r="H780" s="167" t="str">
        <x:v>General</x:v>
      </x:c>
      <x:c r="I780" s="167" t="str">
        <x:v>Not Started</x:v>
      </x:c>
      <x:c r="J780" s="167" t="n">
        <x:v>0</x:v>
      </x:c>
      <x:c r="K780" s="168"/>
      <x:c r="L780" s="168" t="str">
        <x:f>IF(OR(I780="Mastered",K780=""),"",K780+IF(J780&gt;=5,30,IF(J780=4,14,IF(J780=3,7,IF(J780=2,3,1)))))</x:f>
      </x:c>
      <x:c r="M780" s="171" t="str"/>
      <x:c r="N780" s="171" t="str"/>
      <x:c r="O780" s="171" t="str">
        <x:v>Draft — verify in context</x:v>
      </x:c>
      <x:c r="P780" s="167" t="str">
        <x:v>https://www.oxfordlearnersdictionaries.com/wordlists/oxford3000-5000</x:v>
      </x:c>
    </x:row>
    <x:row r="781" ht="26" customHeight="1">
      <x:c r="A781" s="167" t="n">
        <x:v>780</x:v>
      </x:c>
      <x:c r="B781" s="167" t="str">
        <x:v>mobilize</x:v>
      </x:c>
      <x:c r="C781" s="167" t="str">
        <x:v>v.</x:v>
      </x:c>
      <x:c r="D781" s="170" t="str">
        <x:v>мобілізувати</x:v>
      </x:c>
      <x:c r="E781" s="167" t="str">
        <x:v>No</x:v>
      </x:c>
      <x:c r="F781" s="167"/>
      <x:c r="G781" s="167" t="str">
        <x:v>Core</x:v>
      </x:c>
      <x:c r="H781" s="167" t="str">
        <x:v>General</x:v>
      </x:c>
      <x:c r="I781" s="167" t="str">
        <x:v>Not Started</x:v>
      </x:c>
      <x:c r="J781" s="167" t="n">
        <x:v>0</x:v>
      </x:c>
      <x:c r="K781" s="168"/>
      <x:c r="L781" s="168" t="str">
        <x:f>IF(OR(I781="Mastered",K781=""),"",K781+IF(J781&gt;=5,30,IF(J781=4,14,IF(J781=3,7,IF(J781=2,3,1)))))</x:f>
      </x:c>
      <x:c r="M781" s="171" t="str"/>
      <x:c r="N781" s="171" t="str"/>
      <x:c r="O781" s="171" t="str">
        <x:v>Draft — verify in context</x:v>
      </x:c>
      <x:c r="P781" s="167" t="str">
        <x:v>https://www.oxfordlearnersdictionaries.com/wordlists/oxford3000-5000</x:v>
      </x:c>
    </x:row>
    <x:row r="782" ht="26" customHeight="1">
      <x:c r="A782" s="167" t="n">
        <x:v>781</x:v>
      </x:c>
      <x:c r="B782" s="167" t="str">
        <x:v>moderate</x:v>
      </x:c>
      <x:c r="C782" s="167" t="str">
        <x:v>adj.</x:v>
      </x:c>
      <x:c r="D782" s="170" t="str">
        <x:v>помірний</x:v>
      </x:c>
      <x:c r="E782" s="167" t="str">
        <x:v>No</x:v>
      </x:c>
      <x:c r="F782" s="167"/>
      <x:c r="G782" s="167" t="str">
        <x:v>Core</x:v>
      </x:c>
      <x:c r="H782" s="167" t="str">
        <x:v>General</x:v>
      </x:c>
      <x:c r="I782" s="167" t="str">
        <x:v>Not Started</x:v>
      </x:c>
      <x:c r="J782" s="167" t="n">
        <x:v>0</x:v>
      </x:c>
      <x:c r="K782" s="168"/>
      <x:c r="L782" s="168" t="str">
        <x:f>IF(OR(I782="Mastered",K782=""),"",K782+IF(J782&gt;=5,30,IF(J782=4,14,IF(J782=3,7,IF(J782=2,3,1)))))</x:f>
      </x:c>
      <x:c r="M782" s="171" t="str"/>
      <x:c r="N782" s="171" t="str"/>
      <x:c r="O782" s="171" t="str">
        <x:v>Draft — verify in context</x:v>
      </x:c>
      <x:c r="P782" s="167" t="str">
        <x:v>https://www.oxfordlearnersdictionaries.com/wordlists/oxford3000-5000</x:v>
      </x:c>
    </x:row>
    <x:row r="783" ht="26" customHeight="1">
      <x:c r="A783" s="167" t="n">
        <x:v>782</x:v>
      </x:c>
      <x:c r="B783" s="167" t="str">
        <x:v>modification</x:v>
      </x:c>
      <x:c r="C783" s="167" t="str">
        <x:v>n.</x:v>
      </x:c>
      <x:c r="D783" s="170" t="str">
        <x:v>модифікація</x:v>
      </x:c>
      <x:c r="E783" s="167" t="str">
        <x:v>No</x:v>
      </x:c>
      <x:c r="F783" s="167"/>
      <x:c r="G783" s="167" t="str">
        <x:v>Core</x:v>
      </x:c>
      <x:c r="H783" s="167" t="str">
        <x:v>General</x:v>
      </x:c>
      <x:c r="I783" s="167" t="str">
        <x:v>Not Started</x:v>
      </x:c>
      <x:c r="J783" s="167" t="n">
        <x:v>0</x:v>
      </x:c>
      <x:c r="K783" s="168"/>
      <x:c r="L783" s="168" t="str">
        <x:f>IF(OR(I783="Mastered",K783=""),"",K783+IF(J783&gt;=5,30,IF(J783=4,14,IF(J783=3,7,IF(J783=2,3,1)))))</x:f>
      </x:c>
      <x:c r="M783" s="171" t="str"/>
      <x:c r="N783" s="171" t="str"/>
      <x:c r="O783" s="171" t="str">
        <x:v>Draft — verify in context</x:v>
      </x:c>
      <x:c r="P783" s="167" t="str">
        <x:v>https://www.oxfordlearnersdictionaries.com/wordlists/oxford3000-5000</x:v>
      </x:c>
    </x:row>
    <x:row r="784" ht="26" customHeight="1">
      <x:c r="A784" s="167" t="n">
        <x:v>783</x:v>
      </x:c>
      <x:c r="B784" s="167" t="str">
        <x:v>momentum</x:v>
      </x:c>
      <x:c r="C784" s="167" t="str">
        <x:v>n.</x:v>
      </x:c>
      <x:c r="D784" s="170" t="str">
        <x:v>імпульс</x:v>
      </x:c>
      <x:c r="E784" s="167" t="str">
        <x:v>No</x:v>
      </x:c>
      <x:c r="F784" s="167"/>
      <x:c r="G784" s="167" t="str">
        <x:v>Core</x:v>
      </x:c>
      <x:c r="H784" s="167" t="str">
        <x:v>General</x:v>
      </x:c>
      <x:c r="I784" s="167" t="str">
        <x:v>Not Started</x:v>
      </x:c>
      <x:c r="J784" s="167" t="n">
        <x:v>0</x:v>
      </x:c>
      <x:c r="K784" s="168"/>
      <x:c r="L784" s="168" t="str">
        <x:f>IF(OR(I784="Mastered",K784=""),"",K784+IF(J784&gt;=5,30,IF(J784=4,14,IF(J784=3,7,IF(J784=2,3,1)))))</x:f>
      </x:c>
      <x:c r="M784" s="171" t="str"/>
      <x:c r="N784" s="171" t="str"/>
      <x:c r="O784" s="171" t="str">
        <x:v>Draft — verify in context</x:v>
      </x:c>
      <x:c r="P784" s="167" t="str">
        <x:v>https://www.oxfordlearnersdictionaries.com/wordlists/oxford3000-5000</x:v>
      </x:c>
    </x:row>
    <x:row r="785" ht="26" customHeight="1">
      <x:c r="A785" s="167" t="n">
        <x:v>784</x:v>
      </x:c>
      <x:c r="B785" s="167" t="str">
        <x:v>monk</x:v>
      </x:c>
      <x:c r="C785" s="167" t="str">
        <x:v>n.</x:v>
      </x:c>
      <x:c r="D785" s="170" t="str">
        <x:v>чернець</x:v>
      </x:c>
      <x:c r="E785" s="167" t="str">
        <x:v>No</x:v>
      </x:c>
      <x:c r="F785" s="167"/>
      <x:c r="G785" s="167" t="str">
        <x:v>Core</x:v>
      </x:c>
      <x:c r="H785" s="167" t="str">
        <x:v>General</x:v>
      </x:c>
      <x:c r="I785" s="167" t="str">
        <x:v>Not Started</x:v>
      </x:c>
      <x:c r="J785" s="167" t="n">
        <x:v>0</x:v>
      </x:c>
      <x:c r="K785" s="168"/>
      <x:c r="L785" s="168" t="str">
        <x:f>IF(OR(I785="Mastered",K785=""),"",K785+IF(J785&gt;=5,30,IF(J785=4,14,IF(J785=3,7,IF(J785=2,3,1)))))</x:f>
      </x:c>
      <x:c r="M785" s="171" t="str"/>
      <x:c r="N785" s="171" t="str"/>
      <x:c r="O785" s="171" t="str">
        <x:v>Draft — verify in context</x:v>
      </x:c>
      <x:c r="P785" s="167" t="str">
        <x:v>https://www.oxfordlearnersdictionaries.com/wordlists/oxford3000-5000</x:v>
      </x:c>
    </x:row>
    <x:row r="786" ht="26" customHeight="1">
      <x:c r="A786" s="167" t="n">
        <x:v>785</x:v>
      </x:c>
      <x:c r="B786" s="167" t="str">
        <x:v>monopoly</x:v>
      </x:c>
      <x:c r="C786" s="167" t="str">
        <x:v>n.</x:v>
      </x:c>
      <x:c r="D786" s="170" t="str">
        <x:v>монополія</x:v>
      </x:c>
      <x:c r="E786" s="167" t="str">
        <x:v>No</x:v>
      </x:c>
      <x:c r="F786" s="167"/>
      <x:c r="G786" s="167" t="str">
        <x:v>Core</x:v>
      </x:c>
      <x:c r="H786" s="167" t="str">
        <x:v>General</x:v>
      </x:c>
      <x:c r="I786" s="167" t="str">
        <x:v>Not Started</x:v>
      </x:c>
      <x:c r="J786" s="167" t="n">
        <x:v>0</x:v>
      </x:c>
      <x:c r="K786" s="168"/>
      <x:c r="L786" s="168" t="str">
        <x:f>IF(OR(I786="Mastered",K786=""),"",K786+IF(J786&gt;=5,30,IF(J786=4,14,IF(J786=3,7,IF(J786=2,3,1)))))</x:f>
      </x:c>
      <x:c r="M786" s="171" t="str"/>
      <x:c r="N786" s="171" t="str"/>
      <x:c r="O786" s="171" t="str">
        <x:v>Draft — verify in context</x:v>
      </x:c>
      <x:c r="P786" s="167" t="str">
        <x:v>https://www.oxfordlearnersdictionaries.com/wordlists/oxford3000-5000</x:v>
      </x:c>
    </x:row>
    <x:row r="787" ht="26" customHeight="1">
      <x:c r="A787" s="167" t="n">
        <x:v>786</x:v>
      </x:c>
      <x:c r="B787" s="167" t="str">
        <x:v>morality</x:v>
      </x:c>
      <x:c r="C787" s="167" t="str">
        <x:v>n.</x:v>
      </x:c>
      <x:c r="D787" s="170" t="str">
        <x:v>мораль</x:v>
      </x:c>
      <x:c r="E787" s="167" t="str">
        <x:v>No</x:v>
      </x:c>
      <x:c r="F787" s="167"/>
      <x:c r="G787" s="167" t="str">
        <x:v>Core</x:v>
      </x:c>
      <x:c r="H787" s="167" t="str">
        <x:v>General</x:v>
      </x:c>
      <x:c r="I787" s="167" t="str">
        <x:v>Not Started</x:v>
      </x:c>
      <x:c r="J787" s="167" t="n">
        <x:v>0</x:v>
      </x:c>
      <x:c r="K787" s="168"/>
      <x:c r="L787" s="168" t="str">
        <x:f>IF(OR(I787="Mastered",K787=""),"",K787+IF(J787&gt;=5,30,IF(J787=4,14,IF(J787=3,7,IF(J787=2,3,1)))))</x:f>
      </x:c>
      <x:c r="M787" s="171" t="str"/>
      <x:c r="N787" s="171" t="str"/>
      <x:c r="O787" s="171" t="str">
        <x:v>Draft — verify in context</x:v>
      </x:c>
      <x:c r="P787" s="167" t="str">
        <x:v>https://www.oxfordlearnersdictionaries.com/wordlists/oxford3000-5000</x:v>
      </x:c>
    </x:row>
    <x:row r="788" ht="26" customHeight="1">
      <x:c r="A788" s="167" t="n">
        <x:v>787</x:v>
      </x:c>
      <x:c r="B788" s="167" t="str">
        <x:v>motive</x:v>
      </x:c>
      <x:c r="C788" s="167" t="str">
        <x:v>n.</x:v>
      </x:c>
      <x:c r="D788" s="170" t="str">
        <x:v>мотив</x:v>
      </x:c>
      <x:c r="E788" s="167" t="str">
        <x:v>No</x:v>
      </x:c>
      <x:c r="F788" s="167"/>
      <x:c r="G788" s="167" t="str">
        <x:v>Core</x:v>
      </x:c>
      <x:c r="H788" s="167" t="str">
        <x:v>General</x:v>
      </x:c>
      <x:c r="I788" s="167" t="str">
        <x:v>Not Started</x:v>
      </x:c>
      <x:c r="J788" s="167" t="n">
        <x:v>0</x:v>
      </x:c>
      <x:c r="K788" s="168"/>
      <x:c r="L788" s="168" t="str">
        <x:f>IF(OR(I788="Mastered",K788=""),"",K788+IF(J788&gt;=5,30,IF(J788=4,14,IF(J788=3,7,IF(J788=2,3,1)))))</x:f>
      </x:c>
      <x:c r="M788" s="171" t="str"/>
      <x:c r="N788" s="171" t="str"/>
      <x:c r="O788" s="171" t="str">
        <x:v>Draft — verify in context</x:v>
      </x:c>
      <x:c r="P788" s="167" t="str">
        <x:v>https://www.oxfordlearnersdictionaries.com/wordlists/oxford3000-5000</x:v>
      </x:c>
    </x:row>
    <x:row r="789" ht="26" customHeight="1">
      <x:c r="A789" s="167" t="n">
        <x:v>788</x:v>
      </x:c>
      <x:c r="B789" s="167" t="str">
        <x:v>motorist</x:v>
      </x:c>
      <x:c r="C789" s="167" t="str">
        <x:v>n.</x:v>
      </x:c>
      <x:c r="D789" s="170" t="str">
        <x:v>автомобіліст</x:v>
      </x:c>
      <x:c r="E789" s="167" t="str">
        <x:v>No</x:v>
      </x:c>
      <x:c r="F789" s="167"/>
      <x:c r="G789" s="167" t="str">
        <x:v>Core</x:v>
      </x:c>
      <x:c r="H789" s="167" t="str">
        <x:v>General</x:v>
      </x:c>
      <x:c r="I789" s="167" t="str">
        <x:v>Not Started</x:v>
      </x:c>
      <x:c r="J789" s="167" t="n">
        <x:v>0</x:v>
      </x:c>
      <x:c r="K789" s="168"/>
      <x:c r="L789" s="168" t="str">
        <x:f>IF(OR(I789="Mastered",K789=""),"",K789+IF(J789&gt;=5,30,IF(J789=4,14,IF(J789=3,7,IF(J789=2,3,1)))))</x:f>
      </x:c>
      <x:c r="M789" s="171" t="str"/>
      <x:c r="N789" s="171" t="str"/>
      <x:c r="O789" s="171" t="str">
        <x:v>Draft — verify in context</x:v>
      </x:c>
      <x:c r="P789" s="167" t="str">
        <x:v>https://www.oxfordlearnersdictionaries.com/wordlists/oxford3000-5000</x:v>
      </x:c>
    </x:row>
    <x:row r="790" ht="26" customHeight="1">
      <x:c r="A790" s="167" t="n">
        <x:v>789</x:v>
      </x:c>
      <x:c r="B790" s="167" t="str">
        <x:v>municipal</x:v>
      </x:c>
      <x:c r="C790" s="167" t="str">
        <x:v>adj.</x:v>
      </x:c>
      <x:c r="D790" s="170" t="str">
        <x:v>муніципальний</x:v>
      </x:c>
      <x:c r="E790" s="167" t="str">
        <x:v>No</x:v>
      </x:c>
      <x:c r="F790" s="167"/>
      <x:c r="G790" s="167" t="str">
        <x:v>Core</x:v>
      </x:c>
      <x:c r="H790" s="167" t="str">
        <x:v>General</x:v>
      </x:c>
      <x:c r="I790" s="167" t="str">
        <x:v>Not Started</x:v>
      </x:c>
      <x:c r="J790" s="167" t="n">
        <x:v>0</x:v>
      </x:c>
      <x:c r="K790" s="168"/>
      <x:c r="L790" s="168" t="str">
        <x:f>IF(OR(I790="Mastered",K790=""),"",K790+IF(J790&gt;=5,30,IF(J790=4,14,IF(J790=3,7,IF(J790=2,3,1)))))</x:f>
      </x:c>
      <x:c r="M790" s="171" t="str"/>
      <x:c r="N790" s="171" t="str"/>
      <x:c r="O790" s="171" t="str">
        <x:v>Draft — verify in context</x:v>
      </x:c>
      <x:c r="P790" s="167" t="str">
        <x:v>https://www.oxfordlearnersdictionaries.com/wordlists/oxford3000-5000</x:v>
      </x:c>
    </x:row>
    <x:row r="791" ht="26" customHeight="1">
      <x:c r="A791" s="167" t="n">
        <x:v>790</x:v>
      </x:c>
      <x:c r="B791" s="167" t="str">
        <x:v>mutual</x:v>
      </x:c>
      <x:c r="C791" s="167" t="str">
        <x:v>adj.</x:v>
      </x:c>
      <x:c r="D791" s="170" t="str">
        <x:v>взаємний</x:v>
      </x:c>
      <x:c r="E791" s="167" t="str">
        <x:v>Yes</x:v>
      </x:c>
      <x:c r="F791" s="167" t="n">
        <x:v>9</x:v>
      </x:c>
      <x:c r="G791" s="167" t="str">
        <x:v>High</x:v>
      </x:c>
      <x:c r="H791" s="167" t="str">
        <x:v>General</x:v>
      </x:c>
      <x:c r="I791" s="167" t="str">
        <x:v>Not Started</x:v>
      </x:c>
      <x:c r="J791" s="167" t="n">
        <x:v>0</x:v>
      </x:c>
      <x:c r="K791" s="168"/>
      <x:c r="L791" s="168" t="str">
        <x:f>IF(OR(I791="Mastered",K791=""),"",K791+IF(J791&gt;=5,30,IF(J791=4,14,IF(J791=3,7,IF(J791=2,3,1)))))</x:f>
      </x:c>
      <x:c r="M791" s="171" t="str"/>
      <x:c r="N791" s="171" t="str"/>
      <x:c r="O791" s="171" t="str">
        <x:v>Draft — verify in context</x:v>
      </x:c>
      <x:c r="P791" s="167" t="str">
        <x:v>https://www.oxfordlearnersdictionaries.com/wordlists/oxford3000-5000</x:v>
      </x:c>
    </x:row>
    <x:row r="792" ht="26" customHeight="1">
      <x:c r="A792" s="167" t="n">
        <x:v>791</x:v>
      </x:c>
      <x:c r="B792" s="167" t="str">
        <x:v>namely</x:v>
      </x:c>
      <x:c r="C792" s="167" t="str">
        <x:v>adv.</x:v>
      </x:c>
      <x:c r="D792" s="170" t="str">
        <x:v>а саме</x:v>
      </x:c>
      <x:c r="E792" s="167" t="str">
        <x:v>No</x:v>
      </x:c>
      <x:c r="F792" s="167"/>
      <x:c r="G792" s="167" t="str">
        <x:v>Core</x:v>
      </x:c>
      <x:c r="H792" s="167" t="str">
        <x:v>General</x:v>
      </x:c>
      <x:c r="I792" s="167" t="str">
        <x:v>Not Started</x:v>
      </x:c>
      <x:c r="J792" s="167" t="n">
        <x:v>0</x:v>
      </x:c>
      <x:c r="K792" s="168"/>
      <x:c r="L792" s="168" t="str">
        <x:f>IF(OR(I792="Mastered",K792=""),"",K792+IF(J792&gt;=5,30,IF(J792=4,14,IF(J792=3,7,IF(J792=2,3,1)))))</x:f>
      </x:c>
      <x:c r="M792" s="171" t="str"/>
      <x:c r="N792" s="171" t="str"/>
      <x:c r="O792" s="171" t="str">
        <x:v>Draft — verify in context</x:v>
      </x:c>
      <x:c r="P792" s="167" t="str">
        <x:v>https://www.oxfordlearnersdictionaries.com/wordlists/oxford3000-5000</x:v>
      </x:c>
    </x:row>
    <x:row r="793" ht="26" customHeight="1">
      <x:c r="A793" s="167" t="n">
        <x:v>792</x:v>
      </x:c>
      <x:c r="B793" s="167" t="str">
        <x:v>nationwide</x:v>
      </x:c>
      <x:c r="C793" s="167" t="str">
        <x:v>adj.</x:v>
      </x:c>
      <x:c r="D793" s="170" t="str">
        <x:v>загальнонаціональний</x:v>
      </x:c>
      <x:c r="E793" s="167" t="str">
        <x:v>No</x:v>
      </x:c>
      <x:c r="F793" s="167"/>
      <x:c r="G793" s="167" t="str">
        <x:v>Core</x:v>
      </x:c>
      <x:c r="H793" s="167" t="str">
        <x:v>General</x:v>
      </x:c>
      <x:c r="I793" s="167" t="str">
        <x:v>Not Started</x:v>
      </x:c>
      <x:c r="J793" s="167" t="n">
        <x:v>0</x:v>
      </x:c>
      <x:c r="K793" s="168"/>
      <x:c r="L793" s="168" t="str">
        <x:f>IF(OR(I793="Mastered",K793=""),"",K793+IF(J793&gt;=5,30,IF(J793=4,14,IF(J793=3,7,IF(J793=2,3,1)))))</x:f>
      </x:c>
      <x:c r="M793" s="171" t="str"/>
      <x:c r="N793" s="171" t="str"/>
      <x:c r="O793" s="171" t="str">
        <x:v>Draft — verify in context</x:v>
      </x:c>
      <x:c r="P793" s="167" t="str">
        <x:v>https://www.oxfordlearnersdictionaries.com/wordlists/oxford3000-5000</x:v>
      </x:c>
    </x:row>
    <x:row r="794" ht="26" customHeight="1">
      <x:c r="A794" s="167" t="n">
        <x:v>793</x:v>
      </x:c>
      <x:c r="B794" s="167" t="str">
        <x:v>naval</x:v>
      </x:c>
      <x:c r="C794" s="167" t="str">
        <x:v>adj.</x:v>
      </x:c>
      <x:c r="D794" s="170" t="str">
        <x:v>морський</x:v>
      </x:c>
      <x:c r="E794" s="167" t="str">
        <x:v>No</x:v>
      </x:c>
      <x:c r="F794" s="167"/>
      <x:c r="G794" s="167" t="str">
        <x:v>Core</x:v>
      </x:c>
      <x:c r="H794" s="167" t="str">
        <x:v>General</x:v>
      </x:c>
      <x:c r="I794" s="167" t="str">
        <x:v>Not Started</x:v>
      </x:c>
      <x:c r="J794" s="167" t="n">
        <x:v>0</x:v>
      </x:c>
      <x:c r="K794" s="168"/>
      <x:c r="L794" s="168" t="str">
        <x:f>IF(OR(I794="Mastered",K794=""),"",K794+IF(J794&gt;=5,30,IF(J794=4,14,IF(J794=3,7,IF(J794=2,3,1)))))</x:f>
      </x:c>
      <x:c r="M794" s="171" t="str"/>
      <x:c r="N794" s="171" t="str"/>
      <x:c r="O794" s="171" t="str">
        <x:v>Draft — verify in context</x:v>
      </x:c>
      <x:c r="P794" s="167" t="str">
        <x:v>https://www.oxfordlearnersdictionaries.com/wordlists/oxford3000-5000</x:v>
      </x:c>
    </x:row>
    <x:row r="795" ht="26" customHeight="1">
      <x:c r="A795" s="167" t="n">
        <x:v>794</x:v>
      </x:c>
      <x:c r="B795" s="167" t="str">
        <x:v>neglect</x:v>
      </x:c>
      <x:c r="C795" s="167" t="str">
        <x:v>v., n.</x:v>
      </x:c>
      <x:c r="D795" s="170" t="str">
        <x:v>нехтувати</x:v>
      </x:c>
      <x:c r="E795" s="167" t="str">
        <x:v>No</x:v>
      </x:c>
      <x:c r="F795" s="167"/>
      <x:c r="G795" s="167" t="str">
        <x:v>Core</x:v>
      </x:c>
      <x:c r="H795" s="167" t="str">
        <x:v>General</x:v>
      </x:c>
      <x:c r="I795" s="167" t="str">
        <x:v>Not Started</x:v>
      </x:c>
      <x:c r="J795" s="167" t="n">
        <x:v>0</x:v>
      </x:c>
      <x:c r="K795" s="168"/>
      <x:c r="L795" s="168" t="str">
        <x:f>IF(OR(I795="Mastered",K795=""),"",K795+IF(J795&gt;=5,30,IF(J795=4,14,IF(J795=3,7,IF(J795=2,3,1)))))</x:f>
      </x:c>
      <x:c r="M795" s="171" t="str"/>
      <x:c r="N795" s="171" t="str"/>
      <x:c r="O795" s="171" t="str">
        <x:v>Draft — verify in context</x:v>
      </x:c>
      <x:c r="P795" s="167" t="str">
        <x:v>https://www.oxfordlearnersdictionaries.com/wordlists/oxford3000-5000</x:v>
      </x:c>
    </x:row>
    <x:row r="796" ht="26" customHeight="1">
      <x:c r="A796" s="167" t="n">
        <x:v>795</x:v>
      </x:c>
      <x:c r="B796" s="167" t="str">
        <x:v>neighbouring</x:v>
      </x:c>
      <x:c r="C796" s="167" t="str">
        <x:v>adj.</x:v>
      </x:c>
      <x:c r="D796" s="170" t="str">
        <x:v>сусідній</x:v>
      </x:c>
      <x:c r="E796" s="167" t="str">
        <x:v>No</x:v>
      </x:c>
      <x:c r="F796" s="167"/>
      <x:c r="G796" s="167" t="str">
        <x:v>Core</x:v>
      </x:c>
      <x:c r="H796" s="167" t="str">
        <x:v>General</x:v>
      </x:c>
      <x:c r="I796" s="167" t="str">
        <x:v>Not Started</x:v>
      </x:c>
      <x:c r="J796" s="167" t="n">
        <x:v>0</x:v>
      </x:c>
      <x:c r="K796" s="168"/>
      <x:c r="L796" s="168" t="str">
        <x:f>IF(OR(I796="Mastered",K796=""),"",K796+IF(J796&gt;=5,30,IF(J796=4,14,IF(J796=3,7,IF(J796=2,3,1)))))</x:f>
      </x:c>
      <x:c r="M796" s="171" t="str"/>
      <x:c r="N796" s="171" t="str"/>
      <x:c r="O796" s="171" t="str">
        <x:v>Draft — verify in context</x:v>
      </x:c>
      <x:c r="P796" s="167" t="str">
        <x:v>https://www.oxfordlearnersdictionaries.com/wordlists/oxford3000-5000</x:v>
      </x:c>
    </x:row>
    <x:row r="797" ht="26" customHeight="1">
      <x:c r="A797" s="167" t="n">
        <x:v>796</x:v>
      </x:c>
      <x:c r="B797" s="167" t="str">
        <x:v>nest</x:v>
      </x:c>
      <x:c r="C797" s="167" t="str">
        <x:v>n.</x:v>
      </x:c>
      <x:c r="D797" s="170" t="str">
        <x:v>гніздо</x:v>
      </x:c>
      <x:c r="E797" s="167" t="str">
        <x:v>No</x:v>
      </x:c>
      <x:c r="F797" s="167"/>
      <x:c r="G797" s="167" t="str">
        <x:v>Core</x:v>
      </x:c>
      <x:c r="H797" s="167" t="str">
        <x:v>General</x:v>
      </x:c>
      <x:c r="I797" s="167" t="str">
        <x:v>Not Started</x:v>
      </x:c>
      <x:c r="J797" s="167" t="n">
        <x:v>0</x:v>
      </x:c>
      <x:c r="K797" s="168"/>
      <x:c r="L797" s="168" t="str">
        <x:f>IF(OR(I797="Mastered",K797=""),"",K797+IF(J797&gt;=5,30,IF(J797=4,14,IF(J797=3,7,IF(J797=2,3,1)))))</x:f>
      </x:c>
      <x:c r="M797" s="171" t="str"/>
      <x:c r="N797" s="171" t="str"/>
      <x:c r="O797" s="171" t="str">
        <x:v>Draft — verify in context</x:v>
      </x:c>
      <x:c r="P797" s="167" t="str">
        <x:v>https://www.oxfordlearnersdictionaries.com/wordlists/oxford3000-5000</x:v>
      </x:c>
    </x:row>
    <x:row r="798" ht="26" customHeight="1">
      <x:c r="A798" s="167" t="n">
        <x:v>797</x:v>
      </x:c>
      <x:c r="B798" s="167" t="str">
        <x:v>net</x:v>
      </x:c>
      <x:c r="C798" s="167" t="str">
        <x:v>adj.</x:v>
      </x:c>
      <x:c r="D798" s="170" t="str">
        <x:v>чистий</x:v>
      </x:c>
      <x:c r="E798" s="167" t="str">
        <x:v>No</x:v>
      </x:c>
      <x:c r="F798" s="167"/>
      <x:c r="G798" s="167" t="str">
        <x:v>Core</x:v>
      </x:c>
      <x:c r="H798" s="167" t="str">
        <x:v>General</x:v>
      </x:c>
      <x:c r="I798" s="167" t="str">
        <x:v>Not Started</x:v>
      </x:c>
      <x:c r="J798" s="167" t="n">
        <x:v>0</x:v>
      </x:c>
      <x:c r="K798" s="168"/>
      <x:c r="L798" s="168" t="str">
        <x:f>IF(OR(I798="Mastered",K798=""),"",K798+IF(J798&gt;=5,30,IF(J798=4,14,IF(J798=3,7,IF(J798=2,3,1)))))</x:f>
      </x:c>
      <x:c r="M798" s="171" t="str"/>
      <x:c r="N798" s="171" t="str"/>
      <x:c r="O798" s="171" t="str">
        <x:v>Draft — verify in context</x:v>
      </x:c>
      <x:c r="P798" s="167" t="str">
        <x:v>https://www.oxfordlearnersdictionaries.com/wordlists/oxford3000-5000</x:v>
      </x:c>
    </x:row>
    <x:row r="799" ht="26" customHeight="1">
      <x:c r="A799" s="167" t="n">
        <x:v>798</x:v>
      </x:c>
      <x:c r="B799" s="167" t="str">
        <x:v>newsletter</x:v>
      </x:c>
      <x:c r="C799" s="167" t="str">
        <x:v>n.</x:v>
      </x:c>
      <x:c r="D799" s="170" t="str">
        <x:v>бюлетень</x:v>
      </x:c>
      <x:c r="E799" s="167" t="str">
        <x:v>No</x:v>
      </x:c>
      <x:c r="F799" s="167"/>
      <x:c r="G799" s="167" t="str">
        <x:v>Core</x:v>
      </x:c>
      <x:c r="H799" s="167" t="str">
        <x:v>General</x:v>
      </x:c>
      <x:c r="I799" s="167" t="str">
        <x:v>Not Started</x:v>
      </x:c>
      <x:c r="J799" s="167" t="n">
        <x:v>0</x:v>
      </x:c>
      <x:c r="K799" s="168"/>
      <x:c r="L799" s="168" t="str">
        <x:f>IF(OR(I799="Mastered",K799=""),"",K799+IF(J799&gt;=5,30,IF(J799=4,14,IF(J799=3,7,IF(J799=2,3,1)))))</x:f>
      </x:c>
      <x:c r="M799" s="171" t="str"/>
      <x:c r="N799" s="171" t="str"/>
      <x:c r="O799" s="171" t="str">
        <x:v>Draft — verify in context</x:v>
      </x:c>
      <x:c r="P799" s="167" t="str">
        <x:v>https://www.oxfordlearnersdictionaries.com/wordlists/oxford3000-5000</x:v>
      </x:c>
    </x:row>
    <x:row r="800" ht="26" customHeight="1">
      <x:c r="A800" s="167" t="n">
        <x:v>799</x:v>
      </x:c>
      <x:c r="B800" s="167" t="str">
        <x:v>niche</x:v>
      </x:c>
      <x:c r="C800" s="167" t="str">
        <x:v>n.</x:v>
      </x:c>
      <x:c r="D800" s="170" t="str">
        <x:v>ніша</x:v>
      </x:c>
      <x:c r="E800" s="167" t="str">
        <x:v>No</x:v>
      </x:c>
      <x:c r="F800" s="167"/>
      <x:c r="G800" s="167" t="str">
        <x:v>Core</x:v>
      </x:c>
      <x:c r="H800" s="167" t="str">
        <x:v>General</x:v>
      </x:c>
      <x:c r="I800" s="167" t="str">
        <x:v>Not Started</x:v>
      </x:c>
      <x:c r="J800" s="167" t="n">
        <x:v>0</x:v>
      </x:c>
      <x:c r="K800" s="168"/>
      <x:c r="L800" s="168" t="str">
        <x:f>IF(OR(I800="Mastered",K800=""),"",K800+IF(J800&gt;=5,30,IF(J800=4,14,IF(J800=3,7,IF(J800=2,3,1)))))</x:f>
      </x:c>
      <x:c r="M800" s="171" t="str"/>
      <x:c r="N800" s="171" t="str"/>
      <x:c r="O800" s="171" t="str">
        <x:v>Draft — verify in context</x:v>
      </x:c>
      <x:c r="P800" s="167" t="str">
        <x:v>https://www.oxfordlearnersdictionaries.com/wordlists/oxford3000-5000</x:v>
      </x:c>
    </x:row>
    <x:row r="801" ht="26" customHeight="1">
      <x:c r="A801" s="167" t="n">
        <x:v>800</x:v>
      </x:c>
      <x:c r="B801" s="167" t="str">
        <x:v>noble</x:v>
      </x:c>
      <x:c r="C801" s="167" t="str">
        <x:v>adj.</x:v>
      </x:c>
      <x:c r="D801" s="170" t="str">
        <x:v>благородний</x:v>
      </x:c>
      <x:c r="E801" s="167" t="str">
        <x:v>No</x:v>
      </x:c>
      <x:c r="F801" s="167"/>
      <x:c r="G801" s="167" t="str">
        <x:v>Core</x:v>
      </x:c>
      <x:c r="H801" s="167" t="str">
        <x:v>General</x:v>
      </x:c>
      <x:c r="I801" s="167" t="str">
        <x:v>Not Started</x:v>
      </x:c>
      <x:c r="J801" s="167" t="n">
        <x:v>0</x:v>
      </x:c>
      <x:c r="K801" s="168"/>
      <x:c r="L801" s="168" t="str">
        <x:f>IF(OR(I801="Mastered",K801=""),"",K801+IF(J801&gt;=5,30,IF(J801=4,14,IF(J801=3,7,IF(J801=2,3,1)))))</x:f>
      </x:c>
      <x:c r="M801" s="171" t="str"/>
      <x:c r="N801" s="171" t="str"/>
      <x:c r="O801" s="171" t="str">
        <x:v>Draft — verify in context</x:v>
      </x:c>
      <x:c r="P801" s="167" t="str">
        <x:v>https://www.oxfordlearnersdictionaries.com/wordlists/oxford3000-5000</x:v>
      </x:c>
    </x:row>
    <x:row r="802" ht="26" customHeight="1">
      <x:c r="A802" s="167" t="n">
        <x:v>801</x:v>
      </x:c>
      <x:c r="B802" s="167" t="str">
        <x:v>nod</x:v>
      </x:c>
      <x:c r="C802" s="167" t="str">
        <x:v>v.</x:v>
      </x:c>
      <x:c r="D802" s="170" t="str">
        <x:v>кивати</x:v>
      </x:c>
      <x:c r="E802" s="167" t="str">
        <x:v>No</x:v>
      </x:c>
      <x:c r="F802" s="167"/>
      <x:c r="G802" s="167" t="str">
        <x:v>Core</x:v>
      </x:c>
      <x:c r="H802" s="167" t="str">
        <x:v>General</x:v>
      </x:c>
      <x:c r="I802" s="167" t="str">
        <x:v>Not Started</x:v>
      </x:c>
      <x:c r="J802" s="167" t="n">
        <x:v>0</x:v>
      </x:c>
      <x:c r="K802" s="168"/>
      <x:c r="L802" s="168" t="str">
        <x:f>IF(OR(I802="Mastered",K802=""),"",K802+IF(J802&gt;=5,30,IF(J802=4,14,IF(J802=3,7,IF(J802=2,3,1)))))</x:f>
      </x:c>
      <x:c r="M802" s="171" t="str"/>
      <x:c r="N802" s="171" t="str"/>
      <x:c r="O802" s="171" t="str">
        <x:v>Draft — verify in context</x:v>
      </x:c>
      <x:c r="P802" s="167" t="str">
        <x:v>https://www.oxfordlearnersdictionaries.com/wordlists/oxford3000-5000</x:v>
      </x:c>
    </x:row>
    <x:row r="803" ht="26" customHeight="1">
      <x:c r="A803" s="167" t="n">
        <x:v>802</x:v>
      </x:c>
      <x:c r="B803" s="167" t="str">
        <x:v>nominate</x:v>
      </x:c>
      <x:c r="C803" s="167" t="str">
        <x:v>v.</x:v>
      </x:c>
      <x:c r="D803" s="170" t="str">
        <x:v>номінувати</x:v>
      </x:c>
      <x:c r="E803" s="167" t="str">
        <x:v>No</x:v>
      </x:c>
      <x:c r="F803" s="167"/>
      <x:c r="G803" s="167" t="str">
        <x:v>Core</x:v>
      </x:c>
      <x:c r="H803" s="167" t="str">
        <x:v>General</x:v>
      </x:c>
      <x:c r="I803" s="167" t="str">
        <x:v>Not Started</x:v>
      </x:c>
      <x:c r="J803" s="167" t="n">
        <x:v>0</x:v>
      </x:c>
      <x:c r="K803" s="168"/>
      <x:c r="L803" s="168" t="str">
        <x:f>IF(OR(I803="Mastered",K803=""),"",K803+IF(J803&gt;=5,30,IF(J803=4,14,IF(J803=3,7,IF(J803=2,3,1)))))</x:f>
      </x:c>
      <x:c r="M803" s="171" t="str"/>
      <x:c r="N803" s="171" t="str"/>
      <x:c r="O803" s="171" t="str">
        <x:v>Draft — verify in context</x:v>
      </x:c>
      <x:c r="P803" s="167" t="str">
        <x:v>https://www.oxfordlearnersdictionaries.com/wordlists/oxford3000-5000</x:v>
      </x:c>
    </x:row>
    <x:row r="804" ht="26" customHeight="1">
      <x:c r="A804" s="167" t="n">
        <x:v>803</x:v>
      </x:c>
      <x:c r="B804" s="167" t="str">
        <x:v>nomination</x:v>
      </x:c>
      <x:c r="C804" s="167" t="str">
        <x:v>n.</x:v>
      </x:c>
      <x:c r="D804" s="170" t="str">
        <x:v>номінація</x:v>
      </x:c>
      <x:c r="E804" s="167" t="str">
        <x:v>No</x:v>
      </x:c>
      <x:c r="F804" s="167"/>
      <x:c r="G804" s="167" t="str">
        <x:v>Core</x:v>
      </x:c>
      <x:c r="H804" s="167" t="str">
        <x:v>General</x:v>
      </x:c>
      <x:c r="I804" s="167" t="str">
        <x:v>Not Started</x:v>
      </x:c>
      <x:c r="J804" s="167" t="n">
        <x:v>0</x:v>
      </x:c>
      <x:c r="K804" s="168"/>
      <x:c r="L804" s="168" t="str">
        <x:f>IF(OR(I804="Mastered",K804=""),"",K804+IF(J804&gt;=5,30,IF(J804=4,14,IF(J804=3,7,IF(J804=2,3,1)))))</x:f>
      </x:c>
      <x:c r="M804" s="171" t="str"/>
      <x:c r="N804" s="171" t="str"/>
      <x:c r="O804" s="171" t="str">
        <x:v>Draft — verify in context</x:v>
      </x:c>
      <x:c r="P804" s="167" t="str">
        <x:v>https://www.oxfordlearnersdictionaries.com/wordlists/oxford3000-5000</x:v>
      </x:c>
    </x:row>
    <x:row r="805" ht="26" customHeight="1">
      <x:c r="A805" s="167" t="n">
        <x:v>804</x:v>
      </x:c>
      <x:c r="B805" s="167" t="str">
        <x:v>nominee</x:v>
      </x:c>
      <x:c r="C805" s="167" t="str">
        <x:v>n.</x:v>
      </x:c>
      <x:c r="D805" s="170" t="str">
        <x:v>номінант</x:v>
      </x:c>
      <x:c r="E805" s="167" t="str">
        <x:v>No</x:v>
      </x:c>
      <x:c r="F805" s="167"/>
      <x:c r="G805" s="167" t="str">
        <x:v>Core</x:v>
      </x:c>
      <x:c r="H805" s="167" t="str">
        <x:v>General</x:v>
      </x:c>
      <x:c r="I805" s="167" t="str">
        <x:v>Not Started</x:v>
      </x:c>
      <x:c r="J805" s="167" t="n">
        <x:v>0</x:v>
      </x:c>
      <x:c r="K805" s="168"/>
      <x:c r="L805" s="168" t="str">
        <x:f>IF(OR(I805="Mastered",K805=""),"",K805+IF(J805&gt;=5,30,IF(J805=4,14,IF(J805=3,7,IF(J805=2,3,1)))))</x:f>
      </x:c>
      <x:c r="M805" s="171" t="str"/>
      <x:c r="N805" s="171" t="str"/>
      <x:c r="O805" s="171" t="str">
        <x:v>Draft — verify in context</x:v>
      </x:c>
      <x:c r="P805" s="167" t="str">
        <x:v>https://www.oxfordlearnersdictionaries.com/wordlists/oxford3000-5000</x:v>
      </x:c>
    </x:row>
    <x:row r="806" ht="26" customHeight="1">
      <x:c r="A806" s="167" t="n">
        <x:v>805</x:v>
      </x:c>
      <x:c r="B806" s="167" t="str">
        <x:v>nonetheless</x:v>
      </x:c>
      <x:c r="C806" s="167" t="str">
        <x:v>adv.</x:v>
      </x:c>
      <x:c r="D806" s="170" t="str">
        <x:v>тим не менше</x:v>
      </x:c>
      <x:c r="E806" s="167" t="str">
        <x:v>Yes</x:v>
      </x:c>
      <x:c r="F806" s="167" t="n">
        <x:v>10</x:v>
      </x:c>
      <x:c r="G806" s="167" t="str">
        <x:v>High</x:v>
      </x:c>
      <x:c r="H806" s="167" t="str">
        <x:v>General</x:v>
      </x:c>
      <x:c r="I806" s="167" t="str">
        <x:v>Not Started</x:v>
      </x:c>
      <x:c r="J806" s="167" t="n">
        <x:v>0</x:v>
      </x:c>
      <x:c r="K806" s="168"/>
      <x:c r="L806" s="168" t="str">
        <x:f>IF(OR(I806="Mastered",K806=""),"",K806+IF(J806&gt;=5,30,IF(J806=4,14,IF(J806=3,7,IF(J806=2,3,1)))))</x:f>
      </x:c>
      <x:c r="M806" s="171" t="str"/>
      <x:c r="N806" s="171" t="str"/>
      <x:c r="O806" s="171" t="str">
        <x:v>Draft — verify in context</x:v>
      </x:c>
      <x:c r="P806" s="167" t="str">
        <x:v>https://www.oxfordlearnersdictionaries.com/wordlists/oxford3000-5000</x:v>
      </x:c>
    </x:row>
    <x:row r="807" ht="26" customHeight="1">
      <x:c r="A807" s="167" t="n">
        <x:v>806</x:v>
      </x:c>
      <x:c r="B807" s="167" t="str">
        <x:v>non-profit</x:v>
      </x:c>
      <x:c r="C807" s="167" t="str">
        <x:v>adj.</x:v>
      </x:c>
      <x:c r="D807" s="170" t="str">
        <x:v>неприбутковий</x:v>
      </x:c>
      <x:c r="E807" s="167" t="str">
        <x:v>No</x:v>
      </x:c>
      <x:c r="F807" s="167"/>
      <x:c r="G807" s="167" t="str">
        <x:v>Core</x:v>
      </x:c>
      <x:c r="H807" s="167" t="str">
        <x:v>General</x:v>
      </x:c>
      <x:c r="I807" s="167" t="str">
        <x:v>Not Started</x:v>
      </x:c>
      <x:c r="J807" s="167" t="n">
        <x:v>0</x:v>
      </x:c>
      <x:c r="K807" s="168"/>
      <x:c r="L807" s="168" t="str">
        <x:f>IF(OR(I807="Mastered",K807=""),"",K807+IF(J807&gt;=5,30,IF(J807=4,14,IF(J807=3,7,IF(J807=2,3,1)))))</x:f>
      </x:c>
      <x:c r="M807" s="171" t="str"/>
      <x:c r="N807" s="171" t="str"/>
      <x:c r="O807" s="171" t="str">
        <x:v>Draft — verify in context</x:v>
      </x:c>
      <x:c r="P807" s="167" t="str">
        <x:v>https://www.oxfordlearnersdictionaries.com/wordlists/oxford3000-5000</x:v>
      </x:c>
    </x:row>
    <x:row r="808" ht="26" customHeight="1">
      <x:c r="A808" s="167" t="n">
        <x:v>807</x:v>
      </x:c>
      <x:c r="B808" s="167" t="str">
        <x:v>nonsense</x:v>
      </x:c>
      <x:c r="C808" s="167" t="str">
        <x:v>n.</x:v>
      </x:c>
      <x:c r="D808" s="170" t="str">
        <x:v>нісенітниця</x:v>
      </x:c>
      <x:c r="E808" s="167" t="str">
        <x:v>No</x:v>
      </x:c>
      <x:c r="F808" s="167"/>
      <x:c r="G808" s="167" t="str">
        <x:v>Core</x:v>
      </x:c>
      <x:c r="H808" s="167" t="str">
        <x:v>General</x:v>
      </x:c>
      <x:c r="I808" s="167" t="str">
        <x:v>Not Started</x:v>
      </x:c>
      <x:c r="J808" s="167" t="n">
        <x:v>0</x:v>
      </x:c>
      <x:c r="K808" s="168"/>
      <x:c r="L808" s="168" t="str">
        <x:f>IF(OR(I808="Mastered",K808=""),"",K808+IF(J808&gt;=5,30,IF(J808=4,14,IF(J808=3,7,IF(J808=2,3,1)))))</x:f>
      </x:c>
      <x:c r="M808" s="171" t="str"/>
      <x:c r="N808" s="171" t="str"/>
      <x:c r="O808" s="171" t="str">
        <x:v>Draft — verify in context</x:v>
      </x:c>
      <x:c r="P808" s="167" t="str">
        <x:v>https://www.oxfordlearnersdictionaries.com/wordlists/oxford3000-5000</x:v>
      </x:c>
    </x:row>
    <x:row r="809" ht="26" customHeight="1">
      <x:c r="A809" s="167" t="n">
        <x:v>808</x:v>
      </x:c>
      <x:c r="B809" s="167" t="str">
        <x:v>noon</x:v>
      </x:c>
      <x:c r="C809" s="167" t="str">
        <x:v>n.</x:v>
      </x:c>
      <x:c r="D809" s="170" t="str">
        <x:v>полудень</x:v>
      </x:c>
      <x:c r="E809" s="167" t="str">
        <x:v>No</x:v>
      </x:c>
      <x:c r="F809" s="167"/>
      <x:c r="G809" s="167" t="str">
        <x:v>Core</x:v>
      </x:c>
      <x:c r="H809" s="167" t="str">
        <x:v>General</x:v>
      </x:c>
      <x:c r="I809" s="167" t="str">
        <x:v>Not Started</x:v>
      </x:c>
      <x:c r="J809" s="167" t="n">
        <x:v>0</x:v>
      </x:c>
      <x:c r="K809" s="168"/>
      <x:c r="L809" s="168" t="str">
        <x:f>IF(OR(I809="Mastered",K809=""),"",K809+IF(J809&gt;=5,30,IF(J809=4,14,IF(J809=3,7,IF(J809=2,3,1)))))</x:f>
      </x:c>
      <x:c r="M809" s="171" t="str"/>
      <x:c r="N809" s="171" t="str"/>
      <x:c r="O809" s="171" t="str">
        <x:v>Draft — verify in context</x:v>
      </x:c>
      <x:c r="P809" s="167" t="str">
        <x:v>https://www.oxfordlearnersdictionaries.com/wordlists/oxford3000-5000</x:v>
      </x:c>
    </x:row>
    <x:row r="810" ht="26" customHeight="1">
      <x:c r="A810" s="167" t="n">
        <x:v>809</x:v>
      </x:c>
      <x:c r="B810" s="167" t="str">
        <x:v>notable</x:v>
      </x:c>
      <x:c r="C810" s="167" t="str">
        <x:v>adj.</x:v>
      </x:c>
      <x:c r="D810" s="170" t="str">
        <x:v>помітний</x:v>
      </x:c>
      <x:c r="E810" s="167" t="str">
        <x:v>No</x:v>
      </x:c>
      <x:c r="F810" s="167"/>
      <x:c r="G810" s="167" t="str">
        <x:v>Core</x:v>
      </x:c>
      <x:c r="H810" s="167" t="str">
        <x:v>General</x:v>
      </x:c>
      <x:c r="I810" s="167" t="str">
        <x:v>Not Started</x:v>
      </x:c>
      <x:c r="J810" s="167" t="n">
        <x:v>0</x:v>
      </x:c>
      <x:c r="K810" s="168"/>
      <x:c r="L810" s="168" t="str">
        <x:f>IF(OR(I810="Mastered",K810=""),"",K810+IF(J810&gt;=5,30,IF(J810=4,14,IF(J810=3,7,IF(J810=2,3,1)))))</x:f>
      </x:c>
      <x:c r="M810" s="171" t="str"/>
      <x:c r="N810" s="171" t="str"/>
      <x:c r="O810" s="171" t="str">
        <x:v>Draft — verify in context</x:v>
      </x:c>
      <x:c r="P810" s="167" t="str">
        <x:v>https://www.oxfordlearnersdictionaries.com/wordlists/oxford3000-5000</x:v>
      </x:c>
    </x:row>
    <x:row r="811" ht="26" customHeight="1">
      <x:c r="A811" s="167" t="n">
        <x:v>810</x:v>
      </x:c>
      <x:c r="B811" s="167" t="str">
        <x:v>notably</x:v>
      </x:c>
      <x:c r="C811" s="167" t="str">
        <x:v>adv.</x:v>
      </x:c>
      <x:c r="D811" s="170" t="str">
        <x:v>особливо</x:v>
      </x:c>
      <x:c r="E811" s="167" t="str">
        <x:v>No</x:v>
      </x:c>
      <x:c r="F811" s="167"/>
      <x:c r="G811" s="167" t="str">
        <x:v>Core</x:v>
      </x:c>
      <x:c r="H811" s="167" t="str">
        <x:v>General</x:v>
      </x:c>
      <x:c r="I811" s="167" t="str">
        <x:v>Not Started</x:v>
      </x:c>
      <x:c r="J811" s="167" t="n">
        <x:v>0</x:v>
      </x:c>
      <x:c r="K811" s="168"/>
      <x:c r="L811" s="168" t="str">
        <x:f>IF(OR(I811="Mastered",K811=""),"",K811+IF(J811&gt;=5,30,IF(J811=4,14,IF(J811=3,7,IF(J811=2,3,1)))))</x:f>
      </x:c>
      <x:c r="M811" s="171" t="str"/>
      <x:c r="N811" s="171" t="str"/>
      <x:c r="O811" s="171" t="str">
        <x:v>Draft — verify in context</x:v>
      </x:c>
      <x:c r="P811" s="167" t="str">
        <x:v>https://www.oxfordlearnersdictionaries.com/wordlists/oxford3000-5000</x:v>
      </x:c>
    </x:row>
    <x:row r="812" ht="26" customHeight="1">
      <x:c r="A812" s="167" t="n">
        <x:v>811</x:v>
      </x:c>
      <x:c r="B812" s="167" t="str">
        <x:v>notify</x:v>
      </x:c>
      <x:c r="C812" s="167" t="str">
        <x:v>v.</x:v>
      </x:c>
      <x:c r="D812" s="170" t="str">
        <x:v>повідомляти</x:v>
      </x:c>
      <x:c r="E812" s="167" t="str">
        <x:v>No</x:v>
      </x:c>
      <x:c r="F812" s="167"/>
      <x:c r="G812" s="167" t="str">
        <x:v>Core</x:v>
      </x:c>
      <x:c r="H812" s="167" t="str">
        <x:v>General</x:v>
      </x:c>
      <x:c r="I812" s="167" t="str">
        <x:v>Not Started</x:v>
      </x:c>
      <x:c r="J812" s="167" t="n">
        <x:v>0</x:v>
      </x:c>
      <x:c r="K812" s="168"/>
      <x:c r="L812" s="168" t="str">
        <x:f>IF(OR(I812="Mastered",K812=""),"",K812+IF(J812&gt;=5,30,IF(J812=4,14,IF(J812=3,7,IF(J812=2,3,1)))))</x:f>
      </x:c>
      <x:c r="M812" s="171" t="str"/>
      <x:c r="N812" s="171" t="str"/>
      <x:c r="O812" s="171" t="str">
        <x:v>Draft — verify in context</x:v>
      </x:c>
      <x:c r="P812" s="167" t="str">
        <x:v>https://www.oxfordlearnersdictionaries.com/wordlists/oxford3000-5000</x:v>
      </x:c>
    </x:row>
    <x:row r="813" ht="26" customHeight="1">
      <x:c r="A813" s="167" t="n">
        <x:v>812</x:v>
      </x:c>
      <x:c r="B813" s="167" t="str">
        <x:v>notorious</x:v>
      </x:c>
      <x:c r="C813" s="167" t="str">
        <x:v>adj.</x:v>
      </x:c>
      <x:c r="D813" s="170" t="str">
        <x:v>горезвісний</x:v>
      </x:c>
      <x:c r="E813" s="167" t="str">
        <x:v>No</x:v>
      </x:c>
      <x:c r="F813" s="167"/>
      <x:c r="G813" s="167" t="str">
        <x:v>Core</x:v>
      </x:c>
      <x:c r="H813" s="167" t="str">
        <x:v>General</x:v>
      </x:c>
      <x:c r="I813" s="167" t="str">
        <x:v>Not Started</x:v>
      </x:c>
      <x:c r="J813" s="167" t="n">
        <x:v>0</x:v>
      </x:c>
      <x:c r="K813" s="168"/>
      <x:c r="L813" s="168" t="str">
        <x:f>IF(OR(I813="Mastered",K813=""),"",K813+IF(J813&gt;=5,30,IF(J813=4,14,IF(J813=3,7,IF(J813=2,3,1)))))</x:f>
      </x:c>
      <x:c r="M813" s="171" t="str"/>
      <x:c r="N813" s="171" t="str"/>
      <x:c r="O813" s="171" t="str">
        <x:v>Draft — verify in context</x:v>
      </x:c>
      <x:c r="P813" s="167" t="str">
        <x:v>https://www.oxfordlearnersdictionaries.com/wordlists/oxford3000-5000</x:v>
      </x:c>
    </x:row>
    <x:row r="814" ht="26" customHeight="1">
      <x:c r="A814" s="167" t="n">
        <x:v>813</x:v>
      </x:c>
      <x:c r="B814" s="167" t="str">
        <x:v>novel</x:v>
      </x:c>
      <x:c r="C814" s="167" t="str">
        <x:v>adj.</x:v>
      </x:c>
      <x:c r="D814" s="170" t="str">
        <x:v>роман</x:v>
      </x:c>
      <x:c r="E814" s="167" t="str">
        <x:v>No</x:v>
      </x:c>
      <x:c r="F814" s="167"/>
      <x:c r="G814" s="167" t="str">
        <x:v>Core</x:v>
      </x:c>
      <x:c r="H814" s="167" t="str">
        <x:v>General</x:v>
      </x:c>
      <x:c r="I814" s="167" t="str">
        <x:v>Not Started</x:v>
      </x:c>
      <x:c r="J814" s="167" t="n">
        <x:v>0</x:v>
      </x:c>
      <x:c r="K814" s="168"/>
      <x:c r="L814" s="168" t="str">
        <x:f>IF(OR(I814="Mastered",K814=""),"",K814+IF(J814&gt;=5,30,IF(J814=4,14,IF(J814=3,7,IF(J814=2,3,1)))))</x:f>
      </x:c>
      <x:c r="M814" s="171" t="str"/>
      <x:c r="N814" s="171" t="str"/>
      <x:c r="O814" s="171" t="str">
        <x:v>Draft — verify in context</x:v>
      </x:c>
      <x:c r="P814" s="167" t="str">
        <x:v>https://www.oxfordlearnersdictionaries.com/wordlists/oxford3000-5000</x:v>
      </x:c>
    </x:row>
    <x:row r="815" ht="26" customHeight="1">
      <x:c r="A815" s="167" t="n">
        <x:v>814</x:v>
      </x:c>
      <x:c r="B815" s="167" t="str">
        <x:v>nursery</x:v>
      </x:c>
      <x:c r="C815" s="167" t="str">
        <x:v>n.</x:v>
      </x:c>
      <x:c r="D815" s="170" t="str">
        <x:v>розплідник</x:v>
      </x:c>
      <x:c r="E815" s="167" t="str">
        <x:v>No</x:v>
      </x:c>
      <x:c r="F815" s="167"/>
      <x:c r="G815" s="167" t="str">
        <x:v>Core</x:v>
      </x:c>
      <x:c r="H815" s="167" t="str">
        <x:v>General</x:v>
      </x:c>
      <x:c r="I815" s="167" t="str">
        <x:v>Not Started</x:v>
      </x:c>
      <x:c r="J815" s="167" t="n">
        <x:v>0</x:v>
      </x:c>
      <x:c r="K815" s="168"/>
      <x:c r="L815" s="168" t="str">
        <x:f>IF(OR(I815="Mastered",K815=""),"",K815+IF(J815&gt;=5,30,IF(J815=4,14,IF(J815=3,7,IF(J815=2,3,1)))))</x:f>
      </x:c>
      <x:c r="M815" s="171" t="str"/>
      <x:c r="N815" s="171" t="str"/>
      <x:c r="O815" s="171" t="str">
        <x:v>Draft — verify in context</x:v>
      </x:c>
      <x:c r="P815" s="167" t="str">
        <x:v>https://www.oxfordlearnersdictionaries.com/wordlists/oxford3000-5000</x:v>
      </x:c>
    </x:row>
    <x:row r="816" ht="26" customHeight="1">
      <x:c r="A816" s="167" t="n">
        <x:v>815</x:v>
      </x:c>
      <x:c r="B816" s="167" t="str">
        <x:v>objection</x:v>
      </x:c>
      <x:c r="C816" s="167" t="str">
        <x:v>n.</x:v>
      </x:c>
      <x:c r="D816" s="170" t="str">
        <x:v>заперечення</x:v>
      </x:c>
      <x:c r="E816" s="167" t="str">
        <x:v>No</x:v>
      </x:c>
      <x:c r="F816" s="167"/>
      <x:c r="G816" s="167" t="str">
        <x:v>Core</x:v>
      </x:c>
      <x:c r="H816" s="167" t="str">
        <x:v>General</x:v>
      </x:c>
      <x:c r="I816" s="167" t="str">
        <x:v>Not Started</x:v>
      </x:c>
      <x:c r="J816" s="167" t="n">
        <x:v>0</x:v>
      </x:c>
      <x:c r="K816" s="168"/>
      <x:c r="L816" s="168" t="str">
        <x:f>IF(OR(I816="Mastered",K816=""),"",K816+IF(J816&gt;=5,30,IF(J816=4,14,IF(J816=3,7,IF(J816=2,3,1)))))</x:f>
      </x:c>
      <x:c r="M816" s="171" t="str"/>
      <x:c r="N816" s="171" t="str"/>
      <x:c r="O816" s="171" t="str">
        <x:v>Draft — verify in context</x:v>
      </x:c>
      <x:c r="P816" s="167" t="str">
        <x:v>https://www.oxfordlearnersdictionaries.com/wordlists/oxford3000-5000</x:v>
      </x:c>
    </x:row>
    <x:row r="817" ht="26" customHeight="1">
      <x:c r="A817" s="167" t="n">
        <x:v>816</x:v>
      </x:c>
      <x:c r="B817" s="167" t="str">
        <x:v>oblige</x:v>
      </x:c>
      <x:c r="C817" s="167" t="str">
        <x:v>v.</x:v>
      </x:c>
      <x:c r="D817" s="170" t="str">
        <x:v>зобов'язувати</x:v>
      </x:c>
      <x:c r="E817" s="167" t="str">
        <x:v>No</x:v>
      </x:c>
      <x:c r="F817" s="167"/>
      <x:c r="G817" s="167" t="str">
        <x:v>Core</x:v>
      </x:c>
      <x:c r="H817" s="167" t="str">
        <x:v>General</x:v>
      </x:c>
      <x:c r="I817" s="167" t="str">
        <x:v>Not Started</x:v>
      </x:c>
      <x:c r="J817" s="167" t="n">
        <x:v>0</x:v>
      </x:c>
      <x:c r="K817" s="168"/>
      <x:c r="L817" s="168" t="str">
        <x:f>IF(OR(I817="Mastered",K817=""),"",K817+IF(J817&gt;=5,30,IF(J817=4,14,IF(J817=3,7,IF(J817=2,3,1)))))</x:f>
      </x:c>
      <x:c r="M817" s="171" t="str"/>
      <x:c r="N817" s="171" t="str"/>
      <x:c r="O817" s="171" t="str">
        <x:v>Draft — verify in context</x:v>
      </x:c>
      <x:c r="P817" s="167" t="str">
        <x:v>https://www.oxfordlearnersdictionaries.com/wordlists/oxford3000-5000</x:v>
      </x:c>
    </x:row>
    <x:row r="818" ht="26" customHeight="1">
      <x:c r="A818" s="167" t="n">
        <x:v>817</x:v>
      </x:c>
      <x:c r="B818" s="167" t="str">
        <x:v>obsess</x:v>
      </x:c>
      <x:c r="C818" s="167" t="str">
        <x:v>v.</x:v>
      </x:c>
      <x:c r="D818" s="170" t="str">
        <x:v>одержимий</x:v>
      </x:c>
      <x:c r="E818" s="167" t="str">
        <x:v>No</x:v>
      </x:c>
      <x:c r="F818" s="167"/>
      <x:c r="G818" s="167" t="str">
        <x:v>Core</x:v>
      </x:c>
      <x:c r="H818" s="167" t="str">
        <x:v>General</x:v>
      </x:c>
      <x:c r="I818" s="167" t="str">
        <x:v>Not Started</x:v>
      </x:c>
      <x:c r="J818" s="167" t="n">
        <x:v>0</x:v>
      </x:c>
      <x:c r="K818" s="168"/>
      <x:c r="L818" s="168" t="str">
        <x:f>IF(OR(I818="Mastered",K818=""),"",K818+IF(J818&gt;=5,30,IF(J818=4,14,IF(J818=3,7,IF(J818=2,3,1)))))</x:f>
      </x:c>
      <x:c r="M818" s="171" t="str"/>
      <x:c r="N818" s="171" t="str"/>
      <x:c r="O818" s="171" t="str">
        <x:v>Draft — verify in context</x:v>
      </x:c>
      <x:c r="P818" s="167" t="str">
        <x:v>https://www.oxfordlearnersdictionaries.com/wordlists/oxford3000-5000</x:v>
      </x:c>
    </x:row>
    <x:row r="819" ht="26" customHeight="1">
      <x:c r="A819" s="167" t="n">
        <x:v>818</x:v>
      </x:c>
      <x:c r="B819" s="167" t="str">
        <x:v>obsession</x:v>
      </x:c>
      <x:c r="C819" s="167" t="str">
        <x:v>n.</x:v>
      </x:c>
      <x:c r="D819" s="170" t="str">
        <x:v>одержимість</x:v>
      </x:c>
      <x:c r="E819" s="167" t="str">
        <x:v>No</x:v>
      </x:c>
      <x:c r="F819" s="167"/>
      <x:c r="G819" s="167" t="str">
        <x:v>Core</x:v>
      </x:c>
      <x:c r="H819" s="167" t="str">
        <x:v>General</x:v>
      </x:c>
      <x:c r="I819" s="167" t="str">
        <x:v>Not Started</x:v>
      </x:c>
      <x:c r="J819" s="167" t="n">
        <x:v>0</x:v>
      </x:c>
      <x:c r="K819" s="168"/>
      <x:c r="L819" s="168" t="str">
        <x:f>IF(OR(I819="Mastered",K819=""),"",K819+IF(J819&gt;=5,30,IF(J819=4,14,IF(J819=3,7,IF(J819=2,3,1)))))</x:f>
      </x:c>
      <x:c r="M819" s="171" t="str"/>
      <x:c r="N819" s="171" t="str"/>
      <x:c r="O819" s="171" t="str">
        <x:v>Draft — verify in context</x:v>
      </x:c>
      <x:c r="P819" s="167" t="str">
        <x:v>https://www.oxfordlearnersdictionaries.com/wordlists/oxford3000-5000</x:v>
      </x:c>
    </x:row>
    <x:row r="820" ht="26" customHeight="1">
      <x:c r="A820" s="167" t="n">
        <x:v>819</x:v>
      </x:c>
      <x:c r="B820" s="167" t="str">
        <x:v>occasional</x:v>
      </x:c>
      <x:c r="C820" s="167" t="str">
        <x:v>adj.</x:v>
      </x:c>
      <x:c r="D820" s="170" t="str">
        <x:v>випадковий</x:v>
      </x:c>
      <x:c r="E820" s="167" t="str">
        <x:v>No</x:v>
      </x:c>
      <x:c r="F820" s="167"/>
      <x:c r="G820" s="167" t="str">
        <x:v>Core</x:v>
      </x:c>
      <x:c r="H820" s="167" t="str">
        <x:v>General</x:v>
      </x:c>
      <x:c r="I820" s="167" t="str">
        <x:v>Not Started</x:v>
      </x:c>
      <x:c r="J820" s="167" t="n">
        <x:v>0</x:v>
      </x:c>
      <x:c r="K820" s="168"/>
      <x:c r="L820" s="168" t="str">
        <x:f>IF(OR(I820="Mastered",K820=""),"",K820+IF(J820&gt;=5,30,IF(J820=4,14,IF(J820=3,7,IF(J820=2,3,1)))))</x:f>
      </x:c>
      <x:c r="M820" s="171" t="str"/>
      <x:c r="N820" s="171" t="str"/>
      <x:c r="O820" s="171" t="str">
        <x:v>Draft — verify in context</x:v>
      </x:c>
      <x:c r="P820" s="167" t="str">
        <x:v>https://www.oxfordlearnersdictionaries.com/wordlists/oxford3000-5000</x:v>
      </x:c>
    </x:row>
    <x:row r="821" ht="26" customHeight="1">
      <x:c r="A821" s="167" t="n">
        <x:v>820</x:v>
      </x:c>
      <x:c r="B821" s="167" t="str">
        <x:v>occurrence</x:v>
      </x:c>
      <x:c r="C821" s="167" t="str">
        <x:v>n.</x:v>
      </x:c>
      <x:c r="D821" s="170" t="str">
        <x:v>виникнення</x:v>
      </x:c>
      <x:c r="E821" s="167" t="str">
        <x:v>No</x:v>
      </x:c>
      <x:c r="F821" s="167"/>
      <x:c r="G821" s="167" t="str">
        <x:v>Core</x:v>
      </x:c>
      <x:c r="H821" s="167" t="str">
        <x:v>General</x:v>
      </x:c>
      <x:c r="I821" s="167" t="str">
        <x:v>Not Started</x:v>
      </x:c>
      <x:c r="J821" s="167" t="n">
        <x:v>0</x:v>
      </x:c>
      <x:c r="K821" s="168"/>
      <x:c r="L821" s="168" t="str">
        <x:f>IF(OR(I821="Mastered",K821=""),"",K821+IF(J821&gt;=5,30,IF(J821=4,14,IF(J821=3,7,IF(J821=2,3,1)))))</x:f>
      </x:c>
      <x:c r="M821" s="171" t="str"/>
      <x:c r="N821" s="171" t="str"/>
      <x:c r="O821" s="171" t="str">
        <x:v>Draft — verify in context</x:v>
      </x:c>
      <x:c r="P821" s="167" t="str">
        <x:v>https://www.oxfordlearnersdictionaries.com/wordlists/oxford3000-5000</x:v>
      </x:c>
    </x:row>
    <x:row r="822" ht="26" customHeight="1">
      <x:c r="A822" s="167" t="n">
        <x:v>821</x:v>
      </x:c>
      <x:c r="B822" s="167" t="str">
        <x:v>odds</x:v>
      </x:c>
      <x:c r="C822" s="167" t="str">
        <x:v>n.</x:v>
      </x:c>
      <x:c r="D822" s="170" t="str">
        <x:v>шанси</x:v>
      </x:c>
      <x:c r="E822" s="167" t="str">
        <x:v>No</x:v>
      </x:c>
      <x:c r="F822" s="167"/>
      <x:c r="G822" s="167" t="str">
        <x:v>Core</x:v>
      </x:c>
      <x:c r="H822" s="167" t="str">
        <x:v>General</x:v>
      </x:c>
      <x:c r="I822" s="167" t="str">
        <x:v>Not Started</x:v>
      </x:c>
      <x:c r="J822" s="167" t="n">
        <x:v>0</x:v>
      </x:c>
      <x:c r="K822" s="168"/>
      <x:c r="L822" s="168" t="str">
        <x:f>IF(OR(I822="Mastered",K822=""),"",K822+IF(J822&gt;=5,30,IF(J822=4,14,IF(J822=3,7,IF(J822=2,3,1)))))</x:f>
      </x:c>
      <x:c r="M822" s="171" t="str"/>
      <x:c r="N822" s="171" t="str"/>
      <x:c r="O822" s="171" t="str">
        <x:v>Draft — verify in context</x:v>
      </x:c>
      <x:c r="P822" s="167" t="str">
        <x:v>https://www.oxfordlearnersdictionaries.com/wordlists/oxford3000-5000</x:v>
      </x:c>
    </x:row>
    <x:row r="823" ht="26" customHeight="1">
      <x:c r="A823" s="167" t="n">
        <x:v>822</x:v>
      </x:c>
      <x:c r="B823" s="167" t="str">
        <x:v>offering</x:v>
      </x:c>
      <x:c r="C823" s="167" t="str">
        <x:v>n.</x:v>
      </x:c>
      <x:c r="D823" s="170" t="str">
        <x:v>пропозиція</x:v>
      </x:c>
      <x:c r="E823" s="167" t="str">
        <x:v>No</x:v>
      </x:c>
      <x:c r="F823" s="167"/>
      <x:c r="G823" s="167" t="str">
        <x:v>Core</x:v>
      </x:c>
      <x:c r="H823" s="167" t="str">
        <x:v>General</x:v>
      </x:c>
      <x:c r="I823" s="167" t="str">
        <x:v>Not Started</x:v>
      </x:c>
      <x:c r="J823" s="167" t="n">
        <x:v>0</x:v>
      </x:c>
      <x:c r="K823" s="168"/>
      <x:c r="L823" s="168" t="str">
        <x:f>IF(OR(I823="Mastered",K823=""),"",K823+IF(J823&gt;=5,30,IF(J823=4,14,IF(J823=3,7,IF(J823=2,3,1)))))</x:f>
      </x:c>
      <x:c r="M823" s="171" t="str"/>
      <x:c r="N823" s="171" t="str"/>
      <x:c r="O823" s="171" t="str">
        <x:v>Draft — verify in context</x:v>
      </x:c>
      <x:c r="P823" s="167" t="str">
        <x:v>https://www.oxfordlearnersdictionaries.com/wordlists/oxford3000-5000</x:v>
      </x:c>
    </x:row>
    <x:row r="824" ht="26" customHeight="1">
      <x:c r="A824" s="167" t="n">
        <x:v>823</x:v>
      </x:c>
      <x:c r="B824" s="167" t="str">
        <x:v>offspring</x:v>
      </x:c>
      <x:c r="C824" s="167" t="str">
        <x:v>n.</x:v>
      </x:c>
      <x:c r="D824" s="170" t="str">
        <x:v>потомство</x:v>
      </x:c>
      <x:c r="E824" s="167" t="str">
        <x:v>No</x:v>
      </x:c>
      <x:c r="F824" s="167"/>
      <x:c r="G824" s="167" t="str">
        <x:v>Core</x:v>
      </x:c>
      <x:c r="H824" s="167" t="str">
        <x:v>General</x:v>
      </x:c>
      <x:c r="I824" s="167" t="str">
        <x:v>Not Started</x:v>
      </x:c>
      <x:c r="J824" s="167" t="n">
        <x:v>0</x:v>
      </x:c>
      <x:c r="K824" s="168"/>
      <x:c r="L824" s="168" t="str">
        <x:f>IF(OR(I824="Mastered",K824=""),"",K824+IF(J824&gt;=5,30,IF(J824=4,14,IF(J824=3,7,IF(J824=2,3,1)))))</x:f>
      </x:c>
      <x:c r="M824" s="171" t="str"/>
      <x:c r="N824" s="171" t="str"/>
      <x:c r="O824" s="171" t="str">
        <x:v>Draft — verify in context</x:v>
      </x:c>
      <x:c r="P824" s="167" t="str">
        <x:v>https://www.oxfordlearnersdictionaries.com/wordlists/oxford3000-5000</x:v>
      </x:c>
    </x:row>
    <x:row r="825" ht="26" customHeight="1">
      <x:c r="A825" s="167" t="n">
        <x:v>824</x:v>
      </x:c>
      <x:c r="B825" s="167" t="str">
        <x:v>operational</x:v>
      </x:c>
      <x:c r="C825" s="167" t="str">
        <x:v>adj.</x:v>
      </x:c>
      <x:c r="D825" s="170" t="str">
        <x:v>оперативний</x:v>
      </x:c>
      <x:c r="E825" s="167" t="str">
        <x:v>No</x:v>
      </x:c>
      <x:c r="F825" s="167"/>
      <x:c r="G825" s="167" t="str">
        <x:v>Core</x:v>
      </x:c>
      <x:c r="H825" s="167" t="str">
        <x:v>General</x:v>
      </x:c>
      <x:c r="I825" s="167" t="str">
        <x:v>Not Started</x:v>
      </x:c>
      <x:c r="J825" s="167" t="n">
        <x:v>0</x:v>
      </x:c>
      <x:c r="K825" s="168"/>
      <x:c r="L825" s="168" t="str">
        <x:f>IF(OR(I825="Mastered",K825=""),"",K825+IF(J825&gt;=5,30,IF(J825=4,14,IF(J825=3,7,IF(J825=2,3,1)))))</x:f>
      </x:c>
      <x:c r="M825" s="171" t="str"/>
      <x:c r="N825" s="171" t="str"/>
      <x:c r="O825" s="171" t="str">
        <x:v>Draft — verify in context</x:v>
      </x:c>
      <x:c r="P825" s="167" t="str">
        <x:v>https://www.oxfordlearnersdictionaries.com/wordlists/oxford3000-5000</x:v>
      </x:c>
    </x:row>
    <x:row r="826" ht="26" customHeight="1">
      <x:c r="A826" s="167" t="n">
        <x:v>825</x:v>
      </x:c>
      <x:c r="B826" s="167" t="str">
        <x:v>opt</x:v>
      </x:c>
      <x:c r="C826" s="167" t="str">
        <x:v>v.</x:v>
      </x:c>
      <x:c r="D826" s="170" t="str">
        <x:v>обирати; робити вибір</x:v>
      </x:c>
      <x:c r="E826" s="167" t="str">
        <x:v>No</x:v>
      </x:c>
      <x:c r="F826" s="167"/>
      <x:c r="G826" s="167" t="str">
        <x:v>Core</x:v>
      </x:c>
      <x:c r="H826" s="167" t="str">
        <x:v>General</x:v>
      </x:c>
      <x:c r="I826" s="167" t="str">
        <x:v>Not Started</x:v>
      </x:c>
      <x:c r="J826" s="167" t="n">
        <x:v>0</x:v>
      </x:c>
      <x:c r="K826" s="168"/>
      <x:c r="L826" s="168" t="str">
        <x:f>IF(OR(I826="Mastered",K826=""),"",K826+IF(J826&gt;=5,30,IF(J826=4,14,IF(J826=3,7,IF(J826=2,3,1)))))</x:f>
      </x:c>
      <x:c r="M826" s="171" t="str"/>
      <x:c r="N826" s="171" t="str"/>
      <x:c r="O826" s="171" t="str">
        <x:v>Draft — verify in context</x:v>
      </x:c>
      <x:c r="P826" s="167" t="str">
        <x:v>https://www.oxfordlearnersdictionaries.com/wordlists/oxford3000-5000</x:v>
      </x:c>
    </x:row>
    <x:row r="827" ht="26" customHeight="1">
      <x:c r="A827" s="167" t="n">
        <x:v>826</x:v>
      </x:c>
      <x:c r="B827" s="167" t="str">
        <x:v>optical</x:v>
      </x:c>
      <x:c r="C827" s="167" t="str">
        <x:v>adj.</x:v>
      </x:c>
      <x:c r="D827" s="170" t="str">
        <x:v>оптичний</x:v>
      </x:c>
      <x:c r="E827" s="167" t="str">
        <x:v>No</x:v>
      </x:c>
      <x:c r="F827" s="167"/>
      <x:c r="G827" s="167" t="str">
        <x:v>Core</x:v>
      </x:c>
      <x:c r="H827" s="167" t="str">
        <x:v>General</x:v>
      </x:c>
      <x:c r="I827" s="167" t="str">
        <x:v>Not Started</x:v>
      </x:c>
      <x:c r="J827" s="167" t="n">
        <x:v>0</x:v>
      </x:c>
      <x:c r="K827" s="168"/>
      <x:c r="L827" s="168" t="str">
        <x:f>IF(OR(I827="Mastered",K827=""),"",K827+IF(J827&gt;=5,30,IF(J827=4,14,IF(J827=3,7,IF(J827=2,3,1)))))</x:f>
      </x:c>
      <x:c r="M827" s="171" t="str"/>
      <x:c r="N827" s="171" t="str"/>
      <x:c r="O827" s="171" t="str">
        <x:v>Draft — verify in context</x:v>
      </x:c>
      <x:c r="P827" s="167" t="str">
        <x:v>https://www.oxfordlearnersdictionaries.com/wordlists/oxford3000-5000</x:v>
      </x:c>
    </x:row>
    <x:row r="828" ht="26" customHeight="1">
      <x:c r="A828" s="167" t="n">
        <x:v>827</x:v>
      </x:c>
      <x:c r="B828" s="167" t="str">
        <x:v>optimism</x:v>
      </x:c>
      <x:c r="C828" s="167" t="str">
        <x:v>n.</x:v>
      </x:c>
      <x:c r="D828" s="170" t="str">
        <x:v>оптимізм</x:v>
      </x:c>
      <x:c r="E828" s="167" t="str">
        <x:v>No</x:v>
      </x:c>
      <x:c r="F828" s="167"/>
      <x:c r="G828" s="167" t="str">
        <x:v>Core</x:v>
      </x:c>
      <x:c r="H828" s="167" t="str">
        <x:v>General</x:v>
      </x:c>
      <x:c r="I828" s="167" t="str">
        <x:v>Not Started</x:v>
      </x:c>
      <x:c r="J828" s="167" t="n">
        <x:v>0</x:v>
      </x:c>
      <x:c r="K828" s="168"/>
      <x:c r="L828" s="168" t="str">
        <x:f>IF(OR(I828="Mastered",K828=""),"",K828+IF(J828&gt;=5,30,IF(J828=4,14,IF(J828=3,7,IF(J828=2,3,1)))))</x:f>
      </x:c>
      <x:c r="M828" s="171" t="str"/>
      <x:c r="N828" s="171" t="str"/>
      <x:c r="O828" s="171" t="str">
        <x:v>Draft — verify in context</x:v>
      </x:c>
      <x:c r="P828" s="167" t="str">
        <x:v>https://www.oxfordlearnersdictionaries.com/wordlists/oxford3000-5000</x:v>
      </x:c>
    </x:row>
    <x:row r="829" ht="26" customHeight="1">
      <x:c r="A829" s="167" t="n">
        <x:v>828</x:v>
      </x:c>
      <x:c r="B829" s="167" t="str">
        <x:v>oral</x:v>
      </x:c>
      <x:c r="C829" s="167" t="str">
        <x:v>adj.</x:v>
      </x:c>
      <x:c r="D829" s="170" t="str">
        <x:v>усний</x:v>
      </x:c>
      <x:c r="E829" s="167" t="str">
        <x:v>No</x:v>
      </x:c>
      <x:c r="F829" s="167"/>
      <x:c r="G829" s="167" t="str">
        <x:v>Core</x:v>
      </x:c>
      <x:c r="H829" s="167" t="str">
        <x:v>General</x:v>
      </x:c>
      <x:c r="I829" s="167" t="str">
        <x:v>Not Started</x:v>
      </x:c>
      <x:c r="J829" s="167" t="n">
        <x:v>0</x:v>
      </x:c>
      <x:c r="K829" s="168"/>
      <x:c r="L829" s="168" t="str">
        <x:f>IF(OR(I829="Mastered",K829=""),"",K829+IF(J829&gt;=5,30,IF(J829=4,14,IF(J829=3,7,IF(J829=2,3,1)))))</x:f>
      </x:c>
      <x:c r="M829" s="171" t="str"/>
      <x:c r="N829" s="171" t="str"/>
      <x:c r="O829" s="171" t="str">
        <x:v>Draft — verify in context</x:v>
      </x:c>
      <x:c r="P829" s="167" t="str">
        <x:v>https://www.oxfordlearnersdictionaries.com/wordlists/oxford3000-5000</x:v>
      </x:c>
    </x:row>
    <x:row r="830" ht="26" customHeight="1">
      <x:c r="A830" s="167" t="n">
        <x:v>829</x:v>
      </x:c>
      <x:c r="B830" s="167" t="str">
        <x:v>organizational</x:v>
      </x:c>
      <x:c r="C830" s="167" t="str">
        <x:v>adj.</x:v>
      </x:c>
      <x:c r="D830" s="170" t="str">
        <x:v>організаційний</x:v>
      </x:c>
      <x:c r="E830" s="167" t="str">
        <x:v>No</x:v>
      </x:c>
      <x:c r="F830" s="167"/>
      <x:c r="G830" s="167" t="str">
        <x:v>Core</x:v>
      </x:c>
      <x:c r="H830" s="167" t="str">
        <x:v>General</x:v>
      </x:c>
      <x:c r="I830" s="167" t="str">
        <x:v>Not Started</x:v>
      </x:c>
      <x:c r="J830" s="167" t="n">
        <x:v>0</x:v>
      </x:c>
      <x:c r="K830" s="168"/>
      <x:c r="L830" s="168" t="str">
        <x:f>IF(OR(I830="Mastered",K830=""),"",K830+IF(J830&gt;=5,30,IF(J830=4,14,IF(J830=3,7,IF(J830=2,3,1)))))</x:f>
      </x:c>
      <x:c r="M830" s="171" t="str"/>
      <x:c r="N830" s="171" t="str"/>
      <x:c r="O830" s="171" t="str">
        <x:v>Draft — verify in context</x:v>
      </x:c>
      <x:c r="P830" s="167" t="str">
        <x:v>https://www.oxfordlearnersdictionaries.com/wordlists/oxford3000-5000</x:v>
      </x:c>
    </x:row>
    <x:row r="831" ht="26" customHeight="1">
      <x:c r="A831" s="167" t="n">
        <x:v>830</x:v>
      </x:c>
      <x:c r="B831" s="167" t="str">
        <x:v>orientation</x:v>
      </x:c>
      <x:c r="C831" s="167" t="str">
        <x:v>n.</x:v>
      </x:c>
      <x:c r="D831" s="170" t="str">
        <x:v>орієнтація</x:v>
      </x:c>
      <x:c r="E831" s="167" t="str">
        <x:v>Yes</x:v>
      </x:c>
      <x:c r="F831" s="167" t="n">
        <x:v>5</x:v>
      </x:c>
      <x:c r="G831" s="167" t="str">
        <x:v>High</x:v>
      </x:c>
      <x:c r="H831" s="167" t="str">
        <x:v>General</x:v>
      </x:c>
      <x:c r="I831" s="167" t="str">
        <x:v>Not Started</x:v>
      </x:c>
      <x:c r="J831" s="167" t="n">
        <x:v>0</x:v>
      </x:c>
      <x:c r="K831" s="168"/>
      <x:c r="L831" s="168" t="str">
        <x:f>IF(OR(I831="Mastered",K831=""),"",K831+IF(J831&gt;=5,30,IF(J831=4,14,IF(J831=3,7,IF(J831=2,3,1)))))</x:f>
      </x:c>
      <x:c r="M831" s="171" t="str"/>
      <x:c r="N831" s="171" t="str"/>
      <x:c r="O831" s="171" t="str">
        <x:v>Draft — verify in context</x:v>
      </x:c>
      <x:c r="P831" s="167" t="str">
        <x:v>https://www.oxfordlearnersdictionaries.com/wordlists/oxford3000-5000</x:v>
      </x:c>
    </x:row>
    <x:row r="832" ht="26" customHeight="1">
      <x:c r="A832" s="167" t="n">
        <x:v>831</x:v>
      </x:c>
      <x:c r="B832" s="167" t="str">
        <x:v>originate</x:v>
      </x:c>
      <x:c r="C832" s="167" t="str">
        <x:v>v.</x:v>
      </x:c>
      <x:c r="D832" s="170" t="str">
        <x:v>походити</x:v>
      </x:c>
      <x:c r="E832" s="167" t="str">
        <x:v>No</x:v>
      </x:c>
      <x:c r="F832" s="167"/>
      <x:c r="G832" s="167" t="str">
        <x:v>Core</x:v>
      </x:c>
      <x:c r="H832" s="167" t="str">
        <x:v>General</x:v>
      </x:c>
      <x:c r="I832" s="167" t="str">
        <x:v>Not Started</x:v>
      </x:c>
      <x:c r="J832" s="167" t="n">
        <x:v>0</x:v>
      </x:c>
      <x:c r="K832" s="168"/>
      <x:c r="L832" s="168" t="str">
        <x:f>IF(OR(I832="Mastered",K832=""),"",K832+IF(J832&gt;=5,30,IF(J832=4,14,IF(J832=3,7,IF(J832=2,3,1)))))</x:f>
      </x:c>
      <x:c r="M832" s="171" t="str"/>
      <x:c r="N832" s="171" t="str"/>
      <x:c r="O832" s="171" t="str">
        <x:v>Draft — verify in context</x:v>
      </x:c>
      <x:c r="P832" s="167" t="str">
        <x:v>https://www.oxfordlearnersdictionaries.com/wordlists/oxford3000-5000</x:v>
      </x:c>
    </x:row>
    <x:row r="833" ht="26" customHeight="1">
      <x:c r="A833" s="167" t="n">
        <x:v>832</x:v>
      </x:c>
      <x:c r="B833" s="167" t="str">
        <x:v>outbreak</x:v>
      </x:c>
      <x:c r="C833" s="167" t="str">
        <x:v>n.</x:v>
      </x:c>
      <x:c r="D833" s="170" t="str">
        <x:v>спалах</x:v>
      </x:c>
      <x:c r="E833" s="167" t="str">
        <x:v>No</x:v>
      </x:c>
      <x:c r="F833" s="167"/>
      <x:c r="G833" s="167" t="str">
        <x:v>Core</x:v>
      </x:c>
      <x:c r="H833" s="167" t="str">
        <x:v>General</x:v>
      </x:c>
      <x:c r="I833" s="167" t="str">
        <x:v>Not Started</x:v>
      </x:c>
      <x:c r="J833" s="167" t="n">
        <x:v>0</x:v>
      </x:c>
      <x:c r="K833" s="168"/>
      <x:c r="L833" s="168" t="str">
        <x:f>IF(OR(I833="Mastered",K833=""),"",K833+IF(J833&gt;=5,30,IF(J833=4,14,IF(J833=3,7,IF(J833=2,3,1)))))</x:f>
      </x:c>
      <x:c r="M833" s="171" t="str"/>
      <x:c r="N833" s="171" t="str"/>
      <x:c r="O833" s="171" t="str">
        <x:v>Draft — verify in context</x:v>
      </x:c>
      <x:c r="P833" s="167" t="str">
        <x:v>https://www.oxfordlearnersdictionaries.com/wordlists/oxford3000-5000</x:v>
      </x:c>
    </x:row>
    <x:row r="834" ht="26" customHeight="1">
      <x:c r="A834" s="167" t="n">
        <x:v>833</x:v>
      </x:c>
      <x:c r="B834" s="167" t="str">
        <x:v>outing</x:v>
      </x:c>
      <x:c r="C834" s="167" t="str">
        <x:v>n.</x:v>
      </x:c>
      <x:c r="D834" s="170" t="str">
        <x:v>виїзд</x:v>
      </x:c>
      <x:c r="E834" s="167" t="str">
        <x:v>No</x:v>
      </x:c>
      <x:c r="F834" s="167"/>
      <x:c r="G834" s="167" t="str">
        <x:v>Core</x:v>
      </x:c>
      <x:c r="H834" s="167" t="str">
        <x:v>General</x:v>
      </x:c>
      <x:c r="I834" s="167" t="str">
        <x:v>Not Started</x:v>
      </x:c>
      <x:c r="J834" s="167" t="n">
        <x:v>0</x:v>
      </x:c>
      <x:c r="K834" s="168"/>
      <x:c r="L834" s="168" t="str">
        <x:f>IF(OR(I834="Mastered",K834=""),"",K834+IF(J834&gt;=5,30,IF(J834=4,14,IF(J834=3,7,IF(J834=2,3,1)))))</x:f>
      </x:c>
      <x:c r="M834" s="171" t="str"/>
      <x:c r="N834" s="171" t="str"/>
      <x:c r="O834" s="171" t="str">
        <x:v>Draft — verify in context</x:v>
      </x:c>
      <x:c r="P834" s="167" t="str">
        <x:v>https://www.oxfordlearnersdictionaries.com/wordlists/oxford3000-5000</x:v>
      </x:c>
    </x:row>
    <x:row r="835" ht="26" customHeight="1">
      <x:c r="A835" s="167" t="n">
        <x:v>834</x:v>
      </x:c>
      <x:c r="B835" s="167" t="str">
        <x:v>outlet</x:v>
      </x:c>
      <x:c r="C835" s="167" t="str">
        <x:v>n.</x:v>
      </x:c>
      <x:c r="D835" s="170" t="str">
        <x:v>розетка</x:v>
      </x:c>
      <x:c r="E835" s="167" t="str">
        <x:v>No</x:v>
      </x:c>
      <x:c r="F835" s="167"/>
      <x:c r="G835" s="167" t="str">
        <x:v>Core</x:v>
      </x:c>
      <x:c r="H835" s="167" t="str">
        <x:v>General</x:v>
      </x:c>
      <x:c r="I835" s="167" t="str">
        <x:v>Not Started</x:v>
      </x:c>
      <x:c r="J835" s="167" t="n">
        <x:v>0</x:v>
      </x:c>
      <x:c r="K835" s="168"/>
      <x:c r="L835" s="168" t="str">
        <x:f>IF(OR(I835="Mastered",K835=""),"",K835+IF(J835&gt;=5,30,IF(J835=4,14,IF(J835=3,7,IF(J835=2,3,1)))))</x:f>
      </x:c>
      <x:c r="M835" s="171" t="str"/>
      <x:c r="N835" s="171" t="str"/>
      <x:c r="O835" s="171" t="str">
        <x:v>Draft — verify in context</x:v>
      </x:c>
      <x:c r="P835" s="167" t="str">
        <x:v>https://www.oxfordlearnersdictionaries.com/wordlists/oxford3000-5000</x:v>
      </x:c>
    </x:row>
    <x:row r="836" ht="26" customHeight="1">
      <x:c r="A836" s="167" t="n">
        <x:v>835</x:v>
      </x:c>
      <x:c r="B836" s="167" t="str">
        <x:v>outlook</x:v>
      </x:c>
      <x:c r="C836" s="167" t="str">
        <x:v>n.</x:v>
      </x:c>
      <x:c r="D836" s="170" t="str">
        <x:v>світогляд</x:v>
      </x:c>
      <x:c r="E836" s="167" t="str">
        <x:v>No</x:v>
      </x:c>
      <x:c r="F836" s="167"/>
      <x:c r="G836" s="167" t="str">
        <x:v>Core</x:v>
      </x:c>
      <x:c r="H836" s="167" t="str">
        <x:v>General</x:v>
      </x:c>
      <x:c r="I836" s="167" t="str">
        <x:v>Not Started</x:v>
      </x:c>
      <x:c r="J836" s="167" t="n">
        <x:v>0</x:v>
      </x:c>
      <x:c r="K836" s="168"/>
      <x:c r="L836" s="168" t="str">
        <x:f>IF(OR(I836="Mastered",K836=""),"",K836+IF(J836&gt;=5,30,IF(J836=4,14,IF(J836=3,7,IF(J836=2,3,1)))))</x:f>
      </x:c>
      <x:c r="M836" s="171" t="str"/>
      <x:c r="N836" s="171" t="str"/>
      <x:c r="O836" s="171" t="str">
        <x:v>Draft — verify in context</x:v>
      </x:c>
      <x:c r="P836" s="167" t="str">
        <x:v>https://www.oxfordlearnersdictionaries.com/wordlists/oxford3000-5000</x:v>
      </x:c>
    </x:row>
    <x:row r="837" ht="26" customHeight="1">
      <x:c r="A837" s="167" t="n">
        <x:v>836</x:v>
      </x:c>
      <x:c r="B837" s="167" t="str">
        <x:v>outrage</x:v>
      </x:c>
      <x:c r="C837" s="167" t="str">
        <x:v>n., v.</x:v>
      </x:c>
      <x:c r="D837" s="170" t="str">
        <x:v>обурення</x:v>
      </x:c>
      <x:c r="E837" s="167" t="str">
        <x:v>No</x:v>
      </x:c>
      <x:c r="F837" s="167"/>
      <x:c r="G837" s="167" t="str">
        <x:v>Core</x:v>
      </x:c>
      <x:c r="H837" s="167" t="str">
        <x:v>General</x:v>
      </x:c>
      <x:c r="I837" s="167" t="str">
        <x:v>Not Started</x:v>
      </x:c>
      <x:c r="J837" s="167" t="n">
        <x:v>0</x:v>
      </x:c>
      <x:c r="K837" s="168"/>
      <x:c r="L837" s="168" t="str">
        <x:f>IF(OR(I837="Mastered",K837=""),"",K837+IF(J837&gt;=5,30,IF(J837=4,14,IF(J837=3,7,IF(J837=2,3,1)))))</x:f>
      </x:c>
      <x:c r="M837" s="171" t="str"/>
      <x:c r="N837" s="171" t="str"/>
      <x:c r="O837" s="171" t="str">
        <x:v>Draft — verify in context</x:v>
      </x:c>
      <x:c r="P837" s="167" t="str">
        <x:v>https://www.oxfordlearnersdictionaries.com/wordlists/oxford3000-5000</x:v>
      </x:c>
    </x:row>
    <x:row r="838" ht="26" customHeight="1">
      <x:c r="A838" s="167" t="n">
        <x:v>837</x:v>
      </x:c>
      <x:c r="B838" s="167" t="str">
        <x:v>outsider</x:v>
      </x:c>
      <x:c r="C838" s="167" t="str">
        <x:v>n.</x:v>
      </x:c>
      <x:c r="D838" s="170" t="str">
        <x:v>сторонній</x:v>
      </x:c>
      <x:c r="E838" s="167" t="str">
        <x:v>No</x:v>
      </x:c>
      <x:c r="F838" s="167"/>
      <x:c r="G838" s="167" t="str">
        <x:v>Core</x:v>
      </x:c>
      <x:c r="H838" s="167" t="str">
        <x:v>General</x:v>
      </x:c>
      <x:c r="I838" s="167" t="str">
        <x:v>Not Started</x:v>
      </x:c>
      <x:c r="J838" s="167" t="n">
        <x:v>0</x:v>
      </x:c>
      <x:c r="K838" s="168"/>
      <x:c r="L838" s="168" t="str">
        <x:f>IF(OR(I838="Mastered",K838=""),"",K838+IF(J838&gt;=5,30,IF(J838=4,14,IF(J838=3,7,IF(J838=2,3,1)))))</x:f>
      </x:c>
      <x:c r="M838" s="171" t="str"/>
      <x:c r="N838" s="171" t="str"/>
      <x:c r="O838" s="171" t="str">
        <x:v>Draft — verify in context</x:v>
      </x:c>
      <x:c r="P838" s="167" t="str">
        <x:v>https://www.oxfordlearnersdictionaries.com/wordlists/oxford3000-5000</x:v>
      </x:c>
    </x:row>
    <x:row r="839" ht="26" customHeight="1">
      <x:c r="A839" s="167" t="n">
        <x:v>838</x:v>
      </x:c>
      <x:c r="B839" s="167" t="str">
        <x:v>overlook</x:v>
      </x:c>
      <x:c r="C839" s="167" t="str">
        <x:v>v.</x:v>
      </x:c>
      <x:c r="D839" s="170" t="str">
        <x:v>не помічати</x:v>
      </x:c>
      <x:c r="E839" s="167" t="str">
        <x:v>No</x:v>
      </x:c>
      <x:c r="F839" s="167"/>
      <x:c r="G839" s="167" t="str">
        <x:v>Core</x:v>
      </x:c>
      <x:c r="H839" s="167" t="str">
        <x:v>General</x:v>
      </x:c>
      <x:c r="I839" s="167" t="str">
        <x:v>Not Started</x:v>
      </x:c>
      <x:c r="J839" s="167" t="n">
        <x:v>0</x:v>
      </x:c>
      <x:c r="K839" s="168"/>
      <x:c r="L839" s="168" t="str">
        <x:f>IF(OR(I839="Mastered",K839=""),"",K839+IF(J839&gt;=5,30,IF(J839=4,14,IF(J839=3,7,IF(J839=2,3,1)))))</x:f>
      </x:c>
      <x:c r="M839" s="171" t="str"/>
      <x:c r="N839" s="171" t="str"/>
      <x:c r="O839" s="171" t="str">
        <x:v>Draft — verify in context</x:v>
      </x:c>
      <x:c r="P839" s="167" t="str">
        <x:v>https://www.oxfordlearnersdictionaries.com/wordlists/oxford3000-5000</x:v>
      </x:c>
    </x:row>
    <x:row r="840" ht="26" customHeight="1">
      <x:c r="A840" s="167" t="n">
        <x:v>839</x:v>
      </x:c>
      <x:c r="B840" s="167" t="str">
        <x:v>overly</x:v>
      </x:c>
      <x:c r="C840" s="167" t="str">
        <x:v>adv.</x:v>
      </x:c>
      <x:c r="D840" s="170" t="str">
        <x:v>надмірно</x:v>
      </x:c>
      <x:c r="E840" s="167" t="str">
        <x:v>No</x:v>
      </x:c>
      <x:c r="F840" s="167"/>
      <x:c r="G840" s="167" t="str">
        <x:v>Core</x:v>
      </x:c>
      <x:c r="H840" s="167" t="str">
        <x:v>General</x:v>
      </x:c>
      <x:c r="I840" s="167" t="str">
        <x:v>Not Started</x:v>
      </x:c>
      <x:c r="J840" s="167" t="n">
        <x:v>0</x:v>
      </x:c>
      <x:c r="K840" s="168"/>
      <x:c r="L840" s="168" t="str">
        <x:f>IF(OR(I840="Mastered",K840=""),"",K840+IF(J840&gt;=5,30,IF(J840=4,14,IF(J840=3,7,IF(J840=2,3,1)))))</x:f>
      </x:c>
      <x:c r="M840" s="171" t="str"/>
      <x:c r="N840" s="171" t="str"/>
      <x:c r="O840" s="171" t="str">
        <x:v>Draft — verify in context</x:v>
      </x:c>
      <x:c r="P840" s="167" t="str">
        <x:v>https://www.oxfordlearnersdictionaries.com/wordlists/oxford3000-5000</x:v>
      </x:c>
    </x:row>
    <x:row r="841" ht="26" customHeight="1">
      <x:c r="A841" s="167" t="n">
        <x:v>840</x:v>
      </x:c>
      <x:c r="B841" s="167" t="str">
        <x:v>oversee</x:v>
      </x:c>
      <x:c r="C841" s="167" t="str">
        <x:v>v.</x:v>
      </x:c>
      <x:c r="D841" s="170" t="str">
        <x:v>наглядати</x:v>
      </x:c>
      <x:c r="E841" s="167" t="str">
        <x:v>No</x:v>
      </x:c>
      <x:c r="F841" s="167"/>
      <x:c r="G841" s="167" t="str">
        <x:v>Core</x:v>
      </x:c>
      <x:c r="H841" s="167" t="str">
        <x:v>General</x:v>
      </x:c>
      <x:c r="I841" s="167" t="str">
        <x:v>Not Started</x:v>
      </x:c>
      <x:c r="J841" s="167" t="n">
        <x:v>0</x:v>
      </x:c>
      <x:c r="K841" s="168"/>
      <x:c r="L841" s="168" t="str">
        <x:f>IF(OR(I841="Mastered",K841=""),"",K841+IF(J841&gt;=5,30,IF(J841=4,14,IF(J841=3,7,IF(J841=2,3,1)))))</x:f>
      </x:c>
      <x:c r="M841" s="171" t="str"/>
      <x:c r="N841" s="171" t="str"/>
      <x:c r="O841" s="171" t="str">
        <x:v>Draft — verify in context</x:v>
      </x:c>
      <x:c r="P841" s="167" t="str">
        <x:v>https://www.oxfordlearnersdictionaries.com/wordlists/oxford3000-5000</x:v>
      </x:c>
    </x:row>
    <x:row r="842" ht="26" customHeight="1">
      <x:c r="A842" s="167" t="n">
        <x:v>841</x:v>
      </x:c>
      <x:c r="B842" s="167" t="str">
        <x:v>overturn</x:v>
      </x:c>
      <x:c r="C842" s="167" t="str">
        <x:v>v.</x:v>
      </x:c>
      <x:c r="D842" s="170" t="str">
        <x:v>перевертати</x:v>
      </x:c>
      <x:c r="E842" s="167" t="str">
        <x:v>No</x:v>
      </x:c>
      <x:c r="F842" s="167"/>
      <x:c r="G842" s="167" t="str">
        <x:v>Core</x:v>
      </x:c>
      <x:c r="H842" s="167" t="str">
        <x:v>General</x:v>
      </x:c>
      <x:c r="I842" s="167" t="str">
        <x:v>Not Started</x:v>
      </x:c>
      <x:c r="J842" s="167" t="n">
        <x:v>0</x:v>
      </x:c>
      <x:c r="K842" s="168"/>
      <x:c r="L842" s="168" t="str">
        <x:f>IF(OR(I842="Mastered",K842=""),"",K842+IF(J842&gt;=5,30,IF(J842=4,14,IF(J842=3,7,IF(J842=2,3,1)))))</x:f>
      </x:c>
      <x:c r="M842" s="171" t="str"/>
      <x:c r="N842" s="171" t="str"/>
      <x:c r="O842" s="171" t="str">
        <x:v>Draft — verify in context</x:v>
      </x:c>
      <x:c r="P842" s="167" t="str">
        <x:v>https://www.oxfordlearnersdictionaries.com/wordlists/oxford3000-5000</x:v>
      </x:c>
    </x:row>
    <x:row r="843" ht="26" customHeight="1">
      <x:c r="A843" s="167" t="n">
        <x:v>842</x:v>
      </x:c>
      <x:c r="B843" s="167" t="str">
        <x:v>overwhelm</x:v>
      </x:c>
      <x:c r="C843" s="167" t="str">
        <x:v>v.</x:v>
      </x:c>
      <x:c r="D843" s="170" t="str">
        <x:v>переповнювати</x:v>
      </x:c>
      <x:c r="E843" s="167" t="str">
        <x:v>No</x:v>
      </x:c>
      <x:c r="F843" s="167"/>
      <x:c r="G843" s="167" t="str">
        <x:v>Core</x:v>
      </x:c>
      <x:c r="H843" s="167" t="str">
        <x:v>General</x:v>
      </x:c>
      <x:c r="I843" s="167" t="str">
        <x:v>Not Started</x:v>
      </x:c>
      <x:c r="J843" s="167" t="n">
        <x:v>0</x:v>
      </x:c>
      <x:c r="K843" s="168"/>
      <x:c r="L843" s="168" t="str">
        <x:f>IF(OR(I843="Mastered",K843=""),"",K843+IF(J843&gt;=5,30,IF(J843=4,14,IF(J843=3,7,IF(J843=2,3,1)))))</x:f>
      </x:c>
      <x:c r="M843" s="171" t="str"/>
      <x:c r="N843" s="171" t="str"/>
      <x:c r="O843" s="171" t="str">
        <x:v>Draft — verify in context</x:v>
      </x:c>
      <x:c r="P843" s="167" t="str">
        <x:v>https://www.oxfordlearnersdictionaries.com/wordlists/oxford3000-5000</x:v>
      </x:c>
    </x:row>
    <x:row r="844" ht="26" customHeight="1">
      <x:c r="A844" s="167" t="n">
        <x:v>843</x:v>
      </x:c>
      <x:c r="B844" s="167" t="str">
        <x:v>overwhelming</x:v>
      </x:c>
      <x:c r="C844" s="167" t="str">
        <x:v>adj.</x:v>
      </x:c>
      <x:c r="D844" s="170" t="str">
        <x:v>переважний</x:v>
      </x:c>
      <x:c r="E844" s="167" t="str">
        <x:v>No</x:v>
      </x:c>
      <x:c r="F844" s="167"/>
      <x:c r="G844" s="167" t="str">
        <x:v>Core</x:v>
      </x:c>
      <x:c r="H844" s="167" t="str">
        <x:v>General</x:v>
      </x:c>
      <x:c r="I844" s="167" t="str">
        <x:v>Not Started</x:v>
      </x:c>
      <x:c r="J844" s="167" t="n">
        <x:v>0</x:v>
      </x:c>
      <x:c r="K844" s="168"/>
      <x:c r="L844" s="168" t="str">
        <x:f>IF(OR(I844="Mastered",K844=""),"",K844+IF(J844&gt;=5,30,IF(J844=4,14,IF(J844=3,7,IF(J844=2,3,1)))))</x:f>
      </x:c>
      <x:c r="M844" s="171" t="str"/>
      <x:c r="N844" s="171" t="str"/>
      <x:c r="O844" s="171" t="str">
        <x:v>Draft — verify in context</x:v>
      </x:c>
      <x:c r="P844" s="167" t="str">
        <x:v>https://www.oxfordlearnersdictionaries.com/wordlists/oxford3000-5000</x:v>
      </x:c>
    </x:row>
    <x:row r="845" ht="26" customHeight="1">
      <x:c r="A845" s="167" t="n">
        <x:v>844</x:v>
      </x:c>
      <x:c r="B845" s="167" t="str">
        <x:v>pad</x:v>
      </x:c>
      <x:c r="C845" s="167" t="str">
        <x:v>n.</x:v>
      </x:c>
      <x:c r="D845" s="170" t="str">
        <x:v>колодка</x:v>
      </x:c>
      <x:c r="E845" s="167" t="str">
        <x:v>No</x:v>
      </x:c>
      <x:c r="F845" s="167"/>
      <x:c r="G845" s="167" t="str">
        <x:v>Core</x:v>
      </x:c>
      <x:c r="H845" s="167" t="str">
        <x:v>General</x:v>
      </x:c>
      <x:c r="I845" s="167" t="str">
        <x:v>Not Started</x:v>
      </x:c>
      <x:c r="J845" s="167" t="n">
        <x:v>0</x:v>
      </x:c>
      <x:c r="K845" s="168"/>
      <x:c r="L845" s="168" t="str">
        <x:f>IF(OR(I845="Mastered",K845=""),"",K845+IF(J845&gt;=5,30,IF(J845=4,14,IF(J845=3,7,IF(J845=2,3,1)))))</x:f>
      </x:c>
      <x:c r="M845" s="171" t="str"/>
      <x:c r="N845" s="171" t="str"/>
      <x:c r="O845" s="171" t="str">
        <x:v>Draft — verify in context</x:v>
      </x:c>
      <x:c r="P845" s="167" t="str">
        <x:v>https://www.oxfordlearnersdictionaries.com/wordlists/oxford3000-5000</x:v>
      </x:c>
    </x:row>
    <x:row r="846" ht="26" customHeight="1">
      <x:c r="A846" s="167" t="n">
        <x:v>845</x:v>
      </x:c>
      <x:c r="B846" s="167" t="str">
        <x:v>parameter</x:v>
      </x:c>
      <x:c r="C846" s="167" t="str">
        <x:v>n.</x:v>
      </x:c>
      <x:c r="D846" s="170" t="str">
        <x:v>параметр</x:v>
      </x:c>
      <x:c r="E846" s="167" t="str">
        <x:v>No</x:v>
      </x:c>
      <x:c r="F846" s="167"/>
      <x:c r="G846" s="167" t="str">
        <x:v>Core</x:v>
      </x:c>
      <x:c r="H846" s="167" t="str">
        <x:v>General</x:v>
      </x:c>
      <x:c r="I846" s="167" t="str">
        <x:v>Not Started</x:v>
      </x:c>
      <x:c r="J846" s="167" t="n">
        <x:v>0</x:v>
      </x:c>
      <x:c r="K846" s="168"/>
      <x:c r="L846" s="168" t="str">
        <x:f>IF(OR(I846="Mastered",K846=""),"",K846+IF(J846&gt;=5,30,IF(J846=4,14,IF(J846=3,7,IF(J846=2,3,1)))))</x:f>
      </x:c>
      <x:c r="M846" s="171" t="str"/>
      <x:c r="N846" s="171" t="str"/>
      <x:c r="O846" s="171" t="str">
        <x:v>Draft — verify in context</x:v>
      </x:c>
      <x:c r="P846" s="167" t="str">
        <x:v>https://www.oxfordlearnersdictionaries.com/wordlists/oxford3000-5000</x:v>
      </x:c>
    </x:row>
    <x:row r="847" ht="26" customHeight="1">
      <x:c r="A847" s="167" t="n">
        <x:v>846</x:v>
      </x:c>
      <x:c r="B847" s="167" t="str">
        <x:v>parental</x:v>
      </x:c>
      <x:c r="C847" s="167" t="str">
        <x:v>adj.</x:v>
      </x:c>
      <x:c r="D847" s="170" t="str">
        <x:v>батьківський</x:v>
      </x:c>
      <x:c r="E847" s="167" t="str">
        <x:v>No</x:v>
      </x:c>
      <x:c r="F847" s="167"/>
      <x:c r="G847" s="167" t="str">
        <x:v>Core</x:v>
      </x:c>
      <x:c r="H847" s="167" t="str">
        <x:v>General</x:v>
      </x:c>
      <x:c r="I847" s="167" t="str">
        <x:v>Not Started</x:v>
      </x:c>
      <x:c r="J847" s="167" t="n">
        <x:v>0</x:v>
      </x:c>
      <x:c r="K847" s="168"/>
      <x:c r="L847" s="168" t="str">
        <x:f>IF(OR(I847="Mastered",K847=""),"",K847+IF(J847&gt;=5,30,IF(J847=4,14,IF(J847=3,7,IF(J847=2,3,1)))))</x:f>
      </x:c>
      <x:c r="M847" s="171" t="str"/>
      <x:c r="N847" s="171" t="str"/>
      <x:c r="O847" s="171" t="str">
        <x:v>Draft — verify in context</x:v>
      </x:c>
      <x:c r="P847" s="167" t="str">
        <x:v>https://www.oxfordlearnersdictionaries.com/wordlists/oxford3000-5000</x:v>
      </x:c>
    </x:row>
    <x:row r="848" ht="26" customHeight="1">
      <x:c r="A848" s="167" t="n">
        <x:v>847</x:v>
      </x:c>
      <x:c r="B848" s="167" t="str">
        <x:v>parish</x:v>
      </x:c>
      <x:c r="C848" s="167" t="str">
        <x:v>n.</x:v>
      </x:c>
      <x:c r="D848" s="170" t="str">
        <x:v>парафія</x:v>
      </x:c>
      <x:c r="E848" s="167" t="str">
        <x:v>No</x:v>
      </x:c>
      <x:c r="F848" s="167"/>
      <x:c r="G848" s="167" t="str">
        <x:v>Core</x:v>
      </x:c>
      <x:c r="H848" s="167" t="str">
        <x:v>General</x:v>
      </x:c>
      <x:c r="I848" s="167" t="str">
        <x:v>Not Started</x:v>
      </x:c>
      <x:c r="J848" s="167" t="n">
        <x:v>0</x:v>
      </x:c>
      <x:c r="K848" s="168"/>
      <x:c r="L848" s="168" t="str">
        <x:f>IF(OR(I848="Mastered",K848=""),"",K848+IF(J848&gt;=5,30,IF(J848=4,14,IF(J848=3,7,IF(J848=2,3,1)))))</x:f>
      </x:c>
      <x:c r="M848" s="171" t="str"/>
      <x:c r="N848" s="171" t="str"/>
      <x:c r="O848" s="171" t="str">
        <x:v>Draft — verify in context</x:v>
      </x:c>
      <x:c r="P848" s="167" t="str">
        <x:v>https://www.oxfordlearnersdictionaries.com/wordlists/oxford3000-5000</x:v>
      </x:c>
    </x:row>
    <x:row r="849" ht="26" customHeight="1">
      <x:c r="A849" s="167" t="n">
        <x:v>848</x:v>
      </x:c>
      <x:c r="B849" s="167" t="str">
        <x:v>parliamentary</x:v>
      </x:c>
      <x:c r="C849" s="167" t="str">
        <x:v>adj.</x:v>
      </x:c>
      <x:c r="D849" s="170" t="str">
        <x:v>парламентський</x:v>
      </x:c>
      <x:c r="E849" s="167" t="str">
        <x:v>No</x:v>
      </x:c>
      <x:c r="F849" s="167"/>
      <x:c r="G849" s="167" t="str">
        <x:v>High</x:v>
      </x:c>
      <x:c r="H849" s="167" t="str">
        <x:v>Government &amp; law</x:v>
      </x:c>
      <x:c r="I849" s="167" t="str">
        <x:v>Not Started</x:v>
      </x:c>
      <x:c r="J849" s="167" t="n">
        <x:v>0</x:v>
      </x:c>
      <x:c r="K849" s="168"/>
      <x:c r="L849" s="168" t="str">
        <x:f>IF(OR(I849="Mastered",K849=""),"",K849+IF(J849&gt;=5,30,IF(J849=4,14,IF(J849=3,7,IF(J849=2,3,1)))))</x:f>
      </x:c>
      <x:c r="M849" s="171" t="str"/>
      <x:c r="N849" s="171" t="str"/>
      <x:c r="O849" s="171" t="str">
        <x:v>Draft — verify in context</x:v>
      </x:c>
      <x:c r="P849" s="167" t="str">
        <x:v>https://www.oxfordlearnersdictionaries.com/wordlists/oxford3000-5000</x:v>
      </x:c>
    </x:row>
    <x:row r="850" ht="26" customHeight="1">
      <x:c r="A850" s="167" t="n">
        <x:v>849</x:v>
      </x:c>
      <x:c r="B850" s="167" t="str">
        <x:v>partial</x:v>
      </x:c>
      <x:c r="C850" s="167" t="str">
        <x:v>adj.</x:v>
      </x:c>
      <x:c r="D850" s="170" t="str">
        <x:v>частковий</x:v>
      </x:c>
      <x:c r="E850" s="167" t="str">
        <x:v>No</x:v>
      </x:c>
      <x:c r="F850" s="167"/>
      <x:c r="G850" s="167" t="str">
        <x:v>Core</x:v>
      </x:c>
      <x:c r="H850" s="167" t="str">
        <x:v>General</x:v>
      </x:c>
      <x:c r="I850" s="167" t="str">
        <x:v>Not Started</x:v>
      </x:c>
      <x:c r="J850" s="167" t="n">
        <x:v>0</x:v>
      </x:c>
      <x:c r="K850" s="168"/>
      <x:c r="L850" s="168" t="str">
        <x:f>IF(OR(I850="Mastered",K850=""),"",K850+IF(J850&gt;=5,30,IF(J850=4,14,IF(J850=3,7,IF(J850=2,3,1)))))</x:f>
      </x:c>
      <x:c r="M850" s="171" t="str"/>
      <x:c r="N850" s="171" t="str"/>
      <x:c r="O850" s="171" t="str">
        <x:v>Draft — verify in context</x:v>
      </x:c>
      <x:c r="P850" s="167" t="str">
        <x:v>https://www.oxfordlearnersdictionaries.com/wordlists/oxford3000-5000</x:v>
      </x:c>
    </x:row>
    <x:row r="851" ht="26" customHeight="1">
      <x:c r="A851" s="167" t="n">
        <x:v>850</x:v>
      </x:c>
      <x:c r="B851" s="167" t="str">
        <x:v>partially</x:v>
      </x:c>
      <x:c r="C851" s="167" t="str">
        <x:v>adv.</x:v>
      </x:c>
      <x:c r="D851" s="170" t="str">
        <x:v>частково</x:v>
      </x:c>
      <x:c r="E851" s="167" t="str">
        <x:v>No</x:v>
      </x:c>
      <x:c r="F851" s="167"/>
      <x:c r="G851" s="167" t="str">
        <x:v>Core</x:v>
      </x:c>
      <x:c r="H851" s="167" t="str">
        <x:v>General</x:v>
      </x:c>
      <x:c r="I851" s="167" t="str">
        <x:v>Not Started</x:v>
      </x:c>
      <x:c r="J851" s="167" t="n">
        <x:v>0</x:v>
      </x:c>
      <x:c r="K851" s="168"/>
      <x:c r="L851" s="168" t="str">
        <x:f>IF(OR(I851="Mastered",K851=""),"",K851+IF(J851&gt;=5,30,IF(J851=4,14,IF(J851=3,7,IF(J851=2,3,1)))))</x:f>
      </x:c>
      <x:c r="M851" s="171" t="str"/>
      <x:c r="N851" s="171" t="str"/>
      <x:c r="O851" s="171" t="str">
        <x:v>Draft — verify in context</x:v>
      </x:c>
      <x:c r="P851" s="167" t="str">
        <x:v>https://www.oxfordlearnersdictionaries.com/wordlists/oxford3000-5000</x:v>
      </x:c>
    </x:row>
    <x:row r="852" ht="26" customHeight="1">
      <x:c r="A852" s="167" t="n">
        <x:v>851</x:v>
      </x:c>
      <x:c r="B852" s="167" t="str">
        <x:v>passing</x:v>
      </x:c>
      <x:c r="C852" s="167" t="str">
        <x:v>n.</x:v>
      </x:c>
      <x:c r="D852" s="170" t="str">
        <x:v>проходження</x:v>
      </x:c>
      <x:c r="E852" s="167" t="str">
        <x:v>No</x:v>
      </x:c>
      <x:c r="F852" s="167"/>
      <x:c r="G852" s="167" t="str">
        <x:v>Core</x:v>
      </x:c>
      <x:c r="H852" s="167" t="str">
        <x:v>General</x:v>
      </x:c>
      <x:c r="I852" s="167" t="str">
        <x:v>Not Started</x:v>
      </x:c>
      <x:c r="J852" s="167" t="n">
        <x:v>0</x:v>
      </x:c>
      <x:c r="K852" s="168"/>
      <x:c r="L852" s="168" t="str">
        <x:f>IF(OR(I852="Mastered",K852=""),"",K852+IF(J852&gt;=5,30,IF(J852=4,14,IF(J852=3,7,IF(J852=2,3,1)))))</x:f>
      </x:c>
      <x:c r="M852" s="171" t="str"/>
      <x:c r="N852" s="171" t="str"/>
      <x:c r="O852" s="171" t="str">
        <x:v>Draft — verify in context</x:v>
      </x:c>
      <x:c r="P852" s="167" t="str">
        <x:v>https://www.oxfordlearnersdictionaries.com/wordlists/oxford3000-5000</x:v>
      </x:c>
    </x:row>
    <x:row r="853" ht="26" customHeight="1">
      <x:c r="A853" s="167" t="n">
        <x:v>852</x:v>
      </x:c>
      <x:c r="B853" s="167" t="str">
        <x:v>passive</x:v>
      </x:c>
      <x:c r="C853" s="167" t="str">
        <x:v>adj.</x:v>
      </x:c>
      <x:c r="D853" s="170" t="str">
        <x:v>пасивний</x:v>
      </x:c>
      <x:c r="E853" s="167" t="str">
        <x:v>Yes</x:v>
      </x:c>
      <x:c r="F853" s="167" t="n">
        <x:v>9</x:v>
      </x:c>
      <x:c r="G853" s="167" t="str">
        <x:v>High</x:v>
      </x:c>
      <x:c r="H853" s="167" t="str">
        <x:v>General</x:v>
      </x:c>
      <x:c r="I853" s="167" t="str">
        <x:v>Not Started</x:v>
      </x:c>
      <x:c r="J853" s="167" t="n">
        <x:v>0</x:v>
      </x:c>
      <x:c r="K853" s="168"/>
      <x:c r="L853" s="168" t="str">
        <x:f>IF(OR(I853="Mastered",K853=""),"",K853+IF(J853&gt;=5,30,IF(J853=4,14,IF(J853=3,7,IF(J853=2,3,1)))))</x:f>
      </x:c>
      <x:c r="M853" s="171" t="str"/>
      <x:c r="N853" s="171" t="str"/>
      <x:c r="O853" s="171" t="str">
        <x:v>Draft — verify in context</x:v>
      </x:c>
      <x:c r="P853" s="167" t="str">
        <x:v>https://www.oxfordlearnersdictionaries.com/wordlists/oxford3000-5000</x:v>
      </x:c>
    </x:row>
    <x:row r="854" ht="26" customHeight="1">
      <x:c r="A854" s="167" t="n">
        <x:v>853</x:v>
      </x:c>
      <x:c r="B854" s="167" t="str">
        <x:v>pastor</x:v>
      </x:c>
      <x:c r="C854" s="167" t="str">
        <x:v>n.</x:v>
      </x:c>
      <x:c r="D854" s="170" t="str">
        <x:v>пастор</x:v>
      </x:c>
      <x:c r="E854" s="167" t="str">
        <x:v>No</x:v>
      </x:c>
      <x:c r="F854" s="167"/>
      <x:c r="G854" s="167" t="str">
        <x:v>Core</x:v>
      </x:c>
      <x:c r="H854" s="167" t="str">
        <x:v>General</x:v>
      </x:c>
      <x:c r="I854" s="167" t="str">
        <x:v>Not Started</x:v>
      </x:c>
      <x:c r="J854" s="167" t="n">
        <x:v>0</x:v>
      </x:c>
      <x:c r="K854" s="168"/>
      <x:c r="L854" s="168" t="str">
        <x:f>IF(OR(I854="Mastered",K854=""),"",K854+IF(J854&gt;=5,30,IF(J854=4,14,IF(J854=3,7,IF(J854=2,3,1)))))</x:f>
      </x:c>
      <x:c r="M854" s="171" t="str"/>
      <x:c r="N854" s="171" t="str"/>
      <x:c r="O854" s="171" t="str">
        <x:v>Draft — verify in context</x:v>
      </x:c>
      <x:c r="P854" s="167" t="str">
        <x:v>https://www.oxfordlearnersdictionaries.com/wordlists/oxford3000-5000</x:v>
      </x:c>
    </x:row>
    <x:row r="855" ht="26" customHeight="1">
      <x:c r="A855" s="167" t="n">
        <x:v>854</x:v>
      </x:c>
      <x:c r="B855" s="167" t="str">
        <x:v>patch</x:v>
      </x:c>
      <x:c r="C855" s="167" t="str">
        <x:v>n.</x:v>
      </x:c>
      <x:c r="D855" s="170" t="str">
        <x:v>латка</x:v>
      </x:c>
      <x:c r="E855" s="167" t="str">
        <x:v>No</x:v>
      </x:c>
      <x:c r="F855" s="167"/>
      <x:c r="G855" s="167" t="str">
        <x:v>Core</x:v>
      </x:c>
      <x:c r="H855" s="167" t="str">
        <x:v>General</x:v>
      </x:c>
      <x:c r="I855" s="167" t="str">
        <x:v>Not Started</x:v>
      </x:c>
      <x:c r="J855" s="167" t="n">
        <x:v>0</x:v>
      </x:c>
      <x:c r="K855" s="168"/>
      <x:c r="L855" s="168" t="str">
        <x:f>IF(OR(I855="Mastered",K855=""),"",K855+IF(J855&gt;=5,30,IF(J855=4,14,IF(J855=3,7,IF(J855=2,3,1)))))</x:f>
      </x:c>
      <x:c r="M855" s="171" t="str"/>
      <x:c r="N855" s="171" t="str"/>
      <x:c r="O855" s="171" t="str">
        <x:v>Draft — verify in context</x:v>
      </x:c>
      <x:c r="P855" s="167" t="str">
        <x:v>https://www.oxfordlearnersdictionaries.com/wordlists/oxford3000-5000</x:v>
      </x:c>
    </x:row>
    <x:row r="856" ht="26" customHeight="1">
      <x:c r="A856" s="167" t="n">
        <x:v>855</x:v>
      </x:c>
      <x:c r="B856" s="167" t="str">
        <x:v>patent</x:v>
      </x:c>
      <x:c r="C856" s="167" t="str">
        <x:v>n.</x:v>
      </x:c>
      <x:c r="D856" s="170" t="str">
        <x:v>патент</x:v>
      </x:c>
      <x:c r="E856" s="167" t="str">
        <x:v>No</x:v>
      </x:c>
      <x:c r="F856" s="167"/>
      <x:c r="G856" s="167" t="str">
        <x:v>Core</x:v>
      </x:c>
      <x:c r="H856" s="167" t="str">
        <x:v>General</x:v>
      </x:c>
      <x:c r="I856" s="167" t="str">
        <x:v>Not Started</x:v>
      </x:c>
      <x:c r="J856" s="167" t="n">
        <x:v>0</x:v>
      </x:c>
      <x:c r="K856" s="168"/>
      <x:c r="L856" s="168" t="str">
        <x:f>IF(OR(I856="Mastered",K856=""),"",K856+IF(J856&gt;=5,30,IF(J856=4,14,IF(J856=3,7,IF(J856=2,3,1)))))</x:f>
      </x:c>
      <x:c r="M856" s="171" t="str"/>
      <x:c r="N856" s="171" t="str"/>
      <x:c r="O856" s="171" t="str">
        <x:v>Draft — verify in context</x:v>
      </x:c>
      <x:c r="P856" s="167" t="str">
        <x:v>https://www.oxfordlearnersdictionaries.com/wordlists/oxford3000-5000</x:v>
      </x:c>
    </x:row>
    <x:row r="857" ht="26" customHeight="1">
      <x:c r="A857" s="167" t="n">
        <x:v>856</x:v>
      </x:c>
      <x:c r="B857" s="167" t="str">
        <x:v>pathway</x:v>
      </x:c>
      <x:c r="C857" s="167" t="str">
        <x:v>n.</x:v>
      </x:c>
      <x:c r="D857" s="170" t="str">
        <x:v>шлях</x:v>
      </x:c>
      <x:c r="E857" s="167" t="str">
        <x:v>No</x:v>
      </x:c>
      <x:c r="F857" s="167"/>
      <x:c r="G857" s="167" t="str">
        <x:v>Core</x:v>
      </x:c>
      <x:c r="H857" s="167" t="str">
        <x:v>General</x:v>
      </x:c>
      <x:c r="I857" s="167" t="str">
        <x:v>Not Started</x:v>
      </x:c>
      <x:c r="J857" s="167" t="n">
        <x:v>0</x:v>
      </x:c>
      <x:c r="K857" s="168"/>
      <x:c r="L857" s="168" t="str">
        <x:f>IF(OR(I857="Mastered",K857=""),"",K857+IF(J857&gt;=5,30,IF(J857=4,14,IF(J857=3,7,IF(J857=2,3,1)))))</x:f>
      </x:c>
      <x:c r="M857" s="171" t="str"/>
      <x:c r="N857" s="171" t="str"/>
      <x:c r="O857" s="171" t="str">
        <x:v>Draft — verify in context</x:v>
      </x:c>
      <x:c r="P857" s="167" t="str">
        <x:v>https://www.oxfordlearnersdictionaries.com/wordlists/oxford3000-5000</x:v>
      </x:c>
    </x:row>
    <x:row r="858" ht="26" customHeight="1">
      <x:c r="A858" s="167" t="n">
        <x:v>857</x:v>
      </x:c>
      <x:c r="B858" s="167" t="str">
        <x:v>patrol</x:v>
      </x:c>
      <x:c r="C858" s="167" t="str">
        <x:v>n., v.</x:v>
      </x:c>
      <x:c r="D858" s="170" t="str">
        <x:v>патруль</x:v>
      </x:c>
      <x:c r="E858" s="167" t="str">
        <x:v>No</x:v>
      </x:c>
      <x:c r="F858" s="167"/>
      <x:c r="G858" s="167" t="str">
        <x:v>Core</x:v>
      </x:c>
      <x:c r="H858" s="167" t="str">
        <x:v>General</x:v>
      </x:c>
      <x:c r="I858" s="167" t="str">
        <x:v>Not Started</x:v>
      </x:c>
      <x:c r="J858" s="167" t="n">
        <x:v>0</x:v>
      </x:c>
      <x:c r="K858" s="168"/>
      <x:c r="L858" s="168" t="str">
        <x:f>IF(OR(I858="Mastered",K858=""),"",K858+IF(J858&gt;=5,30,IF(J858=4,14,IF(J858=3,7,IF(J858=2,3,1)))))</x:f>
      </x:c>
      <x:c r="M858" s="171" t="str"/>
      <x:c r="N858" s="171" t="str"/>
      <x:c r="O858" s="171" t="str">
        <x:v>Draft — verify in context</x:v>
      </x:c>
      <x:c r="P858" s="167" t="str">
        <x:v>https://www.oxfordlearnersdictionaries.com/wordlists/oxford3000-5000</x:v>
      </x:c>
    </x:row>
    <x:row r="859" ht="26" customHeight="1">
      <x:c r="A859" s="167" t="n">
        <x:v>858</x:v>
      </x:c>
      <x:c r="B859" s="167" t="str">
        <x:v>patron</x:v>
      </x:c>
      <x:c r="C859" s="167" t="str">
        <x:v>n.</x:v>
      </x:c>
      <x:c r="D859" s="170" t="str">
        <x:v>патрон</x:v>
      </x:c>
      <x:c r="E859" s="167" t="str">
        <x:v>No</x:v>
      </x:c>
      <x:c r="F859" s="167"/>
      <x:c r="G859" s="167" t="str">
        <x:v>Core</x:v>
      </x:c>
      <x:c r="H859" s="167" t="str">
        <x:v>General</x:v>
      </x:c>
      <x:c r="I859" s="167" t="str">
        <x:v>Not Started</x:v>
      </x:c>
      <x:c r="J859" s="167" t="n">
        <x:v>0</x:v>
      </x:c>
      <x:c r="K859" s="168"/>
      <x:c r="L859" s="168" t="str">
        <x:f>IF(OR(I859="Mastered",K859=""),"",K859+IF(J859&gt;=5,30,IF(J859=4,14,IF(J859=3,7,IF(J859=2,3,1)))))</x:f>
      </x:c>
      <x:c r="M859" s="171" t="str"/>
      <x:c r="N859" s="171" t="str"/>
      <x:c r="O859" s="171" t="str">
        <x:v>Draft — verify in context</x:v>
      </x:c>
      <x:c r="P859" s="167" t="str">
        <x:v>https://www.oxfordlearnersdictionaries.com/wordlists/oxford3000-5000</x:v>
      </x:c>
    </x:row>
    <x:row r="860" ht="26" customHeight="1">
      <x:c r="A860" s="167" t="n">
        <x:v>859</x:v>
      </x:c>
      <x:c r="B860" s="167" t="str">
        <x:v>peak</x:v>
      </x:c>
      <x:c r="C860" s="167" t="str">
        <x:v>n.</x:v>
      </x:c>
      <x:c r="D860" s="170" t="str">
        <x:v>пік</x:v>
      </x:c>
      <x:c r="E860" s="167" t="str">
        <x:v>No</x:v>
      </x:c>
      <x:c r="F860" s="167"/>
      <x:c r="G860" s="167" t="str">
        <x:v>Core</x:v>
      </x:c>
      <x:c r="H860" s="167" t="str">
        <x:v>General</x:v>
      </x:c>
      <x:c r="I860" s="167" t="str">
        <x:v>Not Started</x:v>
      </x:c>
      <x:c r="J860" s="167" t="n">
        <x:v>0</x:v>
      </x:c>
      <x:c r="K860" s="168"/>
      <x:c r="L860" s="168" t="str">
        <x:f>IF(OR(I860="Mastered",K860=""),"",K860+IF(J860&gt;=5,30,IF(J860=4,14,IF(J860=3,7,IF(J860=2,3,1)))))</x:f>
      </x:c>
      <x:c r="M860" s="171" t="str"/>
      <x:c r="N860" s="171" t="str"/>
      <x:c r="O860" s="171" t="str">
        <x:v>Draft — verify in context</x:v>
      </x:c>
      <x:c r="P860" s="167" t="str">
        <x:v>https://www.oxfordlearnersdictionaries.com/wordlists/oxford3000-5000</x:v>
      </x:c>
    </x:row>
    <x:row r="861" ht="26" customHeight="1">
      <x:c r="A861" s="167" t="n">
        <x:v>860</x:v>
      </x:c>
      <x:c r="B861" s="167" t="str">
        <x:v>peasant</x:v>
      </x:c>
      <x:c r="C861" s="167" t="str">
        <x:v>n.</x:v>
      </x:c>
      <x:c r="D861" s="170" t="str">
        <x:v>селянин</x:v>
      </x:c>
      <x:c r="E861" s="167" t="str">
        <x:v>No</x:v>
      </x:c>
      <x:c r="F861" s="167"/>
      <x:c r="G861" s="167" t="str">
        <x:v>Core</x:v>
      </x:c>
      <x:c r="H861" s="167" t="str">
        <x:v>General</x:v>
      </x:c>
      <x:c r="I861" s="167" t="str">
        <x:v>Not Started</x:v>
      </x:c>
      <x:c r="J861" s="167" t="n">
        <x:v>0</x:v>
      </x:c>
      <x:c r="K861" s="168"/>
      <x:c r="L861" s="168" t="str">
        <x:f>IF(OR(I861="Mastered",K861=""),"",K861+IF(J861&gt;=5,30,IF(J861=4,14,IF(J861=3,7,IF(J861=2,3,1)))))</x:f>
      </x:c>
      <x:c r="M861" s="171" t="str"/>
      <x:c r="N861" s="171" t="str"/>
      <x:c r="O861" s="171" t="str">
        <x:v>Draft — verify in context</x:v>
      </x:c>
      <x:c r="P861" s="167" t="str">
        <x:v>https://www.oxfordlearnersdictionaries.com/wordlists/oxford3000-5000</x:v>
      </x:c>
    </x:row>
    <x:row r="862" ht="26" customHeight="1">
      <x:c r="A862" s="167" t="n">
        <x:v>861</x:v>
      </x:c>
      <x:c r="B862" s="167" t="str">
        <x:v>peculiar</x:v>
      </x:c>
      <x:c r="C862" s="167" t="str">
        <x:v>adj.</x:v>
      </x:c>
      <x:c r="D862" s="170" t="str">
        <x:v>своєрідний</x:v>
      </x:c>
      <x:c r="E862" s="167" t="str">
        <x:v>No</x:v>
      </x:c>
      <x:c r="F862" s="167"/>
      <x:c r="G862" s="167" t="str">
        <x:v>Core</x:v>
      </x:c>
      <x:c r="H862" s="167" t="str">
        <x:v>General</x:v>
      </x:c>
      <x:c r="I862" s="167" t="str">
        <x:v>Not Started</x:v>
      </x:c>
      <x:c r="J862" s="167" t="n">
        <x:v>0</x:v>
      </x:c>
      <x:c r="K862" s="168"/>
      <x:c r="L862" s="168" t="str">
        <x:f>IF(OR(I862="Mastered",K862=""),"",K862+IF(J862&gt;=5,30,IF(J862=4,14,IF(J862=3,7,IF(J862=2,3,1)))))</x:f>
      </x:c>
      <x:c r="M862" s="171" t="str"/>
      <x:c r="N862" s="171" t="str"/>
      <x:c r="O862" s="171" t="str">
        <x:v>Draft — verify in context</x:v>
      </x:c>
      <x:c r="P862" s="167" t="str">
        <x:v>https://www.oxfordlearnersdictionaries.com/wordlists/oxford3000-5000</x:v>
      </x:c>
    </x:row>
    <x:row r="863" ht="26" customHeight="1">
      <x:c r="A863" s="167" t="n">
        <x:v>862</x:v>
      </x:c>
      <x:c r="B863" s="167" t="str">
        <x:v>persist</x:v>
      </x:c>
      <x:c r="C863" s="167" t="str">
        <x:v>v.</x:v>
      </x:c>
      <x:c r="D863" s="170" t="str">
        <x:v>наполягати</x:v>
      </x:c>
      <x:c r="E863" s="167" t="str">
        <x:v>No</x:v>
      </x:c>
      <x:c r="F863" s="167"/>
      <x:c r="G863" s="167" t="str">
        <x:v>Core</x:v>
      </x:c>
      <x:c r="H863" s="167" t="str">
        <x:v>General</x:v>
      </x:c>
      <x:c r="I863" s="167" t="str">
        <x:v>Not Started</x:v>
      </x:c>
      <x:c r="J863" s="167" t="n">
        <x:v>0</x:v>
      </x:c>
      <x:c r="K863" s="168"/>
      <x:c r="L863" s="168" t="str">
        <x:f>IF(OR(I863="Mastered",K863=""),"",K863+IF(J863&gt;=5,30,IF(J863=4,14,IF(J863=3,7,IF(J863=2,3,1)))))</x:f>
      </x:c>
      <x:c r="M863" s="171" t="str"/>
      <x:c r="N863" s="171" t="str"/>
      <x:c r="O863" s="171" t="str">
        <x:v>Draft — verify in context</x:v>
      </x:c>
      <x:c r="P863" s="167" t="str">
        <x:v>https://www.oxfordlearnersdictionaries.com/wordlists/oxford3000-5000</x:v>
      </x:c>
    </x:row>
    <x:row r="864" ht="26" customHeight="1">
      <x:c r="A864" s="167" t="n">
        <x:v>863</x:v>
      </x:c>
      <x:c r="B864" s="167" t="str">
        <x:v>persistent</x:v>
      </x:c>
      <x:c r="C864" s="167" t="str">
        <x:v>adj.</x:v>
      </x:c>
      <x:c r="D864" s="170" t="str">
        <x:v>стійкий</x:v>
      </x:c>
      <x:c r="E864" s="167" t="str">
        <x:v>Yes</x:v>
      </x:c>
      <x:c r="F864" s="167" t="n">
        <x:v>10</x:v>
      </x:c>
      <x:c r="G864" s="167" t="str">
        <x:v>High</x:v>
      </x:c>
      <x:c r="H864" s="167" t="str">
        <x:v>General</x:v>
      </x:c>
      <x:c r="I864" s="167" t="str">
        <x:v>Not Started</x:v>
      </x:c>
      <x:c r="J864" s="167" t="n">
        <x:v>0</x:v>
      </x:c>
      <x:c r="K864" s="168"/>
      <x:c r="L864" s="168" t="str">
        <x:f>IF(OR(I864="Mastered",K864=""),"",K864+IF(J864&gt;=5,30,IF(J864=4,14,IF(J864=3,7,IF(J864=2,3,1)))))</x:f>
      </x:c>
      <x:c r="M864" s="171" t="str"/>
      <x:c r="N864" s="171" t="str"/>
      <x:c r="O864" s="171" t="str">
        <x:v>Draft — verify in context</x:v>
      </x:c>
      <x:c r="P864" s="167" t="str">
        <x:v>https://www.oxfordlearnersdictionaries.com/wordlists/oxford3000-5000</x:v>
      </x:c>
    </x:row>
    <x:row r="865" ht="26" customHeight="1">
      <x:c r="A865" s="167" t="n">
        <x:v>864</x:v>
      </x:c>
      <x:c r="B865" s="167" t="str">
        <x:v>personnel</x:v>
      </x:c>
      <x:c r="C865" s="167" t="str">
        <x:v>n.</x:v>
      </x:c>
      <x:c r="D865" s="170" t="str">
        <x:v>персонал</x:v>
      </x:c>
      <x:c r="E865" s="167" t="str">
        <x:v>No</x:v>
      </x:c>
      <x:c r="F865" s="167"/>
      <x:c r="G865" s="167" t="str">
        <x:v>Core</x:v>
      </x:c>
      <x:c r="H865" s="167" t="str">
        <x:v>General</x:v>
      </x:c>
      <x:c r="I865" s="167" t="str">
        <x:v>Not Started</x:v>
      </x:c>
      <x:c r="J865" s="167" t="n">
        <x:v>0</x:v>
      </x:c>
      <x:c r="K865" s="168"/>
      <x:c r="L865" s="168" t="str">
        <x:f>IF(OR(I865="Mastered",K865=""),"",K865+IF(J865&gt;=5,30,IF(J865=4,14,IF(J865=3,7,IF(J865=2,3,1)))))</x:f>
      </x:c>
      <x:c r="M865" s="171" t="str"/>
      <x:c r="N865" s="171" t="str"/>
      <x:c r="O865" s="171" t="str">
        <x:v>Draft — verify in context</x:v>
      </x:c>
      <x:c r="P865" s="167" t="str">
        <x:v>https://www.oxfordlearnersdictionaries.com/wordlists/oxford3000-5000</x:v>
      </x:c>
    </x:row>
    <x:row r="866" ht="26" customHeight="1">
      <x:c r="A866" s="167" t="n">
        <x:v>865</x:v>
      </x:c>
      <x:c r="B866" s="167" t="str">
        <x:v>petition</x:v>
      </x:c>
      <x:c r="C866" s="167" t="str">
        <x:v>n.</x:v>
      </x:c>
      <x:c r="D866" s="170" t="str">
        <x:v>петиція</x:v>
      </x:c>
      <x:c r="E866" s="167" t="str">
        <x:v>No</x:v>
      </x:c>
      <x:c r="F866" s="167"/>
      <x:c r="G866" s="167" t="str">
        <x:v>Core</x:v>
      </x:c>
      <x:c r="H866" s="167" t="str">
        <x:v>General</x:v>
      </x:c>
      <x:c r="I866" s="167" t="str">
        <x:v>Not Started</x:v>
      </x:c>
      <x:c r="J866" s="167" t="n">
        <x:v>0</x:v>
      </x:c>
      <x:c r="K866" s="168"/>
      <x:c r="L866" s="168" t="str">
        <x:f>IF(OR(I866="Mastered",K866=""),"",K866+IF(J866&gt;=5,30,IF(J866=4,14,IF(J866=3,7,IF(J866=2,3,1)))))</x:f>
      </x:c>
      <x:c r="M866" s="171" t="str"/>
      <x:c r="N866" s="171" t="str"/>
      <x:c r="O866" s="171" t="str">
        <x:v>Draft — verify in context</x:v>
      </x:c>
      <x:c r="P866" s="167" t="str">
        <x:v>https://www.oxfordlearnersdictionaries.com/wordlists/oxford3000-5000</x:v>
      </x:c>
    </x:row>
    <x:row r="867" ht="26" customHeight="1">
      <x:c r="A867" s="167" t="n">
        <x:v>866</x:v>
      </x:c>
      <x:c r="B867" s="167" t="str">
        <x:v>philosopher</x:v>
      </x:c>
      <x:c r="C867" s="167" t="str">
        <x:v>n.</x:v>
      </x:c>
      <x:c r="D867" s="170" t="str">
        <x:v>філософ</x:v>
      </x:c>
      <x:c r="E867" s="167" t="str">
        <x:v>No</x:v>
      </x:c>
      <x:c r="F867" s="167"/>
      <x:c r="G867" s="167" t="str">
        <x:v>Core</x:v>
      </x:c>
      <x:c r="H867" s="167" t="str">
        <x:v>General</x:v>
      </x:c>
      <x:c r="I867" s="167" t="str">
        <x:v>Not Started</x:v>
      </x:c>
      <x:c r="J867" s="167" t="n">
        <x:v>0</x:v>
      </x:c>
      <x:c r="K867" s="168"/>
      <x:c r="L867" s="168" t="str">
        <x:f>IF(OR(I867="Mastered",K867=""),"",K867+IF(J867&gt;=5,30,IF(J867=4,14,IF(J867=3,7,IF(J867=2,3,1)))))</x:f>
      </x:c>
      <x:c r="M867" s="171" t="str"/>
      <x:c r="N867" s="171" t="str"/>
      <x:c r="O867" s="171" t="str">
        <x:v>Draft — verify in context</x:v>
      </x:c>
      <x:c r="P867" s="167" t="str">
        <x:v>https://www.oxfordlearnersdictionaries.com/wordlists/oxford3000-5000</x:v>
      </x:c>
    </x:row>
    <x:row r="868" ht="26" customHeight="1">
      <x:c r="A868" s="167" t="n">
        <x:v>867</x:v>
      </x:c>
      <x:c r="B868" s="167" t="str">
        <x:v>philosophical</x:v>
      </x:c>
      <x:c r="C868" s="167" t="str">
        <x:v>adj.</x:v>
      </x:c>
      <x:c r="D868" s="170" t="str">
        <x:v>філософський</x:v>
      </x:c>
      <x:c r="E868" s="167" t="str">
        <x:v>No</x:v>
      </x:c>
      <x:c r="F868" s="167"/>
      <x:c r="G868" s="167" t="str">
        <x:v>Core</x:v>
      </x:c>
      <x:c r="H868" s="167" t="str">
        <x:v>General</x:v>
      </x:c>
      <x:c r="I868" s="167" t="str">
        <x:v>Not Started</x:v>
      </x:c>
      <x:c r="J868" s="167" t="n">
        <x:v>0</x:v>
      </x:c>
      <x:c r="K868" s="168"/>
      <x:c r="L868" s="168" t="str">
        <x:f>IF(OR(I868="Mastered",K868=""),"",K868+IF(J868&gt;=5,30,IF(J868=4,14,IF(J868=3,7,IF(J868=2,3,1)))))</x:f>
      </x:c>
      <x:c r="M868" s="171" t="str"/>
      <x:c r="N868" s="171" t="str"/>
      <x:c r="O868" s="171" t="str">
        <x:v>Draft — verify in context</x:v>
      </x:c>
      <x:c r="P868" s="167" t="str">
        <x:v>https://www.oxfordlearnersdictionaries.com/wordlists/oxford3000-5000</x:v>
      </x:c>
    </x:row>
    <x:row r="869" ht="26" customHeight="1">
      <x:c r="A869" s="167" t="n">
        <x:v>868</x:v>
      </x:c>
      <x:c r="B869" s="167" t="str">
        <x:v>physician</x:v>
      </x:c>
      <x:c r="C869" s="167" t="str">
        <x:v>n.</x:v>
      </x:c>
      <x:c r="D869" s="170" t="str">
        <x:v>лікар</x:v>
      </x:c>
      <x:c r="E869" s="167" t="str">
        <x:v>No</x:v>
      </x:c>
      <x:c r="F869" s="167"/>
      <x:c r="G869" s="167" t="str">
        <x:v>Core</x:v>
      </x:c>
      <x:c r="H869" s="167" t="str">
        <x:v>General</x:v>
      </x:c>
      <x:c r="I869" s="167" t="str">
        <x:v>Not Started</x:v>
      </x:c>
      <x:c r="J869" s="167" t="n">
        <x:v>0</x:v>
      </x:c>
      <x:c r="K869" s="168"/>
      <x:c r="L869" s="168" t="str">
        <x:f>IF(OR(I869="Mastered",K869=""),"",K869+IF(J869&gt;=5,30,IF(J869=4,14,IF(J869=3,7,IF(J869=2,3,1)))))</x:f>
      </x:c>
      <x:c r="M869" s="171" t="str"/>
      <x:c r="N869" s="171" t="str"/>
      <x:c r="O869" s="171" t="str">
        <x:v>Draft — verify in context</x:v>
      </x:c>
      <x:c r="P869" s="167" t="str">
        <x:v>https://www.oxfordlearnersdictionaries.com/wordlists/oxford3000-5000</x:v>
      </x:c>
    </x:row>
    <x:row r="870" ht="26" customHeight="1">
      <x:c r="A870" s="167" t="n">
        <x:v>869</x:v>
      </x:c>
      <x:c r="B870" s="167" t="str">
        <x:v>pioneer</x:v>
      </x:c>
      <x:c r="C870" s="167" t="str">
        <x:v>n., v.</x:v>
      </x:c>
      <x:c r="D870" s="170" t="str">
        <x:v>піонер</x:v>
      </x:c>
      <x:c r="E870" s="167" t="str">
        <x:v>No</x:v>
      </x:c>
      <x:c r="F870" s="167"/>
      <x:c r="G870" s="167" t="str">
        <x:v>Core</x:v>
      </x:c>
      <x:c r="H870" s="167" t="str">
        <x:v>General</x:v>
      </x:c>
      <x:c r="I870" s="167" t="str">
        <x:v>Not Started</x:v>
      </x:c>
      <x:c r="J870" s="167" t="n">
        <x:v>0</x:v>
      </x:c>
      <x:c r="K870" s="168"/>
      <x:c r="L870" s="168" t="str">
        <x:f>IF(OR(I870="Mastered",K870=""),"",K870+IF(J870&gt;=5,30,IF(J870=4,14,IF(J870=3,7,IF(J870=2,3,1)))))</x:f>
      </x:c>
      <x:c r="M870" s="171" t="str"/>
      <x:c r="N870" s="171" t="str"/>
      <x:c r="O870" s="171" t="str">
        <x:v>Draft — verify in context</x:v>
      </x:c>
      <x:c r="P870" s="167" t="str">
        <x:v>https://www.oxfordlearnersdictionaries.com/wordlists/oxford3000-5000</x:v>
      </x:c>
    </x:row>
    <x:row r="871" ht="26" customHeight="1">
      <x:c r="A871" s="167" t="n">
        <x:v>870</x:v>
      </x:c>
      <x:c r="B871" s="167" t="str">
        <x:v>pipeline</x:v>
      </x:c>
      <x:c r="C871" s="167" t="str">
        <x:v>n.</x:v>
      </x:c>
      <x:c r="D871" s="170" t="str">
        <x:v>трубопровід</x:v>
      </x:c>
      <x:c r="E871" s="167" t="str">
        <x:v>No</x:v>
      </x:c>
      <x:c r="F871" s="167"/>
      <x:c r="G871" s="167" t="str">
        <x:v>Core</x:v>
      </x:c>
      <x:c r="H871" s="167" t="str">
        <x:v>General</x:v>
      </x:c>
      <x:c r="I871" s="167" t="str">
        <x:v>Not Started</x:v>
      </x:c>
      <x:c r="J871" s="167" t="n">
        <x:v>0</x:v>
      </x:c>
      <x:c r="K871" s="168"/>
      <x:c r="L871" s="168" t="str">
        <x:f>IF(OR(I871="Mastered",K871=""),"",K871+IF(J871&gt;=5,30,IF(J871=4,14,IF(J871=3,7,IF(J871=2,3,1)))))</x:f>
      </x:c>
      <x:c r="M871" s="171" t="str"/>
      <x:c r="N871" s="171" t="str"/>
      <x:c r="O871" s="171" t="str">
        <x:v>Draft — verify in context</x:v>
      </x:c>
      <x:c r="P871" s="167" t="str">
        <x:v>https://www.oxfordlearnersdictionaries.com/wordlists/oxford3000-5000</x:v>
      </x:c>
    </x:row>
    <x:row r="872" ht="26" customHeight="1">
      <x:c r="A872" s="167" t="n">
        <x:v>871</x:v>
      </x:c>
      <x:c r="B872" s="167" t="str">
        <x:v>pirate</x:v>
      </x:c>
      <x:c r="C872" s="167" t="str">
        <x:v>n.</x:v>
      </x:c>
      <x:c r="D872" s="170" t="str">
        <x:v>пірат</x:v>
      </x:c>
      <x:c r="E872" s="167" t="str">
        <x:v>No</x:v>
      </x:c>
      <x:c r="F872" s="167"/>
      <x:c r="G872" s="167" t="str">
        <x:v>Core</x:v>
      </x:c>
      <x:c r="H872" s="167" t="str">
        <x:v>General</x:v>
      </x:c>
      <x:c r="I872" s="167" t="str">
        <x:v>Not Started</x:v>
      </x:c>
      <x:c r="J872" s="167" t="n">
        <x:v>0</x:v>
      </x:c>
      <x:c r="K872" s="168"/>
      <x:c r="L872" s="168" t="str">
        <x:f>IF(OR(I872="Mastered",K872=""),"",K872+IF(J872&gt;=5,30,IF(J872=4,14,IF(J872=3,7,IF(J872=2,3,1)))))</x:f>
      </x:c>
      <x:c r="M872" s="171" t="str"/>
      <x:c r="N872" s="171" t="str"/>
      <x:c r="O872" s="171" t="str">
        <x:v>Draft — verify in context</x:v>
      </x:c>
      <x:c r="P872" s="167" t="str">
        <x:v>https://www.oxfordlearnersdictionaries.com/wordlists/oxford3000-5000</x:v>
      </x:c>
    </x:row>
    <x:row r="873" ht="26" customHeight="1">
      <x:c r="A873" s="167" t="n">
        <x:v>872</x:v>
      </x:c>
      <x:c r="B873" s="167" t="str">
        <x:v>pit</x:v>
      </x:c>
      <x:c r="C873" s="167" t="str">
        <x:v>n.</x:v>
      </x:c>
      <x:c r="D873" s="170" t="str">
        <x:v>яма</x:v>
      </x:c>
      <x:c r="E873" s="167" t="str">
        <x:v>No</x:v>
      </x:c>
      <x:c r="F873" s="167"/>
      <x:c r="G873" s="167" t="str">
        <x:v>Core</x:v>
      </x:c>
      <x:c r="H873" s="167" t="str">
        <x:v>General</x:v>
      </x:c>
      <x:c r="I873" s="167" t="str">
        <x:v>Not Started</x:v>
      </x:c>
      <x:c r="J873" s="167" t="n">
        <x:v>0</x:v>
      </x:c>
      <x:c r="K873" s="168"/>
      <x:c r="L873" s="168" t="str">
        <x:f>IF(OR(I873="Mastered",K873=""),"",K873+IF(J873&gt;=5,30,IF(J873=4,14,IF(J873=3,7,IF(J873=2,3,1)))))</x:f>
      </x:c>
      <x:c r="M873" s="171" t="str"/>
      <x:c r="N873" s="171" t="str"/>
      <x:c r="O873" s="171" t="str">
        <x:v>Draft — verify in context</x:v>
      </x:c>
      <x:c r="P873" s="167" t="str">
        <x:v>https://www.oxfordlearnersdictionaries.com/wordlists/oxford3000-5000</x:v>
      </x:c>
    </x:row>
    <x:row r="874" ht="26" customHeight="1">
      <x:c r="A874" s="167" t="n">
        <x:v>873</x:v>
      </x:c>
      <x:c r="B874" s="167" t="str">
        <x:v>plea</x:v>
      </x:c>
      <x:c r="C874" s="167" t="str">
        <x:v>n.</x:v>
      </x:c>
      <x:c r="D874" s="170" t="str">
        <x:v>прохання</x:v>
      </x:c>
      <x:c r="E874" s="167" t="str">
        <x:v>No</x:v>
      </x:c>
      <x:c r="F874" s="167"/>
      <x:c r="G874" s="167" t="str">
        <x:v>Core</x:v>
      </x:c>
      <x:c r="H874" s="167" t="str">
        <x:v>General</x:v>
      </x:c>
      <x:c r="I874" s="167" t="str">
        <x:v>Not Started</x:v>
      </x:c>
      <x:c r="J874" s="167" t="n">
        <x:v>0</x:v>
      </x:c>
      <x:c r="K874" s="168"/>
      <x:c r="L874" s="168" t="str">
        <x:f>IF(OR(I874="Mastered",K874=""),"",K874+IF(J874&gt;=5,30,IF(J874=4,14,IF(J874=3,7,IF(J874=2,3,1)))))</x:f>
      </x:c>
      <x:c r="M874" s="171" t="str"/>
      <x:c r="N874" s="171" t="str"/>
      <x:c r="O874" s="171" t="str">
        <x:v>Draft — verify in context</x:v>
      </x:c>
      <x:c r="P874" s="167" t="str">
        <x:v>https://www.oxfordlearnersdictionaries.com/wordlists/oxford3000-5000</x:v>
      </x:c>
    </x:row>
    <x:row r="875" ht="26" customHeight="1">
      <x:c r="A875" s="167" t="n">
        <x:v>874</x:v>
      </x:c>
      <x:c r="B875" s="167" t="str">
        <x:v>plead</x:v>
      </x:c>
      <x:c r="C875" s="167" t="str">
        <x:v>v.</x:v>
      </x:c>
      <x:c r="D875" s="170" t="str">
        <x:v>благати</x:v>
      </x:c>
      <x:c r="E875" s="167" t="str">
        <x:v>No</x:v>
      </x:c>
      <x:c r="F875" s="167"/>
      <x:c r="G875" s="167" t="str">
        <x:v>Core</x:v>
      </x:c>
      <x:c r="H875" s="167" t="str">
        <x:v>General</x:v>
      </x:c>
      <x:c r="I875" s="167" t="str">
        <x:v>Not Started</x:v>
      </x:c>
      <x:c r="J875" s="167" t="n">
        <x:v>0</x:v>
      </x:c>
      <x:c r="K875" s="168"/>
      <x:c r="L875" s="168" t="str">
        <x:f>IF(OR(I875="Mastered",K875=""),"",K875+IF(J875&gt;=5,30,IF(J875=4,14,IF(J875=3,7,IF(J875=2,3,1)))))</x:f>
      </x:c>
      <x:c r="M875" s="171" t="str"/>
      <x:c r="N875" s="171" t="str"/>
      <x:c r="O875" s="171" t="str">
        <x:v>Draft — verify in context</x:v>
      </x:c>
      <x:c r="P875" s="167" t="str">
        <x:v>https://www.oxfordlearnersdictionaries.com/wordlists/oxford3000-5000</x:v>
      </x:c>
    </x:row>
    <x:row r="876" ht="26" customHeight="1">
      <x:c r="A876" s="167" t="n">
        <x:v>875</x:v>
      </x:c>
      <x:c r="B876" s="167" t="str">
        <x:v>pledge</x:v>
      </x:c>
      <x:c r="C876" s="167" t="str">
        <x:v>v., n.</x:v>
      </x:c>
      <x:c r="D876" s="170" t="str">
        <x:v>застава</x:v>
      </x:c>
      <x:c r="E876" s="167" t="str">
        <x:v>No</x:v>
      </x:c>
      <x:c r="F876" s="167"/>
      <x:c r="G876" s="167" t="str">
        <x:v>Core</x:v>
      </x:c>
      <x:c r="H876" s="167" t="str">
        <x:v>General</x:v>
      </x:c>
      <x:c r="I876" s="167" t="str">
        <x:v>Not Started</x:v>
      </x:c>
      <x:c r="J876" s="167" t="n">
        <x:v>0</x:v>
      </x:c>
      <x:c r="K876" s="168"/>
      <x:c r="L876" s="168" t="str">
        <x:f>IF(OR(I876="Mastered",K876=""),"",K876+IF(J876&gt;=5,30,IF(J876=4,14,IF(J876=3,7,IF(J876=2,3,1)))))</x:f>
      </x:c>
      <x:c r="M876" s="171" t="str"/>
      <x:c r="N876" s="171" t="str"/>
      <x:c r="O876" s="171" t="str">
        <x:v>Draft — verify in context</x:v>
      </x:c>
      <x:c r="P876" s="167" t="str">
        <x:v>https://www.oxfordlearnersdictionaries.com/wordlists/oxford3000-5000</x:v>
      </x:c>
    </x:row>
    <x:row r="877" ht="26" customHeight="1">
      <x:c r="A877" s="167" t="n">
        <x:v>876</x:v>
      </x:c>
      <x:c r="B877" s="167" t="str">
        <x:v>plug</x:v>
      </x:c>
      <x:c r="C877" s="167" t="str">
        <x:v>v., n.</x:v>
      </x:c>
      <x:c r="D877" s="170" t="str">
        <x:v>пробка</x:v>
      </x:c>
      <x:c r="E877" s="167" t="str">
        <x:v>No</x:v>
      </x:c>
      <x:c r="F877" s="167"/>
      <x:c r="G877" s="167" t="str">
        <x:v>Core</x:v>
      </x:c>
      <x:c r="H877" s="167" t="str">
        <x:v>General</x:v>
      </x:c>
      <x:c r="I877" s="167" t="str">
        <x:v>Not Started</x:v>
      </x:c>
      <x:c r="J877" s="167" t="n">
        <x:v>0</x:v>
      </x:c>
      <x:c r="K877" s="168"/>
      <x:c r="L877" s="168" t="str">
        <x:f>IF(OR(I877="Mastered",K877=""),"",K877+IF(J877&gt;=5,30,IF(J877=4,14,IF(J877=3,7,IF(J877=2,3,1)))))</x:f>
      </x:c>
      <x:c r="M877" s="171" t="str"/>
      <x:c r="N877" s="171" t="str"/>
      <x:c r="O877" s="171" t="str">
        <x:v>Draft — verify in context</x:v>
      </x:c>
      <x:c r="P877" s="167" t="str">
        <x:v>https://www.oxfordlearnersdictionaries.com/wordlists/oxford3000-5000</x:v>
      </x:c>
    </x:row>
    <x:row r="878" ht="26" customHeight="1">
      <x:c r="A878" s="167" t="n">
        <x:v>877</x:v>
      </x:c>
      <x:c r="B878" s="167" t="str">
        <x:v>plunge</x:v>
      </x:c>
      <x:c r="C878" s="167" t="str">
        <x:v>v.</x:v>
      </x:c>
      <x:c r="D878" s="170" t="str">
        <x:v>зануритися</x:v>
      </x:c>
      <x:c r="E878" s="167" t="str">
        <x:v>No</x:v>
      </x:c>
      <x:c r="F878" s="167"/>
      <x:c r="G878" s="167" t="str">
        <x:v>Core</x:v>
      </x:c>
      <x:c r="H878" s="167" t="str">
        <x:v>General</x:v>
      </x:c>
      <x:c r="I878" s="167" t="str">
        <x:v>Not Started</x:v>
      </x:c>
      <x:c r="J878" s="167" t="n">
        <x:v>0</x:v>
      </x:c>
      <x:c r="K878" s="168"/>
      <x:c r="L878" s="168" t="str">
        <x:f>IF(OR(I878="Mastered",K878=""),"",K878+IF(J878&gt;=5,30,IF(J878=4,14,IF(J878=3,7,IF(J878=2,3,1)))))</x:f>
      </x:c>
      <x:c r="M878" s="171" t="str"/>
      <x:c r="N878" s="171" t="str"/>
      <x:c r="O878" s="171" t="str">
        <x:v>Draft — verify in context</x:v>
      </x:c>
      <x:c r="P878" s="167" t="str">
        <x:v>https://www.oxfordlearnersdictionaries.com/wordlists/oxford3000-5000</x:v>
      </x:c>
    </x:row>
    <x:row r="879" ht="26" customHeight="1">
      <x:c r="A879" s="167" t="n">
        <x:v>878</x:v>
      </x:c>
      <x:c r="B879" s="167" t="str">
        <x:v>pole</x:v>
      </x:c>
      <x:c r="C879" s="167" t="str">
        <x:v>n.</x:v>
      </x:c>
      <x:c r="D879" s="170" t="str">
        <x:v>стовп</x:v>
      </x:c>
      <x:c r="E879" s="167" t="str">
        <x:v>No</x:v>
      </x:c>
      <x:c r="F879" s="167"/>
      <x:c r="G879" s="167" t="str">
        <x:v>Core</x:v>
      </x:c>
      <x:c r="H879" s="167" t="str">
        <x:v>General</x:v>
      </x:c>
      <x:c r="I879" s="167" t="str">
        <x:v>Not Started</x:v>
      </x:c>
      <x:c r="J879" s="167" t="n">
        <x:v>0</x:v>
      </x:c>
      <x:c r="K879" s="168"/>
      <x:c r="L879" s="168" t="str">
        <x:f>IF(OR(I879="Mastered",K879=""),"",K879+IF(J879&gt;=5,30,IF(J879=4,14,IF(J879=3,7,IF(J879=2,3,1)))))</x:f>
      </x:c>
      <x:c r="M879" s="171" t="str"/>
      <x:c r="N879" s="171" t="str"/>
      <x:c r="O879" s="171" t="str">
        <x:v>Draft — verify in context</x:v>
      </x:c>
      <x:c r="P879" s="167" t="str">
        <x:v>https://www.oxfordlearnersdictionaries.com/wordlists/oxford3000-5000</x:v>
      </x:c>
    </x:row>
    <x:row r="880" ht="26" customHeight="1">
      <x:c r="A880" s="167" t="n">
        <x:v>879</x:v>
      </x:c>
      <x:c r="B880" s="167" t="str">
        <x:v>poll</x:v>
      </x:c>
      <x:c r="C880" s="167" t="str">
        <x:v>n.</x:v>
      </x:c>
      <x:c r="D880" s="170" t="str">
        <x:v>опитування</x:v>
      </x:c>
      <x:c r="E880" s="167" t="str">
        <x:v>No</x:v>
      </x:c>
      <x:c r="F880" s="167"/>
      <x:c r="G880" s="167" t="str">
        <x:v>Core</x:v>
      </x:c>
      <x:c r="H880" s="167" t="str">
        <x:v>General</x:v>
      </x:c>
      <x:c r="I880" s="167" t="str">
        <x:v>Not Started</x:v>
      </x:c>
      <x:c r="J880" s="167" t="n">
        <x:v>0</x:v>
      </x:c>
      <x:c r="K880" s="168"/>
      <x:c r="L880" s="168" t="str">
        <x:f>IF(OR(I880="Mastered",K880=""),"",K880+IF(J880&gt;=5,30,IF(J880=4,14,IF(J880=3,7,IF(J880=2,3,1)))))</x:f>
      </x:c>
      <x:c r="M880" s="171" t="str"/>
      <x:c r="N880" s="171" t="str"/>
      <x:c r="O880" s="171" t="str">
        <x:v>Draft — verify in context</x:v>
      </x:c>
      <x:c r="P880" s="167" t="str">
        <x:v>https://www.oxfordlearnersdictionaries.com/wordlists/oxford3000-5000</x:v>
      </x:c>
    </x:row>
    <x:row r="881" ht="26" customHeight="1">
      <x:c r="A881" s="167" t="n">
        <x:v>880</x:v>
      </x:c>
      <x:c r="B881" s="167" t="str">
        <x:v>pond</x:v>
      </x:c>
      <x:c r="C881" s="167" t="str">
        <x:v>n.</x:v>
      </x:c>
      <x:c r="D881" s="170" t="str">
        <x:v>ставок</x:v>
      </x:c>
      <x:c r="E881" s="167" t="str">
        <x:v>No</x:v>
      </x:c>
      <x:c r="F881" s="167"/>
      <x:c r="G881" s="167" t="str">
        <x:v>Core</x:v>
      </x:c>
      <x:c r="H881" s="167" t="str">
        <x:v>General</x:v>
      </x:c>
      <x:c r="I881" s="167" t="str">
        <x:v>Not Started</x:v>
      </x:c>
      <x:c r="J881" s="167" t="n">
        <x:v>0</x:v>
      </x:c>
      <x:c r="K881" s="168"/>
      <x:c r="L881" s="168" t="str">
        <x:f>IF(OR(I881="Mastered",K881=""),"",K881+IF(J881&gt;=5,30,IF(J881=4,14,IF(J881=3,7,IF(J881=2,3,1)))))</x:f>
      </x:c>
      <x:c r="M881" s="171" t="str"/>
      <x:c r="N881" s="171" t="str"/>
      <x:c r="O881" s="171" t="str">
        <x:v>Draft — verify in context</x:v>
      </x:c>
      <x:c r="P881" s="167" t="str">
        <x:v>https://www.oxfordlearnersdictionaries.com/wordlists/oxford3000-5000</x:v>
      </x:c>
    </x:row>
    <x:row r="882" ht="26" customHeight="1">
      <x:c r="A882" s="167" t="n">
        <x:v>881</x:v>
      </x:c>
      <x:c r="B882" s="167" t="str">
        <x:v>pop</x:v>
      </x:c>
      <x:c r="C882" s="167" t="str">
        <x:v>v.</x:v>
      </x:c>
      <x:c r="D882" s="170" t="str">
        <x:v>поп</x:v>
      </x:c>
      <x:c r="E882" s="167" t="str">
        <x:v>No</x:v>
      </x:c>
      <x:c r="F882" s="167"/>
      <x:c r="G882" s="167" t="str">
        <x:v>Core</x:v>
      </x:c>
      <x:c r="H882" s="167" t="str">
        <x:v>General</x:v>
      </x:c>
      <x:c r="I882" s="167" t="str">
        <x:v>Not Started</x:v>
      </x:c>
      <x:c r="J882" s="167" t="n">
        <x:v>0</x:v>
      </x:c>
      <x:c r="K882" s="168"/>
      <x:c r="L882" s="168" t="str">
        <x:f>IF(OR(I882="Mastered",K882=""),"",K882+IF(J882&gt;=5,30,IF(J882=4,14,IF(J882=3,7,IF(J882=2,3,1)))))</x:f>
      </x:c>
      <x:c r="M882" s="171" t="str"/>
      <x:c r="N882" s="171" t="str"/>
      <x:c r="O882" s="171" t="str">
        <x:v>Draft — verify in context</x:v>
      </x:c>
      <x:c r="P882" s="167" t="str">
        <x:v>https://www.oxfordlearnersdictionaries.com/wordlists/oxford3000-5000</x:v>
      </x:c>
    </x:row>
    <x:row r="883" ht="26" customHeight="1">
      <x:c r="A883" s="167" t="n">
        <x:v>882</x:v>
      </x:c>
      <x:c r="B883" s="167" t="str">
        <x:v>portfolio</x:v>
      </x:c>
      <x:c r="C883" s="167" t="str">
        <x:v>n.</x:v>
      </x:c>
      <x:c r="D883" s="170" t="str">
        <x:v>портфоліо</x:v>
      </x:c>
      <x:c r="E883" s="167" t="str">
        <x:v>No</x:v>
      </x:c>
      <x:c r="F883" s="167"/>
      <x:c r="G883" s="167" t="str">
        <x:v>Core</x:v>
      </x:c>
      <x:c r="H883" s="167" t="str">
        <x:v>General</x:v>
      </x:c>
      <x:c r="I883" s="167" t="str">
        <x:v>Not Started</x:v>
      </x:c>
      <x:c r="J883" s="167" t="n">
        <x:v>0</x:v>
      </x:c>
      <x:c r="K883" s="168"/>
      <x:c r="L883" s="168" t="str">
        <x:f>IF(OR(I883="Mastered",K883=""),"",K883+IF(J883&gt;=5,30,IF(J883=4,14,IF(J883=3,7,IF(J883=2,3,1)))))</x:f>
      </x:c>
      <x:c r="M883" s="171" t="str"/>
      <x:c r="N883" s="171" t="str"/>
      <x:c r="O883" s="171" t="str">
        <x:v>Draft — verify in context</x:v>
      </x:c>
      <x:c r="P883" s="167" t="str">
        <x:v>https://www.oxfordlearnersdictionaries.com/wordlists/oxford3000-5000</x:v>
      </x:c>
    </x:row>
    <x:row r="884" ht="26" customHeight="1">
      <x:c r="A884" s="167" t="n">
        <x:v>883</x:v>
      </x:c>
      <x:c r="B884" s="167" t="str">
        <x:v>portray</x:v>
      </x:c>
      <x:c r="C884" s="167" t="str">
        <x:v>v.</x:v>
      </x:c>
      <x:c r="D884" s="170" t="str">
        <x:v>зображувати</x:v>
      </x:c>
      <x:c r="E884" s="167" t="str">
        <x:v>No</x:v>
      </x:c>
      <x:c r="F884" s="167"/>
      <x:c r="G884" s="167" t="str">
        <x:v>Core</x:v>
      </x:c>
      <x:c r="H884" s="167" t="str">
        <x:v>General</x:v>
      </x:c>
      <x:c r="I884" s="167" t="str">
        <x:v>Not Started</x:v>
      </x:c>
      <x:c r="J884" s="167" t="n">
        <x:v>0</x:v>
      </x:c>
      <x:c r="K884" s="168"/>
      <x:c r="L884" s="168" t="str">
        <x:f>IF(OR(I884="Mastered",K884=""),"",K884+IF(J884&gt;=5,30,IF(J884=4,14,IF(J884=3,7,IF(J884=2,3,1)))))</x:f>
      </x:c>
      <x:c r="M884" s="171" t="str"/>
      <x:c r="N884" s="171" t="str"/>
      <x:c r="O884" s="171" t="str">
        <x:v>Draft — verify in context</x:v>
      </x:c>
      <x:c r="P884" s="167" t="str">
        <x:v>https://www.oxfordlearnersdictionaries.com/wordlists/oxford3000-5000</x:v>
      </x:c>
    </x:row>
    <x:row r="885" ht="26" customHeight="1">
      <x:c r="A885" s="167" t="n">
        <x:v>884</x:v>
      </x:c>
      <x:c r="B885" s="167" t="str">
        <x:v>postpone</x:v>
      </x:c>
      <x:c r="C885" s="167" t="str">
        <x:v>v.</x:v>
      </x:c>
      <x:c r="D885" s="170" t="str">
        <x:v>відкласти</x:v>
      </x:c>
      <x:c r="E885" s="167" t="str">
        <x:v>No</x:v>
      </x:c>
      <x:c r="F885" s="167"/>
      <x:c r="G885" s="167" t="str">
        <x:v>Core</x:v>
      </x:c>
      <x:c r="H885" s="167" t="str">
        <x:v>General</x:v>
      </x:c>
      <x:c r="I885" s="167" t="str">
        <x:v>Not Started</x:v>
      </x:c>
      <x:c r="J885" s="167" t="n">
        <x:v>0</x:v>
      </x:c>
      <x:c r="K885" s="168"/>
      <x:c r="L885" s="168" t="str">
        <x:f>IF(OR(I885="Mastered",K885=""),"",K885+IF(J885&gt;=5,30,IF(J885=4,14,IF(J885=3,7,IF(J885=2,3,1)))))</x:f>
      </x:c>
      <x:c r="M885" s="171" t="str"/>
      <x:c r="N885" s="171" t="str"/>
      <x:c r="O885" s="171" t="str">
        <x:v>Draft — verify in context</x:v>
      </x:c>
      <x:c r="P885" s="167" t="str">
        <x:v>https://www.oxfordlearnersdictionaries.com/wordlists/oxford3000-5000</x:v>
      </x:c>
    </x:row>
    <x:row r="886" ht="26" customHeight="1">
      <x:c r="A886" s="167" t="n">
        <x:v>885</x:v>
      </x:c>
      <x:c r="B886" s="167" t="str">
        <x:v>post-war</x:v>
      </x:c>
      <x:c r="C886" s="167" t="str">
        <x:v>adj.</x:v>
      </x:c>
      <x:c r="D886" s="170" t="str">
        <x:v>післявоєнний</x:v>
      </x:c>
      <x:c r="E886" s="167" t="str">
        <x:v>No</x:v>
      </x:c>
      <x:c r="F886" s="167"/>
      <x:c r="G886" s="167" t="str">
        <x:v>Core</x:v>
      </x:c>
      <x:c r="H886" s="167" t="str">
        <x:v>General</x:v>
      </x:c>
      <x:c r="I886" s="167" t="str">
        <x:v>Not Started</x:v>
      </x:c>
      <x:c r="J886" s="167" t="n">
        <x:v>0</x:v>
      </x:c>
      <x:c r="K886" s="168"/>
      <x:c r="L886" s="168" t="str">
        <x:f>IF(OR(I886="Mastered",K886=""),"",K886+IF(J886&gt;=5,30,IF(J886=4,14,IF(J886=3,7,IF(J886=2,3,1)))))</x:f>
      </x:c>
      <x:c r="M886" s="171" t="str"/>
      <x:c r="N886" s="171" t="str"/>
      <x:c r="O886" s="171" t="str">
        <x:v>Draft — verify in context</x:v>
      </x:c>
      <x:c r="P886" s="167" t="str">
        <x:v>https://www.oxfordlearnersdictionaries.com/wordlists/oxford3000-5000</x:v>
      </x:c>
    </x:row>
    <x:row r="887" ht="26" customHeight="1">
      <x:c r="A887" s="167" t="n">
        <x:v>886</x:v>
      </x:c>
      <x:c r="B887" s="167" t="str">
        <x:v>practitioner</x:v>
      </x:c>
      <x:c r="C887" s="167" t="str">
        <x:v>n.</x:v>
      </x:c>
      <x:c r="D887" s="170" t="str">
        <x:v>практик</x:v>
      </x:c>
      <x:c r="E887" s="167" t="str">
        <x:v>No</x:v>
      </x:c>
      <x:c r="F887" s="167"/>
      <x:c r="G887" s="167" t="str">
        <x:v>Core</x:v>
      </x:c>
      <x:c r="H887" s="167" t="str">
        <x:v>General</x:v>
      </x:c>
      <x:c r="I887" s="167" t="str">
        <x:v>Not Started</x:v>
      </x:c>
      <x:c r="J887" s="167" t="n">
        <x:v>0</x:v>
      </x:c>
      <x:c r="K887" s="168"/>
      <x:c r="L887" s="168" t="str">
        <x:f>IF(OR(I887="Mastered",K887=""),"",K887+IF(J887&gt;=5,30,IF(J887=4,14,IF(J887=3,7,IF(J887=2,3,1)))))</x:f>
      </x:c>
      <x:c r="M887" s="171" t="str"/>
      <x:c r="N887" s="171" t="str"/>
      <x:c r="O887" s="171" t="str">
        <x:v>Draft — verify in context</x:v>
      </x:c>
      <x:c r="P887" s="167" t="str">
        <x:v>https://www.oxfordlearnersdictionaries.com/wordlists/oxford3000-5000</x:v>
      </x:c>
    </x:row>
    <x:row r="888" ht="26" customHeight="1">
      <x:c r="A888" s="167" t="n">
        <x:v>887</x:v>
      </x:c>
      <x:c r="B888" s="167" t="str">
        <x:v>preach</x:v>
      </x:c>
      <x:c r="C888" s="167" t="str">
        <x:v>v.</x:v>
      </x:c>
      <x:c r="D888" s="170" t="str">
        <x:v>проповідувати</x:v>
      </x:c>
      <x:c r="E888" s="167" t="str">
        <x:v>No</x:v>
      </x:c>
      <x:c r="F888" s="167"/>
      <x:c r="G888" s="167" t="str">
        <x:v>Core</x:v>
      </x:c>
      <x:c r="H888" s="167" t="str">
        <x:v>General</x:v>
      </x:c>
      <x:c r="I888" s="167" t="str">
        <x:v>Not Started</x:v>
      </x:c>
      <x:c r="J888" s="167" t="n">
        <x:v>0</x:v>
      </x:c>
      <x:c r="K888" s="168"/>
      <x:c r="L888" s="168" t="str">
        <x:f>IF(OR(I888="Mastered",K888=""),"",K888+IF(J888&gt;=5,30,IF(J888=4,14,IF(J888=3,7,IF(J888=2,3,1)))))</x:f>
      </x:c>
      <x:c r="M888" s="171" t="str"/>
      <x:c r="N888" s="171" t="str"/>
      <x:c r="O888" s="171" t="str">
        <x:v>Draft — verify in context</x:v>
      </x:c>
      <x:c r="P888" s="167" t="str">
        <x:v>https://www.oxfordlearnersdictionaries.com/wordlists/oxford3000-5000</x:v>
      </x:c>
    </x:row>
    <x:row r="889" ht="26" customHeight="1">
      <x:c r="A889" s="167" t="n">
        <x:v>888</x:v>
      </x:c>
      <x:c r="B889" s="167" t="str">
        <x:v>precedent</x:v>
      </x:c>
      <x:c r="C889" s="167" t="str">
        <x:v>n.</x:v>
      </x:c>
      <x:c r="D889" s="170" t="str">
        <x:v>прецедент</x:v>
      </x:c>
      <x:c r="E889" s="167" t="str">
        <x:v>No</x:v>
      </x:c>
      <x:c r="F889" s="167"/>
      <x:c r="G889" s="167" t="str">
        <x:v>Core</x:v>
      </x:c>
      <x:c r="H889" s="167" t="str">
        <x:v>General</x:v>
      </x:c>
      <x:c r="I889" s="167" t="str">
        <x:v>Not Started</x:v>
      </x:c>
      <x:c r="J889" s="167" t="n">
        <x:v>0</x:v>
      </x:c>
      <x:c r="K889" s="168"/>
      <x:c r="L889" s="168" t="str">
        <x:f>IF(OR(I889="Mastered",K889=""),"",K889+IF(J889&gt;=5,30,IF(J889=4,14,IF(J889=3,7,IF(J889=2,3,1)))))</x:f>
      </x:c>
      <x:c r="M889" s="171" t="str"/>
      <x:c r="N889" s="171" t="str"/>
      <x:c r="O889" s="171" t="str">
        <x:v>Draft — verify in context</x:v>
      </x:c>
      <x:c r="P889" s="167" t="str">
        <x:v>https://www.oxfordlearnersdictionaries.com/wordlists/oxford3000-5000</x:v>
      </x:c>
    </x:row>
    <x:row r="890" ht="26" customHeight="1">
      <x:c r="A890" s="167" t="n">
        <x:v>889</x:v>
      </x:c>
      <x:c r="B890" s="167" t="str">
        <x:v>precision</x:v>
      </x:c>
      <x:c r="C890" s="167" t="str">
        <x:v>n.</x:v>
      </x:c>
      <x:c r="D890" s="170" t="str">
        <x:v>точність</x:v>
      </x:c>
      <x:c r="E890" s="167" t="str">
        <x:v>No</x:v>
      </x:c>
      <x:c r="F890" s="167"/>
      <x:c r="G890" s="167" t="str">
        <x:v>Core</x:v>
      </x:c>
      <x:c r="H890" s="167" t="str">
        <x:v>General</x:v>
      </x:c>
      <x:c r="I890" s="167" t="str">
        <x:v>Not Started</x:v>
      </x:c>
      <x:c r="J890" s="167" t="n">
        <x:v>0</x:v>
      </x:c>
      <x:c r="K890" s="168"/>
      <x:c r="L890" s="168" t="str">
        <x:f>IF(OR(I890="Mastered",K890=""),"",K890+IF(J890&gt;=5,30,IF(J890=4,14,IF(J890=3,7,IF(J890=2,3,1)))))</x:f>
      </x:c>
      <x:c r="M890" s="171" t="str"/>
      <x:c r="N890" s="171" t="str"/>
      <x:c r="O890" s="171" t="str">
        <x:v>Draft — verify in context</x:v>
      </x:c>
      <x:c r="P890" s="167" t="str">
        <x:v>https://www.oxfordlearnersdictionaries.com/wordlists/oxford3000-5000</x:v>
      </x:c>
    </x:row>
    <x:row r="891" ht="26" customHeight="1">
      <x:c r="A891" s="167" t="n">
        <x:v>890</x:v>
      </x:c>
      <x:c r="B891" s="167" t="str">
        <x:v>predator</x:v>
      </x:c>
      <x:c r="C891" s="167" t="str">
        <x:v>n.</x:v>
      </x:c>
      <x:c r="D891" s="170" t="str">
        <x:v>хижак</x:v>
      </x:c>
      <x:c r="E891" s="167" t="str">
        <x:v>No</x:v>
      </x:c>
      <x:c r="F891" s="167"/>
      <x:c r="G891" s="167" t="str">
        <x:v>Core</x:v>
      </x:c>
      <x:c r="H891" s="167" t="str">
        <x:v>General</x:v>
      </x:c>
      <x:c r="I891" s="167" t="str">
        <x:v>Not Started</x:v>
      </x:c>
      <x:c r="J891" s="167" t="n">
        <x:v>0</x:v>
      </x:c>
      <x:c r="K891" s="168"/>
      <x:c r="L891" s="168" t="str">
        <x:f>IF(OR(I891="Mastered",K891=""),"",K891+IF(J891&gt;=5,30,IF(J891=4,14,IF(J891=3,7,IF(J891=2,3,1)))))</x:f>
      </x:c>
      <x:c r="M891" s="171" t="str"/>
      <x:c r="N891" s="171" t="str"/>
      <x:c r="O891" s="171" t="str">
        <x:v>Draft — verify in context</x:v>
      </x:c>
      <x:c r="P891" s="167" t="str">
        <x:v>https://www.oxfordlearnersdictionaries.com/wordlists/oxford3000-5000</x:v>
      </x:c>
    </x:row>
    <x:row r="892" ht="26" customHeight="1">
      <x:c r="A892" s="167" t="n">
        <x:v>891</x:v>
      </x:c>
      <x:c r="B892" s="167" t="str">
        <x:v>predecessor</x:v>
      </x:c>
      <x:c r="C892" s="167" t="str">
        <x:v>n.</x:v>
      </x:c>
      <x:c r="D892" s="170" t="str">
        <x:v>попередник</x:v>
      </x:c>
      <x:c r="E892" s="167" t="str">
        <x:v>No</x:v>
      </x:c>
      <x:c r="F892" s="167"/>
      <x:c r="G892" s="167" t="str">
        <x:v>Core</x:v>
      </x:c>
      <x:c r="H892" s="167" t="str">
        <x:v>General</x:v>
      </x:c>
      <x:c r="I892" s="167" t="str">
        <x:v>Not Started</x:v>
      </x:c>
      <x:c r="J892" s="167" t="n">
        <x:v>0</x:v>
      </x:c>
      <x:c r="K892" s="168"/>
      <x:c r="L892" s="168" t="str">
        <x:f>IF(OR(I892="Mastered",K892=""),"",K892+IF(J892&gt;=5,30,IF(J892=4,14,IF(J892=3,7,IF(J892=2,3,1)))))</x:f>
      </x:c>
      <x:c r="M892" s="171" t="str"/>
      <x:c r="N892" s="171" t="str"/>
      <x:c r="O892" s="171" t="str">
        <x:v>Draft — verify in context</x:v>
      </x:c>
      <x:c r="P892" s="167" t="str">
        <x:v>https://www.oxfordlearnersdictionaries.com/wordlists/oxford3000-5000</x:v>
      </x:c>
    </x:row>
    <x:row r="893" ht="26" customHeight="1">
      <x:c r="A893" s="167" t="n">
        <x:v>892</x:v>
      </x:c>
      <x:c r="B893" s="167" t="str">
        <x:v>predominantly</x:v>
      </x:c>
      <x:c r="C893" s="167" t="str">
        <x:v>adv.</x:v>
      </x:c>
      <x:c r="D893" s="170" t="str">
        <x:v>переважно</x:v>
      </x:c>
      <x:c r="E893" s="167" t="str">
        <x:v>Yes</x:v>
      </x:c>
      <x:c r="F893" s="167" t="n">
        <x:v>8</x:v>
      </x:c>
      <x:c r="G893" s="167" t="str">
        <x:v>High</x:v>
      </x:c>
      <x:c r="H893" s="167" t="str">
        <x:v>General</x:v>
      </x:c>
      <x:c r="I893" s="167" t="str">
        <x:v>Not Started</x:v>
      </x:c>
      <x:c r="J893" s="167" t="n">
        <x:v>0</x:v>
      </x:c>
      <x:c r="K893" s="168"/>
      <x:c r="L893" s="168" t="str">
        <x:f>IF(OR(I893="Mastered",K893=""),"",K893+IF(J893&gt;=5,30,IF(J893=4,14,IF(J893=3,7,IF(J893=2,3,1)))))</x:f>
      </x:c>
      <x:c r="M893" s="171" t="str"/>
      <x:c r="N893" s="171" t="str"/>
      <x:c r="O893" s="171" t="str">
        <x:v>Draft — verify in context</x:v>
      </x:c>
      <x:c r="P893" s="167" t="str">
        <x:v>https://www.oxfordlearnersdictionaries.com/wordlists/oxford3000-5000</x:v>
      </x:c>
    </x:row>
    <x:row r="894" ht="26" customHeight="1">
      <x:c r="A894" s="167" t="n">
        <x:v>893</x:v>
      </x:c>
      <x:c r="B894" s="167" t="str">
        <x:v>pregnancy</x:v>
      </x:c>
      <x:c r="C894" s="167" t="str">
        <x:v>n.</x:v>
      </x:c>
      <x:c r="D894" s="170" t="str">
        <x:v>вагітність</x:v>
      </x:c>
      <x:c r="E894" s="167" t="str">
        <x:v>No</x:v>
      </x:c>
      <x:c r="F894" s="167"/>
      <x:c r="G894" s="167" t="str">
        <x:v>Core</x:v>
      </x:c>
      <x:c r="H894" s="167" t="str">
        <x:v>General</x:v>
      </x:c>
      <x:c r="I894" s="167" t="str">
        <x:v>Not Started</x:v>
      </x:c>
      <x:c r="J894" s="167" t="n">
        <x:v>0</x:v>
      </x:c>
      <x:c r="K894" s="168"/>
      <x:c r="L894" s="168" t="str">
        <x:f>IF(OR(I894="Mastered",K894=""),"",K894+IF(J894&gt;=5,30,IF(J894=4,14,IF(J894=3,7,IF(J894=2,3,1)))))</x:f>
      </x:c>
      <x:c r="M894" s="171" t="str"/>
      <x:c r="N894" s="171" t="str"/>
      <x:c r="O894" s="171" t="str">
        <x:v>Draft — verify in context</x:v>
      </x:c>
      <x:c r="P894" s="167" t="str">
        <x:v>https://www.oxfordlearnersdictionaries.com/wordlists/oxford3000-5000</x:v>
      </x:c>
    </x:row>
    <x:row r="895" ht="26" customHeight="1">
      <x:c r="A895" s="167" t="n">
        <x:v>894</x:v>
      </x:c>
      <x:c r="B895" s="167" t="str">
        <x:v>prejudice</x:v>
      </x:c>
      <x:c r="C895" s="167" t="str">
        <x:v>n.</x:v>
      </x:c>
      <x:c r="D895" s="170" t="str">
        <x:v>упередження</x:v>
      </x:c>
      <x:c r="E895" s="167" t="str">
        <x:v>No</x:v>
      </x:c>
      <x:c r="F895" s="167"/>
      <x:c r="G895" s="167" t="str">
        <x:v>Core</x:v>
      </x:c>
      <x:c r="H895" s="167" t="str">
        <x:v>General</x:v>
      </x:c>
      <x:c r="I895" s="167" t="str">
        <x:v>Not Started</x:v>
      </x:c>
      <x:c r="J895" s="167" t="n">
        <x:v>0</x:v>
      </x:c>
      <x:c r="K895" s="168"/>
      <x:c r="L895" s="168" t="str">
        <x:f>IF(OR(I895="Mastered",K895=""),"",K895+IF(J895&gt;=5,30,IF(J895=4,14,IF(J895=3,7,IF(J895=2,3,1)))))</x:f>
      </x:c>
      <x:c r="M895" s="171" t="str"/>
      <x:c r="N895" s="171" t="str"/>
      <x:c r="O895" s="171" t="str">
        <x:v>Draft — verify in context</x:v>
      </x:c>
      <x:c r="P895" s="167" t="str">
        <x:v>https://www.oxfordlearnersdictionaries.com/wordlists/oxford3000-5000</x:v>
      </x:c>
    </x:row>
    <x:row r="896" ht="26" customHeight="1">
      <x:c r="A896" s="167" t="n">
        <x:v>895</x:v>
      </x:c>
      <x:c r="B896" s="167" t="str">
        <x:v>preliminary</x:v>
      </x:c>
      <x:c r="C896" s="167" t="str">
        <x:v>adj.</x:v>
      </x:c>
      <x:c r="D896" s="170" t="str">
        <x:v>попередній</x:v>
      </x:c>
      <x:c r="E896" s="167" t="str">
        <x:v>Yes</x:v>
      </x:c>
      <x:c r="F896" s="167" t="n">
        <x:v>9</x:v>
      </x:c>
      <x:c r="G896" s="167" t="str">
        <x:v>High</x:v>
      </x:c>
      <x:c r="H896" s="167" t="str">
        <x:v>General</x:v>
      </x:c>
      <x:c r="I896" s="167" t="str">
        <x:v>Not Started</x:v>
      </x:c>
      <x:c r="J896" s="167" t="n">
        <x:v>0</x:v>
      </x:c>
      <x:c r="K896" s="168"/>
      <x:c r="L896" s="168" t="str">
        <x:f>IF(OR(I896="Mastered",K896=""),"",K896+IF(J896&gt;=5,30,IF(J896=4,14,IF(J896=3,7,IF(J896=2,3,1)))))</x:f>
      </x:c>
      <x:c r="M896" s="171" t="str"/>
      <x:c r="N896" s="171" t="str"/>
      <x:c r="O896" s="171" t="str">
        <x:v>Draft — verify in context</x:v>
      </x:c>
      <x:c r="P896" s="167" t="str">
        <x:v>https://www.oxfordlearnersdictionaries.com/wordlists/oxford3000-5000</x:v>
      </x:c>
    </x:row>
    <x:row r="897" ht="26" customHeight="1">
      <x:c r="A897" s="167" t="n">
        <x:v>896</x:v>
      </x:c>
      <x:c r="B897" s="167" t="str">
        <x:v>premier</x:v>
      </x:c>
      <x:c r="C897" s="167" t="str">
        <x:v>n.</x:v>
      </x:c>
      <x:c r="D897" s="170" t="str">
        <x:v>прем'єр</x:v>
      </x:c>
      <x:c r="E897" s="167" t="str">
        <x:v>No</x:v>
      </x:c>
      <x:c r="F897" s="167"/>
      <x:c r="G897" s="167" t="str">
        <x:v>Core</x:v>
      </x:c>
      <x:c r="H897" s="167" t="str">
        <x:v>General</x:v>
      </x:c>
      <x:c r="I897" s="167" t="str">
        <x:v>Not Started</x:v>
      </x:c>
      <x:c r="J897" s="167" t="n">
        <x:v>0</x:v>
      </x:c>
      <x:c r="K897" s="168"/>
      <x:c r="L897" s="168" t="str">
        <x:f>IF(OR(I897="Mastered",K897=""),"",K897+IF(J897&gt;=5,30,IF(J897=4,14,IF(J897=3,7,IF(J897=2,3,1)))))</x:f>
      </x:c>
      <x:c r="M897" s="171" t="str"/>
      <x:c r="N897" s="171" t="str"/>
      <x:c r="O897" s="171" t="str">
        <x:v>Draft — verify in context</x:v>
      </x:c>
      <x:c r="P897" s="167" t="str">
        <x:v>https://www.oxfordlearnersdictionaries.com/wordlists/oxford3000-5000</x:v>
      </x:c>
    </x:row>
    <x:row r="898" ht="26" customHeight="1">
      <x:c r="A898" s="167" t="n">
        <x:v>897</x:v>
      </x:c>
      <x:c r="B898" s="167" t="str">
        <x:v>premise</x:v>
      </x:c>
      <x:c r="C898" s="167" t="str">
        <x:v>n.</x:v>
      </x:c>
      <x:c r="D898" s="170" t="str">
        <x:v>приміщення</x:v>
      </x:c>
      <x:c r="E898" s="167" t="str">
        <x:v>No</x:v>
      </x:c>
      <x:c r="F898" s="167"/>
      <x:c r="G898" s="167" t="str">
        <x:v>Core</x:v>
      </x:c>
      <x:c r="H898" s="167" t="str">
        <x:v>General</x:v>
      </x:c>
      <x:c r="I898" s="167" t="str">
        <x:v>Not Started</x:v>
      </x:c>
      <x:c r="J898" s="167" t="n">
        <x:v>0</x:v>
      </x:c>
      <x:c r="K898" s="168"/>
      <x:c r="L898" s="168" t="str">
        <x:f>IF(OR(I898="Mastered",K898=""),"",K898+IF(J898&gt;=5,30,IF(J898=4,14,IF(J898=3,7,IF(J898=2,3,1)))))</x:f>
      </x:c>
      <x:c r="M898" s="171" t="str"/>
      <x:c r="N898" s="171" t="str"/>
      <x:c r="O898" s="171" t="str">
        <x:v>Draft — verify in context</x:v>
      </x:c>
      <x:c r="P898" s="167" t="str">
        <x:v>https://www.oxfordlearnersdictionaries.com/wordlists/oxford3000-5000</x:v>
      </x:c>
    </x:row>
    <x:row r="899" ht="26" customHeight="1">
      <x:c r="A899" s="167" t="n">
        <x:v>898</x:v>
      </x:c>
      <x:c r="B899" s="167" t="str">
        <x:v>premium</x:v>
      </x:c>
      <x:c r="C899" s="167" t="str">
        <x:v>n.</x:v>
      </x:c>
      <x:c r="D899" s="170" t="str">
        <x:v>премія</x:v>
      </x:c>
      <x:c r="E899" s="167" t="str">
        <x:v>No</x:v>
      </x:c>
      <x:c r="F899" s="167"/>
      <x:c r="G899" s="167" t="str">
        <x:v>Core</x:v>
      </x:c>
      <x:c r="H899" s="167" t="str">
        <x:v>General</x:v>
      </x:c>
      <x:c r="I899" s="167" t="str">
        <x:v>Not Started</x:v>
      </x:c>
      <x:c r="J899" s="167" t="n">
        <x:v>0</x:v>
      </x:c>
      <x:c r="K899" s="168"/>
      <x:c r="L899" s="168" t="str">
        <x:f>IF(OR(I899="Mastered",K899=""),"",K899+IF(J899&gt;=5,30,IF(J899=4,14,IF(J899=3,7,IF(J899=2,3,1)))))</x:f>
      </x:c>
      <x:c r="M899" s="171" t="str"/>
      <x:c r="N899" s="171" t="str"/>
      <x:c r="O899" s="171" t="str">
        <x:v>Draft — verify in context</x:v>
      </x:c>
      <x:c r="P899" s="167" t="str">
        <x:v>https://www.oxfordlearnersdictionaries.com/wordlists/oxford3000-5000</x:v>
      </x:c>
    </x:row>
    <x:row r="900" ht="26" customHeight="1">
      <x:c r="A900" s="167" t="n">
        <x:v>899</x:v>
      </x:c>
      <x:c r="B900" s="167" t="str">
        <x:v>prescribe</x:v>
      </x:c>
      <x:c r="C900" s="167" t="str">
        <x:v>v.</x:v>
      </x:c>
      <x:c r="D900" s="170" t="str">
        <x:v>призначати</x:v>
      </x:c>
      <x:c r="E900" s="167" t="str">
        <x:v>No</x:v>
      </x:c>
      <x:c r="F900" s="167"/>
      <x:c r="G900" s="167" t="str">
        <x:v>Core</x:v>
      </x:c>
      <x:c r="H900" s="167" t="str">
        <x:v>General</x:v>
      </x:c>
      <x:c r="I900" s="167" t="str">
        <x:v>Not Started</x:v>
      </x:c>
      <x:c r="J900" s="167" t="n">
        <x:v>0</x:v>
      </x:c>
      <x:c r="K900" s="168"/>
      <x:c r="L900" s="168" t="str">
        <x:f>IF(OR(I900="Mastered",K900=""),"",K900+IF(J900&gt;=5,30,IF(J900=4,14,IF(J900=3,7,IF(J900=2,3,1)))))</x:f>
      </x:c>
      <x:c r="M900" s="171" t="str"/>
      <x:c r="N900" s="171" t="str"/>
      <x:c r="O900" s="171" t="str">
        <x:v>Draft — verify in context</x:v>
      </x:c>
      <x:c r="P900" s="167" t="str">
        <x:v>https://www.oxfordlearnersdictionaries.com/wordlists/oxford3000-5000</x:v>
      </x:c>
    </x:row>
    <x:row r="901" ht="26" customHeight="1">
      <x:c r="A901" s="167" t="n">
        <x:v>900</x:v>
      </x:c>
      <x:c r="B901" s="167" t="str">
        <x:v>prescription</x:v>
      </x:c>
      <x:c r="C901" s="167" t="str">
        <x:v>n.</x:v>
      </x:c>
      <x:c r="D901" s="170" t="str">
        <x:v>рецепт</x:v>
      </x:c>
      <x:c r="E901" s="167" t="str">
        <x:v>No</x:v>
      </x:c>
      <x:c r="F901" s="167"/>
      <x:c r="G901" s="167" t="str">
        <x:v>Core</x:v>
      </x:c>
      <x:c r="H901" s="167" t="str">
        <x:v>General</x:v>
      </x:c>
      <x:c r="I901" s="167" t="str">
        <x:v>Not Started</x:v>
      </x:c>
      <x:c r="J901" s="167" t="n">
        <x:v>0</x:v>
      </x:c>
      <x:c r="K901" s="168"/>
      <x:c r="L901" s="168" t="str">
        <x:f>IF(OR(I901="Mastered",K901=""),"",K901+IF(J901&gt;=5,30,IF(J901=4,14,IF(J901=3,7,IF(J901=2,3,1)))))</x:f>
      </x:c>
      <x:c r="M901" s="171" t="str"/>
      <x:c r="N901" s="171" t="str"/>
      <x:c r="O901" s="171" t="str">
        <x:v>Draft — verify in context</x:v>
      </x:c>
      <x:c r="P901" s="167" t="str">
        <x:v>https://www.oxfordlearnersdictionaries.com/wordlists/oxford3000-5000</x:v>
      </x:c>
    </x:row>
    <x:row r="902" ht="26" customHeight="1">
      <x:c r="A902" s="167" t="n">
        <x:v>901</x:v>
      </x:c>
      <x:c r="B902" s="167" t="str">
        <x:v>presently</x:v>
      </x:c>
      <x:c r="C902" s="167" t="str">
        <x:v>adv.</x:v>
      </x:c>
      <x:c r="D902" s="170" t="str">
        <x:v>зараз</x:v>
      </x:c>
      <x:c r="E902" s="167" t="str">
        <x:v>No</x:v>
      </x:c>
      <x:c r="F902" s="167"/>
      <x:c r="G902" s="167" t="str">
        <x:v>Core</x:v>
      </x:c>
      <x:c r="H902" s="167" t="str">
        <x:v>General</x:v>
      </x:c>
      <x:c r="I902" s="167" t="str">
        <x:v>Not Started</x:v>
      </x:c>
      <x:c r="J902" s="167" t="n">
        <x:v>0</x:v>
      </x:c>
      <x:c r="K902" s="168"/>
      <x:c r="L902" s="168" t="str">
        <x:f>IF(OR(I902="Mastered",K902=""),"",K902+IF(J902&gt;=5,30,IF(J902=4,14,IF(J902=3,7,IF(J902=2,3,1)))))</x:f>
      </x:c>
      <x:c r="M902" s="171" t="str"/>
      <x:c r="N902" s="171" t="str"/>
      <x:c r="O902" s="171" t="str">
        <x:v>Draft — verify in context</x:v>
      </x:c>
      <x:c r="P902" s="167" t="str">
        <x:v>https://www.oxfordlearnersdictionaries.com/wordlists/oxford3000-5000</x:v>
      </x:c>
    </x:row>
    <x:row r="903" ht="26" customHeight="1">
      <x:c r="A903" s="167" t="n">
        <x:v>902</x:v>
      </x:c>
      <x:c r="B903" s="167" t="str">
        <x:v>preservation</x:v>
      </x:c>
      <x:c r="C903" s="167" t="str">
        <x:v>n.</x:v>
      </x:c>
      <x:c r="D903" s="170" t="str">
        <x:v>збереження</x:v>
      </x:c>
      <x:c r="E903" s="167" t="str">
        <x:v>No</x:v>
      </x:c>
      <x:c r="F903" s="167"/>
      <x:c r="G903" s="167" t="str">
        <x:v>Core</x:v>
      </x:c>
      <x:c r="H903" s="167" t="str">
        <x:v>General</x:v>
      </x:c>
      <x:c r="I903" s="167" t="str">
        <x:v>Not Started</x:v>
      </x:c>
      <x:c r="J903" s="167" t="n">
        <x:v>0</x:v>
      </x:c>
      <x:c r="K903" s="168"/>
      <x:c r="L903" s="168" t="str">
        <x:f>IF(OR(I903="Mastered",K903=""),"",K903+IF(J903&gt;=5,30,IF(J903=4,14,IF(J903=3,7,IF(J903=2,3,1)))))</x:f>
      </x:c>
      <x:c r="M903" s="171" t="str"/>
      <x:c r="N903" s="171" t="str"/>
      <x:c r="O903" s="171" t="str">
        <x:v>Draft — verify in context</x:v>
      </x:c>
      <x:c r="P903" s="167" t="str">
        <x:v>https://www.oxfordlearnersdictionaries.com/wordlists/oxford3000-5000</x:v>
      </x:c>
    </x:row>
    <x:row r="904" ht="26" customHeight="1">
      <x:c r="A904" s="167" t="n">
        <x:v>903</x:v>
      </x:c>
      <x:c r="B904" s="167" t="str">
        <x:v>preside</x:v>
      </x:c>
      <x:c r="C904" s="167" t="str">
        <x:v>v.</x:v>
      </x:c>
      <x:c r="D904" s="170" t="str">
        <x:v>головувати</x:v>
      </x:c>
      <x:c r="E904" s="167" t="str">
        <x:v>No</x:v>
      </x:c>
      <x:c r="F904" s="167"/>
      <x:c r="G904" s="167" t="str">
        <x:v>Core</x:v>
      </x:c>
      <x:c r="H904" s="167" t="str">
        <x:v>General</x:v>
      </x:c>
      <x:c r="I904" s="167" t="str">
        <x:v>Not Started</x:v>
      </x:c>
      <x:c r="J904" s="167" t="n">
        <x:v>0</x:v>
      </x:c>
      <x:c r="K904" s="168"/>
      <x:c r="L904" s="168" t="str">
        <x:f>IF(OR(I904="Mastered",K904=""),"",K904+IF(J904&gt;=5,30,IF(J904=4,14,IF(J904=3,7,IF(J904=2,3,1)))))</x:f>
      </x:c>
      <x:c r="M904" s="171" t="str"/>
      <x:c r="N904" s="171" t="str"/>
      <x:c r="O904" s="171" t="str">
        <x:v>Draft — verify in context</x:v>
      </x:c>
      <x:c r="P904" s="167" t="str">
        <x:v>https://www.oxfordlearnersdictionaries.com/wordlists/oxford3000-5000</x:v>
      </x:c>
    </x:row>
    <x:row r="905" ht="26" customHeight="1">
      <x:c r="A905" s="167" t="n">
        <x:v>904</x:v>
      </x:c>
      <x:c r="B905" s="167" t="str">
        <x:v>presidency</x:v>
      </x:c>
      <x:c r="C905" s="167" t="str">
        <x:v>n.</x:v>
      </x:c>
      <x:c r="D905" s="170" t="str">
        <x:v>президентство</x:v>
      </x:c>
      <x:c r="E905" s="167" t="str">
        <x:v>No</x:v>
      </x:c>
      <x:c r="F905" s="167"/>
      <x:c r="G905" s="167" t="str">
        <x:v>Core</x:v>
      </x:c>
      <x:c r="H905" s="167" t="str">
        <x:v>General</x:v>
      </x:c>
      <x:c r="I905" s="167" t="str">
        <x:v>Not Started</x:v>
      </x:c>
      <x:c r="J905" s="167" t="n">
        <x:v>0</x:v>
      </x:c>
      <x:c r="K905" s="168"/>
      <x:c r="L905" s="168" t="str">
        <x:f>IF(OR(I905="Mastered",K905=""),"",K905+IF(J905&gt;=5,30,IF(J905=4,14,IF(J905=3,7,IF(J905=2,3,1)))))</x:f>
      </x:c>
      <x:c r="M905" s="171" t="str"/>
      <x:c r="N905" s="171" t="str"/>
      <x:c r="O905" s="171" t="str">
        <x:v>Draft — verify in context</x:v>
      </x:c>
      <x:c r="P905" s="167" t="str">
        <x:v>https://www.oxfordlearnersdictionaries.com/wordlists/oxford3000-5000</x:v>
      </x:c>
    </x:row>
    <x:row r="906" ht="26" customHeight="1">
      <x:c r="A906" s="167" t="n">
        <x:v>905</x:v>
      </x:c>
      <x:c r="B906" s="167" t="str">
        <x:v>presidential</x:v>
      </x:c>
      <x:c r="C906" s="167" t="str">
        <x:v>adj.</x:v>
      </x:c>
      <x:c r="D906" s="170" t="str">
        <x:v>президентський</x:v>
      </x:c>
      <x:c r="E906" s="167" t="str">
        <x:v>No</x:v>
      </x:c>
      <x:c r="F906" s="167"/>
      <x:c r="G906" s="167" t="str">
        <x:v>Core</x:v>
      </x:c>
      <x:c r="H906" s="167" t="str">
        <x:v>General</x:v>
      </x:c>
      <x:c r="I906" s="167" t="str">
        <x:v>Not Started</x:v>
      </x:c>
      <x:c r="J906" s="167" t="n">
        <x:v>0</x:v>
      </x:c>
      <x:c r="K906" s="168"/>
      <x:c r="L906" s="168" t="str">
        <x:f>IF(OR(I906="Mastered",K906=""),"",K906+IF(J906&gt;=5,30,IF(J906=4,14,IF(J906=3,7,IF(J906=2,3,1)))))</x:f>
      </x:c>
      <x:c r="M906" s="171" t="str"/>
      <x:c r="N906" s="171" t="str"/>
      <x:c r="O906" s="171" t="str">
        <x:v>Draft — verify in context</x:v>
      </x:c>
      <x:c r="P906" s="167" t="str">
        <x:v>https://www.oxfordlearnersdictionaries.com/wordlists/oxford3000-5000</x:v>
      </x:c>
    </x:row>
    <x:row r="907" ht="26" customHeight="1">
      <x:c r="A907" s="167" t="n">
        <x:v>906</x:v>
      </x:c>
      <x:c r="B907" s="167" t="str">
        <x:v>prestigious</x:v>
      </x:c>
      <x:c r="C907" s="167" t="str">
        <x:v>adj.</x:v>
      </x:c>
      <x:c r="D907" s="170" t="str">
        <x:v>престижний</x:v>
      </x:c>
      <x:c r="E907" s="167" t="str">
        <x:v>No</x:v>
      </x:c>
      <x:c r="F907" s="167"/>
      <x:c r="G907" s="167" t="str">
        <x:v>Core</x:v>
      </x:c>
      <x:c r="H907" s="167" t="str">
        <x:v>General</x:v>
      </x:c>
      <x:c r="I907" s="167" t="str">
        <x:v>Not Started</x:v>
      </x:c>
      <x:c r="J907" s="167" t="n">
        <x:v>0</x:v>
      </x:c>
      <x:c r="K907" s="168"/>
      <x:c r="L907" s="168" t="str">
        <x:f>IF(OR(I907="Mastered",K907=""),"",K907+IF(J907&gt;=5,30,IF(J907=4,14,IF(J907=3,7,IF(J907=2,3,1)))))</x:f>
      </x:c>
      <x:c r="M907" s="171" t="str"/>
      <x:c r="N907" s="171" t="str"/>
      <x:c r="O907" s="171" t="str">
        <x:v>Draft — verify in context</x:v>
      </x:c>
      <x:c r="P907" s="167" t="str">
        <x:v>https://www.oxfordlearnersdictionaries.com/wordlists/oxford3000-5000</x:v>
      </x:c>
    </x:row>
    <x:row r="908" ht="26" customHeight="1">
      <x:c r="A908" s="167" t="n">
        <x:v>907</x:v>
      </x:c>
      <x:c r="B908" s="167" t="str">
        <x:v>presumably</x:v>
      </x:c>
      <x:c r="C908" s="167" t="str">
        <x:v>adv.</x:v>
      </x:c>
      <x:c r="D908" s="170" t="str">
        <x:v>мабуть</x:v>
      </x:c>
      <x:c r="E908" s="167" t="str">
        <x:v>No</x:v>
      </x:c>
      <x:c r="F908" s="167"/>
      <x:c r="G908" s="167" t="str">
        <x:v>Core</x:v>
      </x:c>
      <x:c r="H908" s="167" t="str">
        <x:v>General</x:v>
      </x:c>
      <x:c r="I908" s="167" t="str">
        <x:v>Not Started</x:v>
      </x:c>
      <x:c r="J908" s="167" t="n">
        <x:v>0</x:v>
      </x:c>
      <x:c r="K908" s="168"/>
      <x:c r="L908" s="168" t="str">
        <x:f>IF(OR(I908="Mastered",K908=""),"",K908+IF(J908&gt;=5,30,IF(J908=4,14,IF(J908=3,7,IF(J908=2,3,1)))))</x:f>
      </x:c>
      <x:c r="M908" s="171" t="str"/>
      <x:c r="N908" s="171" t="str"/>
      <x:c r="O908" s="171" t="str">
        <x:v>Draft — verify in context</x:v>
      </x:c>
      <x:c r="P908" s="167" t="str">
        <x:v>https://www.oxfordlearnersdictionaries.com/wordlists/oxford3000-5000</x:v>
      </x:c>
    </x:row>
    <x:row r="909" ht="26" customHeight="1">
      <x:c r="A909" s="167" t="n">
        <x:v>908</x:v>
      </x:c>
      <x:c r="B909" s="167" t="str">
        <x:v>presume</x:v>
      </x:c>
      <x:c r="C909" s="167" t="str">
        <x:v>v.</x:v>
      </x:c>
      <x:c r="D909" s="170" t="str">
        <x:v>припустити</x:v>
      </x:c>
      <x:c r="E909" s="167" t="str">
        <x:v>No</x:v>
      </x:c>
      <x:c r="F909" s="167"/>
      <x:c r="G909" s="167" t="str">
        <x:v>Core</x:v>
      </x:c>
      <x:c r="H909" s="167" t="str">
        <x:v>General</x:v>
      </x:c>
      <x:c r="I909" s="167" t="str">
        <x:v>Not Started</x:v>
      </x:c>
      <x:c r="J909" s="167" t="n">
        <x:v>0</x:v>
      </x:c>
      <x:c r="K909" s="168"/>
      <x:c r="L909" s="168" t="str">
        <x:f>IF(OR(I909="Mastered",K909=""),"",K909+IF(J909&gt;=5,30,IF(J909=4,14,IF(J909=3,7,IF(J909=2,3,1)))))</x:f>
      </x:c>
      <x:c r="M909" s="171" t="str"/>
      <x:c r="N909" s="171" t="str"/>
      <x:c r="O909" s="171" t="str">
        <x:v>Draft — verify in context</x:v>
      </x:c>
      <x:c r="P909" s="167" t="str">
        <x:v>https://www.oxfordlearnersdictionaries.com/wordlists/oxford3000-5000</x:v>
      </x:c>
    </x:row>
    <x:row r="910" ht="26" customHeight="1">
      <x:c r="A910" s="167" t="n">
        <x:v>909</x:v>
      </x:c>
      <x:c r="B910" s="167" t="str">
        <x:v>prevail</x:v>
      </x:c>
      <x:c r="C910" s="167" t="str">
        <x:v>v.</x:v>
      </x:c>
      <x:c r="D910" s="170" t="str">
        <x:v>переважати</x:v>
      </x:c>
      <x:c r="E910" s="167" t="str">
        <x:v>No</x:v>
      </x:c>
      <x:c r="F910" s="167"/>
      <x:c r="G910" s="167" t="str">
        <x:v>Core</x:v>
      </x:c>
      <x:c r="H910" s="167" t="str">
        <x:v>General</x:v>
      </x:c>
      <x:c r="I910" s="167" t="str">
        <x:v>Not Started</x:v>
      </x:c>
      <x:c r="J910" s="167" t="n">
        <x:v>0</x:v>
      </x:c>
      <x:c r="K910" s="168"/>
      <x:c r="L910" s="168" t="str">
        <x:f>IF(OR(I910="Mastered",K910=""),"",K910+IF(J910&gt;=5,30,IF(J910=4,14,IF(J910=3,7,IF(J910=2,3,1)))))</x:f>
      </x:c>
      <x:c r="M910" s="171" t="str"/>
      <x:c r="N910" s="171" t="str"/>
      <x:c r="O910" s="171" t="str">
        <x:v>Draft — verify in context</x:v>
      </x:c>
      <x:c r="P910" s="167" t="str">
        <x:v>https://www.oxfordlearnersdictionaries.com/wordlists/oxford3000-5000</x:v>
      </x:c>
    </x:row>
    <x:row r="911" ht="26" customHeight="1">
      <x:c r="A911" s="167" t="n">
        <x:v>910</x:v>
      </x:c>
      <x:c r="B911" s="167" t="str">
        <x:v>prevalence</x:v>
      </x:c>
      <x:c r="C911" s="167" t="str">
        <x:v>n.</x:v>
      </x:c>
      <x:c r="D911" s="170" t="str">
        <x:v>поширеність</x:v>
      </x:c>
      <x:c r="E911" s="167" t="str">
        <x:v>No</x:v>
      </x:c>
      <x:c r="F911" s="167"/>
      <x:c r="G911" s="167" t="str">
        <x:v>Core</x:v>
      </x:c>
      <x:c r="H911" s="167" t="str">
        <x:v>General</x:v>
      </x:c>
      <x:c r="I911" s="167" t="str">
        <x:v>Not Started</x:v>
      </x:c>
      <x:c r="J911" s="167" t="n">
        <x:v>0</x:v>
      </x:c>
      <x:c r="K911" s="168"/>
      <x:c r="L911" s="168" t="str">
        <x:f>IF(OR(I911="Mastered",K911=""),"",K911+IF(J911&gt;=5,30,IF(J911=4,14,IF(J911=3,7,IF(J911=2,3,1)))))</x:f>
      </x:c>
      <x:c r="M911" s="171" t="str"/>
      <x:c r="N911" s="171" t="str"/>
      <x:c r="O911" s="171" t="str">
        <x:v>Draft — verify in context</x:v>
      </x:c>
      <x:c r="P911" s="167" t="str">
        <x:v>https://www.oxfordlearnersdictionaries.com/wordlists/oxford3000-5000</x:v>
      </x:c>
    </x:row>
    <x:row r="912" ht="26" customHeight="1">
      <x:c r="A912" s="167" t="n">
        <x:v>911</x:v>
      </x:c>
      <x:c r="B912" s="167" t="str">
        <x:v>prevention</x:v>
      </x:c>
      <x:c r="C912" s="167" t="str">
        <x:v>n.</x:v>
      </x:c>
      <x:c r="D912" s="170" t="str">
        <x:v>профілактика</x:v>
      </x:c>
      <x:c r="E912" s="167" t="str">
        <x:v>No</x:v>
      </x:c>
      <x:c r="F912" s="167"/>
      <x:c r="G912" s="167" t="str">
        <x:v>Core</x:v>
      </x:c>
      <x:c r="H912" s="167" t="str">
        <x:v>General</x:v>
      </x:c>
      <x:c r="I912" s="167" t="str">
        <x:v>Not Started</x:v>
      </x:c>
      <x:c r="J912" s="167" t="n">
        <x:v>0</x:v>
      </x:c>
      <x:c r="K912" s="168"/>
      <x:c r="L912" s="168" t="str">
        <x:f>IF(OR(I912="Mastered",K912=""),"",K912+IF(J912&gt;=5,30,IF(J912=4,14,IF(J912=3,7,IF(J912=2,3,1)))))</x:f>
      </x:c>
      <x:c r="M912" s="171" t="str"/>
      <x:c r="N912" s="171" t="str"/>
      <x:c r="O912" s="171" t="str">
        <x:v>Draft — verify in context</x:v>
      </x:c>
      <x:c r="P912" s="167" t="str">
        <x:v>https://www.oxfordlearnersdictionaries.com/wordlists/oxford3000-5000</x:v>
      </x:c>
    </x:row>
    <x:row r="913" ht="26" customHeight="1">
      <x:c r="A913" s="167" t="n">
        <x:v>912</x:v>
      </x:c>
      <x:c r="B913" s="167" t="str">
        <x:v>prey</x:v>
      </x:c>
      <x:c r="C913" s="167" t="str">
        <x:v>n.</x:v>
      </x:c>
      <x:c r="D913" s="170" t="str">
        <x:v>здобич</x:v>
      </x:c>
      <x:c r="E913" s="167" t="str">
        <x:v>No</x:v>
      </x:c>
      <x:c r="F913" s="167"/>
      <x:c r="G913" s="167" t="str">
        <x:v>Core</x:v>
      </x:c>
      <x:c r="H913" s="167" t="str">
        <x:v>General</x:v>
      </x:c>
      <x:c r="I913" s="167" t="str">
        <x:v>Not Started</x:v>
      </x:c>
      <x:c r="J913" s="167" t="n">
        <x:v>0</x:v>
      </x:c>
      <x:c r="K913" s="168"/>
      <x:c r="L913" s="168" t="str">
        <x:f>IF(OR(I913="Mastered",K913=""),"",K913+IF(J913&gt;=5,30,IF(J913=4,14,IF(J913=3,7,IF(J913=2,3,1)))))</x:f>
      </x:c>
      <x:c r="M913" s="171" t="str"/>
      <x:c r="N913" s="171" t="str"/>
      <x:c r="O913" s="171" t="str">
        <x:v>Draft — verify in context</x:v>
      </x:c>
      <x:c r="P913" s="167" t="str">
        <x:v>https://www.oxfordlearnersdictionaries.com/wordlists/oxford3000-5000</x:v>
      </x:c>
    </x:row>
    <x:row r="914" ht="26" customHeight="1">
      <x:c r="A914" s="167" t="n">
        <x:v>913</x:v>
      </x:c>
      <x:c r="B914" s="167" t="str">
        <x:v>principal</x:v>
      </x:c>
      <x:c r="C914" s="167" t="str">
        <x:v>n.</x:v>
      </x:c>
      <x:c r="D914" s="170" t="str">
        <x:v>директор</x:v>
      </x:c>
      <x:c r="E914" s="167" t="str">
        <x:v>Yes</x:v>
      </x:c>
      <x:c r="F914" s="167" t="n">
        <x:v>4</x:v>
      </x:c>
      <x:c r="G914" s="167" t="str">
        <x:v>High</x:v>
      </x:c>
      <x:c r="H914" s="167" t="str">
        <x:v>General</x:v>
      </x:c>
      <x:c r="I914" s="167" t="str">
        <x:v>Not Started</x:v>
      </x:c>
      <x:c r="J914" s="167" t="n">
        <x:v>0</x:v>
      </x:c>
      <x:c r="K914" s="168"/>
      <x:c r="L914" s="168" t="str">
        <x:f>IF(OR(I914="Mastered",K914=""),"",K914+IF(J914&gt;=5,30,IF(J914=4,14,IF(J914=3,7,IF(J914=2,3,1)))))</x:f>
      </x:c>
      <x:c r="M914" s="171" t="str"/>
      <x:c r="N914" s="171" t="str"/>
      <x:c r="O914" s="171" t="str">
        <x:v>Draft — verify in context</x:v>
      </x:c>
      <x:c r="P914" s="167" t="str">
        <x:v>https://www.oxfordlearnersdictionaries.com/wordlists/oxford3000-5000</x:v>
      </x:c>
    </x:row>
    <x:row r="915" ht="26" customHeight="1">
      <x:c r="A915" s="167" t="n">
        <x:v>914</x:v>
      </x:c>
      <x:c r="B915" s="167" t="str">
        <x:v>privatization</x:v>
      </x:c>
      <x:c r="C915" s="167" t="str">
        <x:v>n.</x:v>
      </x:c>
      <x:c r="D915" s="170" t="str">
        <x:v>приватизація</x:v>
      </x:c>
      <x:c r="E915" s="167" t="str">
        <x:v>No</x:v>
      </x:c>
      <x:c r="F915" s="167"/>
      <x:c r="G915" s="167" t="str">
        <x:v>Core</x:v>
      </x:c>
      <x:c r="H915" s="167" t="str">
        <x:v>General</x:v>
      </x:c>
      <x:c r="I915" s="167" t="str">
        <x:v>Not Started</x:v>
      </x:c>
      <x:c r="J915" s="167" t="n">
        <x:v>0</x:v>
      </x:c>
      <x:c r="K915" s="168"/>
      <x:c r="L915" s="168" t="str">
        <x:f>IF(OR(I915="Mastered",K915=""),"",K915+IF(J915&gt;=5,30,IF(J915=4,14,IF(J915=3,7,IF(J915=2,3,1)))))</x:f>
      </x:c>
      <x:c r="M915" s="171" t="str"/>
      <x:c r="N915" s="171" t="str"/>
      <x:c r="O915" s="171" t="str">
        <x:v>Draft — verify in context</x:v>
      </x:c>
      <x:c r="P915" s="167" t="str">
        <x:v>https://www.oxfordlearnersdictionaries.com/wordlists/oxford3000-5000</x:v>
      </x:c>
    </x:row>
    <x:row r="916" ht="26" customHeight="1">
      <x:c r="A916" s="167" t="n">
        <x:v>915</x:v>
      </x:c>
      <x:c r="B916" s="167" t="str">
        <x:v>privilege</x:v>
      </x:c>
      <x:c r="C916" s="167" t="str">
        <x:v>n.</x:v>
      </x:c>
      <x:c r="D916" s="170" t="str">
        <x:v>привілей</x:v>
      </x:c>
      <x:c r="E916" s="167" t="str">
        <x:v>No</x:v>
      </x:c>
      <x:c r="F916" s="167"/>
      <x:c r="G916" s="167" t="str">
        <x:v>Core</x:v>
      </x:c>
      <x:c r="H916" s="167" t="str">
        <x:v>General</x:v>
      </x:c>
      <x:c r="I916" s="167" t="str">
        <x:v>Not Started</x:v>
      </x:c>
      <x:c r="J916" s="167" t="n">
        <x:v>0</x:v>
      </x:c>
      <x:c r="K916" s="168"/>
      <x:c r="L916" s="168" t="str">
        <x:f>IF(OR(I916="Mastered",K916=""),"",K916+IF(J916&gt;=5,30,IF(J916=4,14,IF(J916=3,7,IF(J916=2,3,1)))))</x:f>
      </x:c>
      <x:c r="M916" s="171" t="str"/>
      <x:c r="N916" s="171" t="str"/>
      <x:c r="O916" s="171" t="str">
        <x:v>Draft — verify in context</x:v>
      </x:c>
      <x:c r="P916" s="167" t="str">
        <x:v>https://www.oxfordlearnersdictionaries.com/wordlists/oxford3000-5000</x:v>
      </x:c>
    </x:row>
    <x:row r="917" ht="26" customHeight="1">
      <x:c r="A917" s="167" t="n">
        <x:v>916</x:v>
      </x:c>
      <x:c r="B917" s="167" t="str">
        <x:v>probe</x:v>
      </x:c>
      <x:c r="C917" s="167" t="str">
        <x:v>n., v.</x:v>
      </x:c>
      <x:c r="D917" s="170" t="str">
        <x:v>зонд</x:v>
      </x:c>
      <x:c r="E917" s="167" t="str">
        <x:v>No</x:v>
      </x:c>
      <x:c r="F917" s="167"/>
      <x:c r="G917" s="167" t="str">
        <x:v>Core</x:v>
      </x:c>
      <x:c r="H917" s="167" t="str">
        <x:v>General</x:v>
      </x:c>
      <x:c r="I917" s="167" t="str">
        <x:v>Not Started</x:v>
      </x:c>
      <x:c r="J917" s="167" t="n">
        <x:v>0</x:v>
      </x:c>
      <x:c r="K917" s="168"/>
      <x:c r="L917" s="168" t="str">
        <x:f>IF(OR(I917="Mastered",K917=""),"",K917+IF(J917&gt;=5,30,IF(J917=4,14,IF(J917=3,7,IF(J917=2,3,1)))))</x:f>
      </x:c>
      <x:c r="M917" s="171" t="str"/>
      <x:c r="N917" s="171" t="str"/>
      <x:c r="O917" s="171" t="str">
        <x:v>Draft — verify in context</x:v>
      </x:c>
      <x:c r="P917" s="167" t="str">
        <x:v>https://www.oxfordlearnersdictionaries.com/wordlists/oxford3000-5000</x:v>
      </x:c>
    </x:row>
    <x:row r="918" ht="26" customHeight="1">
      <x:c r="A918" s="167" t="n">
        <x:v>917</x:v>
      </x:c>
      <x:c r="B918" s="167" t="str">
        <x:v>problematic</x:v>
      </x:c>
      <x:c r="C918" s="167" t="str">
        <x:v>adj.</x:v>
      </x:c>
      <x:c r="D918" s="170" t="str">
        <x:v>проблематичний</x:v>
      </x:c>
      <x:c r="E918" s="167" t="str">
        <x:v>No</x:v>
      </x:c>
      <x:c r="F918" s="167"/>
      <x:c r="G918" s="167" t="str">
        <x:v>Core</x:v>
      </x:c>
      <x:c r="H918" s="167" t="str">
        <x:v>General</x:v>
      </x:c>
      <x:c r="I918" s="167" t="str">
        <x:v>Not Started</x:v>
      </x:c>
      <x:c r="J918" s="167" t="n">
        <x:v>0</x:v>
      </x:c>
      <x:c r="K918" s="168"/>
      <x:c r="L918" s="168" t="str">
        <x:f>IF(OR(I918="Mastered",K918=""),"",K918+IF(J918&gt;=5,30,IF(J918=4,14,IF(J918=3,7,IF(J918=2,3,1)))))</x:f>
      </x:c>
      <x:c r="M918" s="171" t="str"/>
      <x:c r="N918" s="171" t="str"/>
      <x:c r="O918" s="171" t="str">
        <x:v>Draft — verify in context</x:v>
      </x:c>
      <x:c r="P918" s="167" t="str">
        <x:v>https://www.oxfordlearnersdictionaries.com/wordlists/oxford3000-5000</x:v>
      </x:c>
    </x:row>
    <x:row r="919" ht="26" customHeight="1">
      <x:c r="A919" s="167" t="n">
        <x:v>918</x:v>
      </x:c>
      <x:c r="B919" s="167" t="str">
        <x:v>proceedings</x:v>
      </x:c>
      <x:c r="C919" s="167" t="str">
        <x:v>n.</x:v>
      </x:c>
      <x:c r="D919" s="170" t="str">
        <x:v>провадження</x:v>
      </x:c>
      <x:c r="E919" s="167" t="str">
        <x:v>No</x:v>
      </x:c>
      <x:c r="F919" s="167"/>
      <x:c r="G919" s="167" t="str">
        <x:v>Core</x:v>
      </x:c>
      <x:c r="H919" s="167" t="str">
        <x:v>General</x:v>
      </x:c>
      <x:c r="I919" s="167" t="str">
        <x:v>Not Started</x:v>
      </x:c>
      <x:c r="J919" s="167" t="n">
        <x:v>0</x:v>
      </x:c>
      <x:c r="K919" s="168"/>
      <x:c r="L919" s="168" t="str">
        <x:f>IF(OR(I919="Mastered",K919=""),"",K919+IF(J919&gt;=5,30,IF(J919=4,14,IF(J919=3,7,IF(J919=2,3,1)))))</x:f>
      </x:c>
      <x:c r="M919" s="171" t="str"/>
      <x:c r="N919" s="171" t="str"/>
      <x:c r="O919" s="171" t="str">
        <x:v>Draft — verify in context</x:v>
      </x:c>
      <x:c r="P919" s="167" t="str">
        <x:v>https://www.oxfordlearnersdictionaries.com/wordlists/oxford3000-5000</x:v>
      </x:c>
    </x:row>
    <x:row r="920" ht="26" customHeight="1">
      <x:c r="A920" s="167" t="n">
        <x:v>919</x:v>
      </x:c>
      <x:c r="B920" s="167" t="str">
        <x:v>proceeds</x:v>
      </x:c>
      <x:c r="C920" s="167" t="str">
        <x:v>n.</x:v>
      </x:c>
      <x:c r="D920" s="170" t="str">
        <x:v>доходи</x:v>
      </x:c>
      <x:c r="E920" s="167" t="str">
        <x:v>No</x:v>
      </x:c>
      <x:c r="F920" s="167"/>
      <x:c r="G920" s="167" t="str">
        <x:v>Core</x:v>
      </x:c>
      <x:c r="H920" s="167" t="str">
        <x:v>General</x:v>
      </x:c>
      <x:c r="I920" s="167" t="str">
        <x:v>Not Started</x:v>
      </x:c>
      <x:c r="J920" s="167" t="n">
        <x:v>0</x:v>
      </x:c>
      <x:c r="K920" s="168"/>
      <x:c r="L920" s="168" t="str">
        <x:f>IF(OR(I920="Mastered",K920=""),"",K920+IF(J920&gt;=5,30,IF(J920=4,14,IF(J920=3,7,IF(J920=2,3,1)))))</x:f>
      </x:c>
      <x:c r="M920" s="171" t="str"/>
      <x:c r="N920" s="171" t="str"/>
      <x:c r="O920" s="171" t="str">
        <x:v>Draft — verify in context</x:v>
      </x:c>
      <x:c r="P920" s="167" t="str">
        <x:v>https://www.oxfordlearnersdictionaries.com/wordlists/oxford3000-5000</x:v>
      </x:c>
    </x:row>
    <x:row r="921" ht="26" customHeight="1">
      <x:c r="A921" s="167" t="n">
        <x:v>920</x:v>
      </x:c>
      <x:c r="B921" s="167" t="str">
        <x:v>processing</x:v>
      </x:c>
      <x:c r="C921" s="167" t="str">
        <x:v>n.</x:v>
      </x:c>
      <x:c r="D921" s="170" t="str">
        <x:v>обробка</x:v>
      </x:c>
      <x:c r="E921" s="167" t="str">
        <x:v>No</x:v>
      </x:c>
      <x:c r="F921" s="167"/>
      <x:c r="G921" s="167" t="str">
        <x:v>Core</x:v>
      </x:c>
      <x:c r="H921" s="167" t="str">
        <x:v>General</x:v>
      </x:c>
      <x:c r="I921" s="167" t="str">
        <x:v>Not Started</x:v>
      </x:c>
      <x:c r="J921" s="167" t="n">
        <x:v>0</x:v>
      </x:c>
      <x:c r="K921" s="168"/>
      <x:c r="L921" s="168" t="str">
        <x:f>IF(OR(I921="Mastered",K921=""),"",K921+IF(J921&gt;=5,30,IF(J921=4,14,IF(J921=3,7,IF(J921=2,3,1)))))</x:f>
      </x:c>
      <x:c r="M921" s="171" t="str"/>
      <x:c r="N921" s="171" t="str"/>
      <x:c r="O921" s="171" t="str">
        <x:v>Draft — verify in context</x:v>
      </x:c>
      <x:c r="P921" s="167" t="str">
        <x:v>https://www.oxfordlearnersdictionaries.com/wordlists/oxford3000-5000</x:v>
      </x:c>
    </x:row>
    <x:row r="922" ht="26" customHeight="1">
      <x:c r="A922" s="167" t="n">
        <x:v>921</x:v>
      </x:c>
      <x:c r="B922" s="167" t="str">
        <x:v>processor</x:v>
      </x:c>
      <x:c r="C922" s="167" t="str">
        <x:v>n.</x:v>
      </x:c>
      <x:c r="D922" s="170" t="str">
        <x:v>процесор</x:v>
      </x:c>
      <x:c r="E922" s="167" t="str">
        <x:v>No</x:v>
      </x:c>
      <x:c r="F922" s="167"/>
      <x:c r="G922" s="167" t="str">
        <x:v>Core</x:v>
      </x:c>
      <x:c r="H922" s="167" t="str">
        <x:v>General</x:v>
      </x:c>
      <x:c r="I922" s="167" t="str">
        <x:v>Not Started</x:v>
      </x:c>
      <x:c r="J922" s="167" t="n">
        <x:v>0</x:v>
      </x:c>
      <x:c r="K922" s="168"/>
      <x:c r="L922" s="168" t="str">
        <x:f>IF(OR(I922="Mastered",K922=""),"",K922+IF(J922&gt;=5,30,IF(J922=4,14,IF(J922=3,7,IF(J922=2,3,1)))))</x:f>
      </x:c>
      <x:c r="M922" s="171" t="str"/>
      <x:c r="N922" s="171" t="str"/>
      <x:c r="O922" s="171" t="str">
        <x:v>Draft — verify in context</x:v>
      </x:c>
      <x:c r="P922" s="167" t="str">
        <x:v>https://www.oxfordlearnersdictionaries.com/wordlists/oxford3000-5000</x:v>
      </x:c>
    </x:row>
    <x:row r="923" ht="26" customHeight="1">
      <x:c r="A923" s="167" t="n">
        <x:v>922</x:v>
      </x:c>
      <x:c r="B923" s="167" t="str">
        <x:v>proclaim</x:v>
      </x:c>
      <x:c r="C923" s="167" t="str">
        <x:v>v.</x:v>
      </x:c>
      <x:c r="D923" s="170" t="str">
        <x:v>проголошувати</x:v>
      </x:c>
      <x:c r="E923" s="167" t="str">
        <x:v>No</x:v>
      </x:c>
      <x:c r="F923" s="167"/>
      <x:c r="G923" s="167" t="str">
        <x:v>Core</x:v>
      </x:c>
      <x:c r="H923" s="167" t="str">
        <x:v>General</x:v>
      </x:c>
      <x:c r="I923" s="167" t="str">
        <x:v>Not Started</x:v>
      </x:c>
      <x:c r="J923" s="167" t="n">
        <x:v>0</x:v>
      </x:c>
      <x:c r="K923" s="168"/>
      <x:c r="L923" s="168" t="str">
        <x:f>IF(OR(I923="Mastered",K923=""),"",K923+IF(J923&gt;=5,30,IF(J923=4,14,IF(J923=3,7,IF(J923=2,3,1)))))</x:f>
      </x:c>
      <x:c r="M923" s="171" t="str"/>
      <x:c r="N923" s="171" t="str"/>
      <x:c r="O923" s="171" t="str">
        <x:v>Draft — verify in context</x:v>
      </x:c>
      <x:c r="P923" s="167" t="str">
        <x:v>https://www.oxfordlearnersdictionaries.com/wordlists/oxford3000-5000</x:v>
      </x:c>
    </x:row>
    <x:row r="924" ht="26" customHeight="1">
      <x:c r="A924" s="167" t="n">
        <x:v>923</x:v>
      </x:c>
      <x:c r="B924" s="167" t="str">
        <x:v>productive</x:v>
      </x:c>
      <x:c r="C924" s="167" t="str">
        <x:v>adj.</x:v>
      </x:c>
      <x:c r="D924" s="170" t="str">
        <x:v>продуктивний</x:v>
      </x:c>
      <x:c r="E924" s="167" t="str">
        <x:v>No</x:v>
      </x:c>
      <x:c r="F924" s="167"/>
      <x:c r="G924" s="167" t="str">
        <x:v>Core</x:v>
      </x:c>
      <x:c r="H924" s="167" t="str">
        <x:v>General</x:v>
      </x:c>
      <x:c r="I924" s="167" t="str">
        <x:v>Not Started</x:v>
      </x:c>
      <x:c r="J924" s="167" t="n">
        <x:v>0</x:v>
      </x:c>
      <x:c r="K924" s="168"/>
      <x:c r="L924" s="168" t="str">
        <x:f>IF(OR(I924="Mastered",K924=""),"",K924+IF(J924&gt;=5,30,IF(J924=4,14,IF(J924=3,7,IF(J924=2,3,1)))))</x:f>
      </x:c>
      <x:c r="M924" s="171" t="str"/>
      <x:c r="N924" s="171" t="str"/>
      <x:c r="O924" s="171" t="str">
        <x:v>Draft — verify in context</x:v>
      </x:c>
      <x:c r="P924" s="167" t="str">
        <x:v>https://www.oxfordlearnersdictionaries.com/wordlists/oxford3000-5000</x:v>
      </x:c>
    </x:row>
    <x:row r="925" ht="26" customHeight="1">
      <x:c r="A925" s="167" t="n">
        <x:v>924</x:v>
      </x:c>
      <x:c r="B925" s="167" t="str">
        <x:v>productivity</x:v>
      </x:c>
      <x:c r="C925" s="167" t="str">
        <x:v>n.</x:v>
      </x:c>
      <x:c r="D925" s="170" t="str">
        <x:v>продуктивність</x:v>
      </x:c>
      <x:c r="E925" s="167" t="str">
        <x:v>No</x:v>
      </x:c>
      <x:c r="F925" s="167"/>
      <x:c r="G925" s="167" t="str">
        <x:v>High</x:v>
      </x:c>
      <x:c r="H925" s="167" t="str">
        <x:v>Economy &amp; work</x:v>
      </x:c>
      <x:c r="I925" s="167" t="str">
        <x:v>Not Started</x:v>
      </x:c>
      <x:c r="J925" s="167" t="n">
        <x:v>0</x:v>
      </x:c>
      <x:c r="K925" s="168"/>
      <x:c r="L925" s="168" t="str">
        <x:f>IF(OR(I925="Mastered",K925=""),"",K925+IF(J925&gt;=5,30,IF(J925=4,14,IF(J925=3,7,IF(J925=2,3,1)))))</x:f>
      </x:c>
      <x:c r="M925" s="171" t="str"/>
      <x:c r="N925" s="171" t="str"/>
      <x:c r="O925" s="171" t="str">
        <x:v>Draft — verify in context</x:v>
      </x:c>
      <x:c r="P925" s="167" t="str">
        <x:v>https://www.oxfordlearnersdictionaries.com/wordlists/oxford3000-5000</x:v>
      </x:c>
    </x:row>
    <x:row r="926" ht="26" customHeight="1">
      <x:c r="A926" s="167" t="n">
        <x:v>925</x:v>
      </x:c>
      <x:c r="B926" s="167" t="str">
        <x:v>profitable</x:v>
      </x:c>
      <x:c r="C926" s="167" t="str">
        <x:v>adj.</x:v>
      </x:c>
      <x:c r="D926" s="170" t="str">
        <x:v>прибутковий</x:v>
      </x:c>
      <x:c r="E926" s="167" t="str">
        <x:v>No</x:v>
      </x:c>
      <x:c r="F926" s="167"/>
      <x:c r="G926" s="167" t="str">
        <x:v>Core</x:v>
      </x:c>
      <x:c r="H926" s="167" t="str">
        <x:v>General</x:v>
      </x:c>
      <x:c r="I926" s="167" t="str">
        <x:v>Not Started</x:v>
      </x:c>
      <x:c r="J926" s="167" t="n">
        <x:v>0</x:v>
      </x:c>
      <x:c r="K926" s="168"/>
      <x:c r="L926" s="168" t="str">
        <x:f>IF(OR(I926="Mastered",K926=""),"",K926+IF(J926&gt;=5,30,IF(J926=4,14,IF(J926=3,7,IF(J926=2,3,1)))))</x:f>
      </x:c>
      <x:c r="M926" s="171" t="str"/>
      <x:c r="N926" s="171" t="str"/>
      <x:c r="O926" s="171" t="str">
        <x:v>Draft — verify in context</x:v>
      </x:c>
      <x:c r="P926" s="167" t="str">
        <x:v>https://www.oxfordlearnersdictionaries.com/wordlists/oxford3000-5000</x:v>
      </x:c>
    </x:row>
    <x:row r="927" ht="26" customHeight="1">
      <x:c r="A927" s="167" t="n">
        <x:v>926</x:v>
      </x:c>
      <x:c r="B927" s="167" t="str">
        <x:v>profound</x:v>
      </x:c>
      <x:c r="C927" s="167" t="str">
        <x:v>adj.</x:v>
      </x:c>
      <x:c r="D927" s="170" t="str">
        <x:v>глибокий</x:v>
      </x:c>
      <x:c r="E927" s="167" t="str">
        <x:v>No</x:v>
      </x:c>
      <x:c r="F927" s="167"/>
      <x:c r="G927" s="167" t="str">
        <x:v>Core</x:v>
      </x:c>
      <x:c r="H927" s="167" t="str">
        <x:v>General</x:v>
      </x:c>
      <x:c r="I927" s="167" t="str">
        <x:v>Not Started</x:v>
      </x:c>
      <x:c r="J927" s="167" t="n">
        <x:v>0</x:v>
      </x:c>
      <x:c r="K927" s="168"/>
      <x:c r="L927" s="168" t="str">
        <x:f>IF(OR(I927="Mastered",K927=""),"",K927+IF(J927&gt;=5,30,IF(J927=4,14,IF(J927=3,7,IF(J927=2,3,1)))))</x:f>
      </x:c>
      <x:c r="M927" s="171" t="str"/>
      <x:c r="N927" s="171" t="str"/>
      <x:c r="O927" s="171" t="str">
        <x:v>Draft — verify in context</x:v>
      </x:c>
      <x:c r="P927" s="167" t="str">
        <x:v>https://www.oxfordlearnersdictionaries.com/wordlists/oxford3000-5000</x:v>
      </x:c>
    </x:row>
    <x:row r="928" ht="26" customHeight="1">
      <x:c r="A928" s="167" t="n">
        <x:v>927</x:v>
      </x:c>
      <x:c r="B928" s="167" t="str">
        <x:v>projection</x:v>
      </x:c>
      <x:c r="C928" s="167" t="str">
        <x:v>n.</x:v>
      </x:c>
      <x:c r="D928" s="170" t="str">
        <x:v>проекція</x:v>
      </x:c>
      <x:c r="E928" s="167" t="str">
        <x:v>No</x:v>
      </x:c>
      <x:c r="F928" s="167"/>
      <x:c r="G928" s="167" t="str">
        <x:v>Core</x:v>
      </x:c>
      <x:c r="H928" s="167" t="str">
        <x:v>General</x:v>
      </x:c>
      <x:c r="I928" s="167" t="str">
        <x:v>Not Started</x:v>
      </x:c>
      <x:c r="J928" s="167" t="n">
        <x:v>0</x:v>
      </x:c>
      <x:c r="K928" s="168"/>
      <x:c r="L928" s="168" t="str">
        <x:f>IF(OR(I928="Mastered",K928=""),"",K928+IF(J928&gt;=5,30,IF(J928=4,14,IF(J928=3,7,IF(J928=2,3,1)))))</x:f>
      </x:c>
      <x:c r="M928" s="171" t="str"/>
      <x:c r="N928" s="171" t="str"/>
      <x:c r="O928" s="171" t="str">
        <x:v>Draft — verify in context</x:v>
      </x:c>
      <x:c r="P928" s="167" t="str">
        <x:v>https://www.oxfordlearnersdictionaries.com/wordlists/oxford3000-5000</x:v>
      </x:c>
    </x:row>
    <x:row r="929" ht="26" customHeight="1">
      <x:c r="A929" s="167" t="n">
        <x:v>928</x:v>
      </x:c>
      <x:c r="B929" s="167" t="str">
        <x:v>prominent</x:v>
      </x:c>
      <x:c r="C929" s="167" t="str">
        <x:v>adj.</x:v>
      </x:c>
      <x:c r="D929" s="170" t="str">
        <x:v>видатний</x:v>
      </x:c>
      <x:c r="E929" s="167" t="str">
        <x:v>No</x:v>
      </x:c>
      <x:c r="F929" s="167"/>
      <x:c r="G929" s="167" t="str">
        <x:v>Core</x:v>
      </x:c>
      <x:c r="H929" s="167" t="str">
        <x:v>General</x:v>
      </x:c>
      <x:c r="I929" s="167" t="str">
        <x:v>Not Started</x:v>
      </x:c>
      <x:c r="J929" s="167" t="n">
        <x:v>0</x:v>
      </x:c>
      <x:c r="K929" s="168"/>
      <x:c r="L929" s="168" t="str">
        <x:f>IF(OR(I929="Mastered",K929=""),"",K929+IF(J929&gt;=5,30,IF(J929=4,14,IF(J929=3,7,IF(J929=2,3,1)))))</x:f>
      </x:c>
      <x:c r="M929" s="171" t="str"/>
      <x:c r="N929" s="171" t="str"/>
      <x:c r="O929" s="171" t="str">
        <x:v>Draft — verify in context</x:v>
      </x:c>
      <x:c r="P929" s="167" t="str">
        <x:v>https://www.oxfordlearnersdictionaries.com/wordlists/oxford3000-5000</x:v>
      </x:c>
    </x:row>
    <x:row r="930" ht="26" customHeight="1">
      <x:c r="A930" s="167" t="n">
        <x:v>929</x:v>
      </x:c>
      <x:c r="B930" s="167" t="str">
        <x:v>pronounced</x:v>
      </x:c>
      <x:c r="C930" s="167" t="str">
        <x:v>adj.</x:v>
      </x:c>
      <x:c r="D930" s="170" t="str">
        <x:v>вимовний</x:v>
      </x:c>
      <x:c r="E930" s="167" t="str">
        <x:v>No</x:v>
      </x:c>
      <x:c r="F930" s="167"/>
      <x:c r="G930" s="167" t="str">
        <x:v>Core</x:v>
      </x:c>
      <x:c r="H930" s="167" t="str">
        <x:v>General</x:v>
      </x:c>
      <x:c r="I930" s="167" t="str">
        <x:v>Not Started</x:v>
      </x:c>
      <x:c r="J930" s="167" t="n">
        <x:v>0</x:v>
      </x:c>
      <x:c r="K930" s="168"/>
      <x:c r="L930" s="168" t="str">
        <x:f>IF(OR(I930="Mastered",K930=""),"",K930+IF(J930&gt;=5,30,IF(J930=4,14,IF(J930=3,7,IF(J930=2,3,1)))))</x:f>
      </x:c>
      <x:c r="M930" s="171" t="str"/>
      <x:c r="N930" s="171" t="str"/>
      <x:c r="O930" s="171" t="str">
        <x:v>Draft — verify in context</x:v>
      </x:c>
      <x:c r="P930" s="167" t="str">
        <x:v>https://www.oxfordlearnersdictionaries.com/wordlists/oxford3000-5000</x:v>
      </x:c>
    </x:row>
    <x:row r="931" ht="26" customHeight="1">
      <x:c r="A931" s="167" t="n">
        <x:v>930</x:v>
      </x:c>
      <x:c r="B931" s="167" t="str">
        <x:v>propaganda</x:v>
      </x:c>
      <x:c r="C931" s="167" t="str">
        <x:v>n.</x:v>
      </x:c>
      <x:c r="D931" s="170" t="str">
        <x:v>пропаганда</x:v>
      </x:c>
      <x:c r="E931" s="167" t="str">
        <x:v>No</x:v>
      </x:c>
      <x:c r="F931" s="167"/>
      <x:c r="G931" s="167" t="str">
        <x:v>Core</x:v>
      </x:c>
      <x:c r="H931" s="167" t="str">
        <x:v>General</x:v>
      </x:c>
      <x:c r="I931" s="167" t="str">
        <x:v>Not Started</x:v>
      </x:c>
      <x:c r="J931" s="167" t="n">
        <x:v>0</x:v>
      </x:c>
      <x:c r="K931" s="168"/>
      <x:c r="L931" s="168" t="str">
        <x:f>IF(OR(I931="Mastered",K931=""),"",K931+IF(J931&gt;=5,30,IF(J931=4,14,IF(J931=3,7,IF(J931=2,3,1)))))</x:f>
      </x:c>
      <x:c r="M931" s="171" t="str"/>
      <x:c r="N931" s="171" t="str"/>
      <x:c r="O931" s="171" t="str">
        <x:v>Draft — verify in context</x:v>
      </x:c>
      <x:c r="P931" s="167" t="str">
        <x:v>https://www.oxfordlearnersdictionaries.com/wordlists/oxford3000-5000</x:v>
      </x:c>
    </x:row>
    <x:row r="932" ht="26" customHeight="1">
      <x:c r="A932" s="167" t="n">
        <x:v>931</x:v>
      </x:c>
      <x:c r="B932" s="167" t="str">
        <x:v>proposition</x:v>
      </x:c>
      <x:c r="C932" s="167" t="str">
        <x:v>n.</x:v>
      </x:c>
      <x:c r="D932" s="170" t="str">
        <x:v>пропозиція</x:v>
      </x:c>
      <x:c r="E932" s="167" t="str">
        <x:v>No</x:v>
      </x:c>
      <x:c r="F932" s="167"/>
      <x:c r="G932" s="167" t="str">
        <x:v>Core</x:v>
      </x:c>
      <x:c r="H932" s="167" t="str">
        <x:v>General</x:v>
      </x:c>
      <x:c r="I932" s="167" t="str">
        <x:v>Not Started</x:v>
      </x:c>
      <x:c r="J932" s="167" t="n">
        <x:v>0</x:v>
      </x:c>
      <x:c r="K932" s="168"/>
      <x:c r="L932" s="168" t="str">
        <x:f>IF(OR(I932="Mastered",K932=""),"",K932+IF(J932&gt;=5,30,IF(J932=4,14,IF(J932=3,7,IF(J932=2,3,1)))))</x:f>
      </x:c>
      <x:c r="M932" s="171" t="str"/>
      <x:c r="N932" s="171" t="str"/>
      <x:c r="O932" s="171" t="str">
        <x:v>Draft — verify in context</x:v>
      </x:c>
      <x:c r="P932" s="167" t="str">
        <x:v>https://www.oxfordlearnersdictionaries.com/wordlists/oxford3000-5000</x:v>
      </x:c>
    </x:row>
    <x:row r="933" ht="26" customHeight="1">
      <x:c r="A933" s="167" t="n">
        <x:v>932</x:v>
      </x:c>
      <x:c r="B933" s="167" t="str">
        <x:v>prosecute</x:v>
      </x:c>
      <x:c r="C933" s="167" t="str">
        <x:v>v.</x:v>
      </x:c>
      <x:c r="D933" s="170" t="str">
        <x:v>переслідувати</x:v>
      </x:c>
      <x:c r="E933" s="167" t="str">
        <x:v>No</x:v>
      </x:c>
      <x:c r="F933" s="167"/>
      <x:c r="G933" s="167" t="str">
        <x:v>Core</x:v>
      </x:c>
      <x:c r="H933" s="167" t="str">
        <x:v>General</x:v>
      </x:c>
      <x:c r="I933" s="167" t="str">
        <x:v>Not Started</x:v>
      </x:c>
      <x:c r="J933" s="167" t="n">
        <x:v>0</x:v>
      </x:c>
      <x:c r="K933" s="168"/>
      <x:c r="L933" s="168" t="str">
        <x:f>IF(OR(I933="Mastered",K933=""),"",K933+IF(J933&gt;=5,30,IF(J933=4,14,IF(J933=3,7,IF(J933=2,3,1)))))</x:f>
      </x:c>
      <x:c r="M933" s="171" t="str"/>
      <x:c r="N933" s="171" t="str"/>
      <x:c r="O933" s="171" t="str">
        <x:v>Draft — verify in context</x:v>
      </x:c>
      <x:c r="P933" s="167" t="str">
        <x:v>https://www.oxfordlearnersdictionaries.com/wordlists/oxford3000-5000</x:v>
      </x:c>
    </x:row>
    <x:row r="934" ht="26" customHeight="1">
      <x:c r="A934" s="167" t="n">
        <x:v>933</x:v>
      </x:c>
      <x:c r="B934" s="167" t="str">
        <x:v>prosecution</x:v>
      </x:c>
      <x:c r="C934" s="167" t="str">
        <x:v>n.</x:v>
      </x:c>
      <x:c r="D934" s="170" t="str">
        <x:v>переслідування</x:v>
      </x:c>
      <x:c r="E934" s="167" t="str">
        <x:v>No</x:v>
      </x:c>
      <x:c r="F934" s="167"/>
      <x:c r="G934" s="167" t="str">
        <x:v>Core</x:v>
      </x:c>
      <x:c r="H934" s="167" t="str">
        <x:v>General</x:v>
      </x:c>
      <x:c r="I934" s="167" t="str">
        <x:v>Not Started</x:v>
      </x:c>
      <x:c r="J934" s="167" t="n">
        <x:v>0</x:v>
      </x:c>
      <x:c r="K934" s="168"/>
      <x:c r="L934" s="168" t="str">
        <x:f>IF(OR(I934="Mastered",K934=""),"",K934+IF(J934&gt;=5,30,IF(J934=4,14,IF(J934=3,7,IF(J934=2,3,1)))))</x:f>
      </x:c>
      <x:c r="M934" s="171" t="str"/>
      <x:c r="N934" s="171" t="str"/>
      <x:c r="O934" s="171" t="str">
        <x:v>Draft — verify in context</x:v>
      </x:c>
      <x:c r="P934" s="167" t="str">
        <x:v>https://www.oxfordlearnersdictionaries.com/wordlists/oxford3000-5000</x:v>
      </x:c>
    </x:row>
    <x:row r="935" ht="26" customHeight="1">
      <x:c r="A935" s="167" t="n">
        <x:v>934</x:v>
      </x:c>
      <x:c r="B935" s="167" t="str">
        <x:v>prosecutor</x:v>
      </x:c>
      <x:c r="C935" s="167" t="str">
        <x:v>n.</x:v>
      </x:c>
      <x:c r="D935" s="170" t="str">
        <x:v>прокурор</x:v>
      </x:c>
      <x:c r="E935" s="167" t="str">
        <x:v>No</x:v>
      </x:c>
      <x:c r="F935" s="167"/>
      <x:c r="G935" s="167" t="str">
        <x:v>High</x:v>
      </x:c>
      <x:c r="H935" s="167" t="str">
        <x:v>Government &amp; law</x:v>
      </x:c>
      <x:c r="I935" s="167" t="str">
        <x:v>Not Started</x:v>
      </x:c>
      <x:c r="J935" s="167" t="n">
        <x:v>0</x:v>
      </x:c>
      <x:c r="K935" s="168"/>
      <x:c r="L935" s="168" t="str">
        <x:f>IF(OR(I935="Mastered",K935=""),"",K935+IF(J935&gt;=5,30,IF(J935=4,14,IF(J935=3,7,IF(J935=2,3,1)))))</x:f>
      </x:c>
      <x:c r="M935" s="171" t="str"/>
      <x:c r="N935" s="171" t="str"/>
      <x:c r="O935" s="171" t="str">
        <x:v>Draft — verify in context</x:v>
      </x:c>
      <x:c r="P935" s="167" t="str">
        <x:v>https://www.oxfordlearnersdictionaries.com/wordlists/oxford3000-5000</x:v>
      </x:c>
    </x:row>
    <x:row r="936" ht="26" customHeight="1">
      <x:c r="A936" s="167" t="n">
        <x:v>935</x:v>
      </x:c>
      <x:c r="B936" s="167" t="str">
        <x:v>prospective</x:v>
      </x:c>
      <x:c r="C936" s="167" t="str">
        <x:v>adj.</x:v>
      </x:c>
      <x:c r="D936" s="170" t="str">
        <x:v>перспективний</x:v>
      </x:c>
      <x:c r="E936" s="167" t="str">
        <x:v>No</x:v>
      </x:c>
      <x:c r="F936" s="167"/>
      <x:c r="G936" s="167" t="str">
        <x:v>Core</x:v>
      </x:c>
      <x:c r="H936" s="167" t="str">
        <x:v>General</x:v>
      </x:c>
      <x:c r="I936" s="167" t="str">
        <x:v>Not Started</x:v>
      </x:c>
      <x:c r="J936" s="167" t="n">
        <x:v>0</x:v>
      </x:c>
      <x:c r="K936" s="168"/>
      <x:c r="L936" s="168" t="str">
        <x:f>IF(OR(I936="Mastered",K936=""),"",K936+IF(J936&gt;=5,30,IF(J936=4,14,IF(J936=3,7,IF(J936=2,3,1)))))</x:f>
      </x:c>
      <x:c r="M936" s="171" t="str"/>
      <x:c r="N936" s="171" t="str"/>
      <x:c r="O936" s="171" t="str">
        <x:v>Draft — verify in context</x:v>
      </x:c>
      <x:c r="P936" s="167" t="str">
        <x:v>https://www.oxfordlearnersdictionaries.com/wordlists/oxford3000-5000</x:v>
      </x:c>
    </x:row>
    <x:row r="937" ht="26" customHeight="1">
      <x:c r="A937" s="167" t="n">
        <x:v>936</x:v>
      </x:c>
      <x:c r="B937" s="167" t="str">
        <x:v>prosperity</x:v>
      </x:c>
      <x:c r="C937" s="167" t="str">
        <x:v>n.</x:v>
      </x:c>
      <x:c r="D937" s="170" t="str">
        <x:v>процвітання</x:v>
      </x:c>
      <x:c r="E937" s="167" t="str">
        <x:v>No</x:v>
      </x:c>
      <x:c r="F937" s="167"/>
      <x:c r="G937" s="167" t="str">
        <x:v>Core</x:v>
      </x:c>
      <x:c r="H937" s="167" t="str">
        <x:v>General</x:v>
      </x:c>
      <x:c r="I937" s="167" t="str">
        <x:v>Not Started</x:v>
      </x:c>
      <x:c r="J937" s="167" t="n">
        <x:v>0</x:v>
      </x:c>
      <x:c r="K937" s="168"/>
      <x:c r="L937" s="168" t="str">
        <x:f>IF(OR(I937="Mastered",K937=""),"",K937+IF(J937&gt;=5,30,IF(J937=4,14,IF(J937=3,7,IF(J937=2,3,1)))))</x:f>
      </x:c>
      <x:c r="M937" s="171" t="str"/>
      <x:c r="N937" s="171" t="str"/>
      <x:c r="O937" s="171" t="str">
        <x:v>Draft — verify in context</x:v>
      </x:c>
      <x:c r="P937" s="167" t="str">
        <x:v>https://www.oxfordlearnersdictionaries.com/wordlists/oxford3000-5000</x:v>
      </x:c>
    </x:row>
    <x:row r="938" ht="26" customHeight="1">
      <x:c r="A938" s="167" t="n">
        <x:v>937</x:v>
      </x:c>
      <x:c r="B938" s="167" t="str">
        <x:v>protective</x:v>
      </x:c>
      <x:c r="C938" s="167" t="str">
        <x:v>adj.</x:v>
      </x:c>
      <x:c r="D938" s="170" t="str">
        <x:v>захисний</x:v>
      </x:c>
      <x:c r="E938" s="167" t="str">
        <x:v>No</x:v>
      </x:c>
      <x:c r="F938" s="167"/>
      <x:c r="G938" s="167" t="str">
        <x:v>Core</x:v>
      </x:c>
      <x:c r="H938" s="167" t="str">
        <x:v>General</x:v>
      </x:c>
      <x:c r="I938" s="167" t="str">
        <x:v>Not Started</x:v>
      </x:c>
      <x:c r="J938" s="167" t="n">
        <x:v>0</x:v>
      </x:c>
      <x:c r="K938" s="168"/>
      <x:c r="L938" s="168" t="str">
        <x:f>IF(OR(I938="Mastered",K938=""),"",K938+IF(J938&gt;=5,30,IF(J938=4,14,IF(J938=3,7,IF(J938=2,3,1)))))</x:f>
      </x:c>
      <x:c r="M938" s="171" t="str"/>
      <x:c r="N938" s="171" t="str"/>
      <x:c r="O938" s="171" t="str">
        <x:v>Draft — verify in context</x:v>
      </x:c>
      <x:c r="P938" s="167" t="str">
        <x:v>https://www.oxfordlearnersdictionaries.com/wordlists/oxford3000-5000</x:v>
      </x:c>
    </x:row>
    <x:row r="939" ht="26" customHeight="1">
      <x:c r="A939" s="167" t="n">
        <x:v>938</x:v>
      </x:c>
      <x:c r="B939" s="167" t="str">
        <x:v>protocol</x:v>
      </x:c>
      <x:c r="C939" s="167" t="str">
        <x:v>n.</x:v>
      </x:c>
      <x:c r="D939" s="170" t="str">
        <x:v>протокол</x:v>
      </x:c>
      <x:c r="E939" s="167" t="str">
        <x:v>Yes</x:v>
      </x:c>
      <x:c r="F939" s="167" t="n">
        <x:v>9</x:v>
      </x:c>
      <x:c r="G939" s="167" t="str">
        <x:v>High</x:v>
      </x:c>
      <x:c r="H939" s="167" t="str">
        <x:v>Technology</x:v>
      </x:c>
      <x:c r="I939" s="167" t="str">
        <x:v>Not Started</x:v>
      </x:c>
      <x:c r="J939" s="167" t="n">
        <x:v>0</x:v>
      </x:c>
      <x:c r="K939" s="168"/>
      <x:c r="L939" s="168" t="str">
        <x:f>IF(OR(I939="Mastered",K939=""),"",K939+IF(J939&gt;=5,30,IF(J939=4,14,IF(J939=3,7,IF(J939=2,3,1)))))</x:f>
      </x:c>
      <x:c r="M939" s="171" t="str"/>
      <x:c r="N939" s="171" t="str"/>
      <x:c r="O939" s="171" t="str">
        <x:v>Draft — verify in context</x:v>
      </x:c>
      <x:c r="P939" s="167" t="str">
        <x:v>https://www.oxfordlearnersdictionaries.com/wordlists/oxford3000-5000</x:v>
      </x:c>
    </x:row>
    <x:row r="940" ht="26" customHeight="1">
      <x:c r="A940" s="167" t="n">
        <x:v>939</x:v>
      </x:c>
      <x:c r="B940" s="167" t="str">
        <x:v>province</x:v>
      </x:c>
      <x:c r="C940" s="167" t="str">
        <x:v>n.</x:v>
      </x:c>
      <x:c r="D940" s="170" t="str">
        <x:v>провінція</x:v>
      </x:c>
      <x:c r="E940" s="167" t="str">
        <x:v>No</x:v>
      </x:c>
      <x:c r="F940" s="167"/>
      <x:c r="G940" s="167" t="str">
        <x:v>Core</x:v>
      </x:c>
      <x:c r="H940" s="167" t="str">
        <x:v>General</x:v>
      </x:c>
      <x:c r="I940" s="167" t="str">
        <x:v>Not Started</x:v>
      </x:c>
      <x:c r="J940" s="167" t="n">
        <x:v>0</x:v>
      </x:c>
      <x:c r="K940" s="168"/>
      <x:c r="L940" s="168" t="str">
        <x:f>IF(OR(I940="Mastered",K940=""),"",K940+IF(J940&gt;=5,30,IF(J940=4,14,IF(J940=3,7,IF(J940=2,3,1)))))</x:f>
      </x:c>
      <x:c r="M940" s="171" t="str"/>
      <x:c r="N940" s="171" t="str"/>
      <x:c r="O940" s="171" t="str">
        <x:v>Draft — verify in context</x:v>
      </x:c>
      <x:c r="P940" s="167" t="str">
        <x:v>https://www.oxfordlearnersdictionaries.com/wordlists/oxford3000-5000</x:v>
      </x:c>
    </x:row>
    <x:row r="941" ht="26" customHeight="1">
      <x:c r="A941" s="167" t="n">
        <x:v>940</x:v>
      </x:c>
      <x:c r="B941" s="167" t="str">
        <x:v>provincial</x:v>
      </x:c>
      <x:c r="C941" s="167" t="str">
        <x:v>adj.</x:v>
      </x:c>
      <x:c r="D941" s="170" t="str">
        <x:v>провінційний</x:v>
      </x:c>
      <x:c r="E941" s="167" t="str">
        <x:v>No</x:v>
      </x:c>
      <x:c r="F941" s="167"/>
      <x:c r="G941" s="167" t="str">
        <x:v>Core</x:v>
      </x:c>
      <x:c r="H941" s="167" t="str">
        <x:v>General</x:v>
      </x:c>
      <x:c r="I941" s="167" t="str">
        <x:v>Not Started</x:v>
      </x:c>
      <x:c r="J941" s="167" t="n">
        <x:v>0</x:v>
      </x:c>
      <x:c r="K941" s="168"/>
      <x:c r="L941" s="168" t="str">
        <x:f>IF(OR(I941="Mastered",K941=""),"",K941+IF(J941&gt;=5,30,IF(J941=4,14,IF(J941=3,7,IF(J941=2,3,1)))))</x:f>
      </x:c>
      <x:c r="M941" s="171" t="str"/>
      <x:c r="N941" s="171" t="str"/>
      <x:c r="O941" s="171" t="str">
        <x:v>Draft — verify in context</x:v>
      </x:c>
      <x:c r="P941" s="167" t="str">
        <x:v>https://www.oxfordlearnersdictionaries.com/wordlists/oxford3000-5000</x:v>
      </x:c>
    </x:row>
    <x:row r="942" ht="26" customHeight="1">
      <x:c r="A942" s="167" t="n">
        <x:v>941</x:v>
      </x:c>
      <x:c r="B942" s="167" t="str">
        <x:v>provision</x:v>
      </x:c>
      <x:c r="C942" s="167" t="str">
        <x:v>n.</x:v>
      </x:c>
      <x:c r="D942" s="170" t="str">
        <x:v>забезпечення</x:v>
      </x:c>
      <x:c r="E942" s="167" t="str">
        <x:v>No</x:v>
      </x:c>
      <x:c r="F942" s="167"/>
      <x:c r="G942" s="167" t="str">
        <x:v>Core</x:v>
      </x:c>
      <x:c r="H942" s="167" t="str">
        <x:v>General</x:v>
      </x:c>
      <x:c r="I942" s="167" t="str">
        <x:v>Not Started</x:v>
      </x:c>
      <x:c r="J942" s="167" t="n">
        <x:v>0</x:v>
      </x:c>
      <x:c r="K942" s="168"/>
      <x:c r="L942" s="168" t="str">
        <x:f>IF(OR(I942="Mastered",K942=""),"",K942+IF(J942&gt;=5,30,IF(J942=4,14,IF(J942=3,7,IF(J942=2,3,1)))))</x:f>
      </x:c>
      <x:c r="M942" s="171" t="str"/>
      <x:c r="N942" s="171" t="str"/>
      <x:c r="O942" s="171" t="str">
        <x:v>Draft — verify in context</x:v>
      </x:c>
      <x:c r="P942" s="167" t="str">
        <x:v>https://www.oxfordlearnersdictionaries.com/wordlists/oxford3000-5000</x:v>
      </x:c>
    </x:row>
    <x:row r="943" ht="26" customHeight="1">
      <x:c r="A943" s="167" t="n">
        <x:v>942</x:v>
      </x:c>
      <x:c r="B943" s="167" t="str">
        <x:v>provoke</x:v>
      </x:c>
      <x:c r="C943" s="167" t="str">
        <x:v>v.</x:v>
      </x:c>
      <x:c r="D943" s="170" t="str">
        <x:v>провокувати</x:v>
      </x:c>
      <x:c r="E943" s="167" t="str">
        <x:v>No</x:v>
      </x:c>
      <x:c r="F943" s="167"/>
      <x:c r="G943" s="167" t="str">
        <x:v>Core</x:v>
      </x:c>
      <x:c r="H943" s="167" t="str">
        <x:v>General</x:v>
      </x:c>
      <x:c r="I943" s="167" t="str">
        <x:v>Not Started</x:v>
      </x:c>
      <x:c r="J943" s="167" t="n">
        <x:v>0</x:v>
      </x:c>
      <x:c r="K943" s="168"/>
      <x:c r="L943" s="168" t="str">
        <x:f>IF(OR(I943="Mastered",K943=""),"",K943+IF(J943&gt;=5,30,IF(J943=4,14,IF(J943=3,7,IF(J943=2,3,1)))))</x:f>
      </x:c>
      <x:c r="M943" s="171" t="str"/>
      <x:c r="N943" s="171" t="str"/>
      <x:c r="O943" s="171" t="str">
        <x:v>Draft — verify in context</x:v>
      </x:c>
      <x:c r="P943" s="167" t="str">
        <x:v>https://www.oxfordlearnersdictionaries.com/wordlists/oxford3000-5000</x:v>
      </x:c>
    </x:row>
    <x:row r="944" ht="26" customHeight="1">
      <x:c r="A944" s="167" t="n">
        <x:v>943</x:v>
      </x:c>
      <x:c r="B944" s="167" t="str">
        <x:v>psychiatric</x:v>
      </x:c>
      <x:c r="C944" s="167" t="str">
        <x:v>adj.</x:v>
      </x:c>
      <x:c r="D944" s="170" t="str">
        <x:v>психіатричний</x:v>
      </x:c>
      <x:c r="E944" s="167" t="str">
        <x:v>No</x:v>
      </x:c>
      <x:c r="F944" s="167"/>
      <x:c r="G944" s="167" t="str">
        <x:v>High</x:v>
      </x:c>
      <x:c r="H944" s="167" t="str">
        <x:v>Health</x:v>
      </x:c>
      <x:c r="I944" s="167" t="str">
        <x:v>Not Started</x:v>
      </x:c>
      <x:c r="J944" s="167" t="n">
        <x:v>0</x:v>
      </x:c>
      <x:c r="K944" s="168"/>
      <x:c r="L944" s="168" t="str">
        <x:f>IF(OR(I944="Mastered",K944=""),"",K944+IF(J944&gt;=5,30,IF(J944=4,14,IF(J944=3,7,IF(J944=2,3,1)))))</x:f>
      </x:c>
      <x:c r="M944" s="171" t="str"/>
      <x:c r="N944" s="171" t="str"/>
      <x:c r="O944" s="171" t="str">
        <x:v>Draft — verify in context</x:v>
      </x:c>
      <x:c r="P944" s="167" t="str">
        <x:v>https://www.oxfordlearnersdictionaries.com/wordlists/oxford3000-5000</x:v>
      </x:c>
    </x:row>
    <x:row r="945" ht="26" customHeight="1">
      <x:c r="A945" s="167" t="n">
        <x:v>944</x:v>
      </x:c>
      <x:c r="B945" s="167" t="str">
        <x:v>pulse</x:v>
      </x:c>
      <x:c r="C945" s="167" t="str">
        <x:v>n.</x:v>
      </x:c>
      <x:c r="D945" s="170" t="str">
        <x:v>пульс</x:v>
      </x:c>
      <x:c r="E945" s="167" t="str">
        <x:v>No</x:v>
      </x:c>
      <x:c r="F945" s="167"/>
      <x:c r="G945" s="167" t="str">
        <x:v>Core</x:v>
      </x:c>
      <x:c r="H945" s="167" t="str">
        <x:v>General</x:v>
      </x:c>
      <x:c r="I945" s="167" t="str">
        <x:v>Not Started</x:v>
      </x:c>
      <x:c r="J945" s="167" t="n">
        <x:v>0</x:v>
      </x:c>
      <x:c r="K945" s="168"/>
      <x:c r="L945" s="168" t="str">
        <x:f>IF(OR(I945="Mastered",K945=""),"",K945+IF(J945&gt;=5,30,IF(J945=4,14,IF(J945=3,7,IF(J945=2,3,1)))))</x:f>
      </x:c>
      <x:c r="M945" s="171" t="str"/>
      <x:c r="N945" s="171" t="str"/>
      <x:c r="O945" s="171" t="str">
        <x:v>Draft — verify in context</x:v>
      </x:c>
      <x:c r="P945" s="167" t="str">
        <x:v>https://www.oxfordlearnersdictionaries.com/wordlists/oxford3000-5000</x:v>
      </x:c>
    </x:row>
    <x:row r="946" ht="26" customHeight="1">
      <x:c r="A946" s="167" t="n">
        <x:v>945</x:v>
      </x:c>
      <x:c r="B946" s="167" t="str">
        <x:v>pump</x:v>
      </x:c>
      <x:c r="C946" s="167" t="str">
        <x:v>v., n.</x:v>
      </x:c>
      <x:c r="D946" s="170" t="str">
        <x:v>насос</x:v>
      </x:c>
      <x:c r="E946" s="167" t="str">
        <x:v>No</x:v>
      </x:c>
      <x:c r="F946" s="167"/>
      <x:c r="G946" s="167" t="str">
        <x:v>Core</x:v>
      </x:c>
      <x:c r="H946" s="167" t="str">
        <x:v>General</x:v>
      </x:c>
      <x:c r="I946" s="167" t="str">
        <x:v>Not Started</x:v>
      </x:c>
      <x:c r="J946" s="167" t="n">
        <x:v>0</x:v>
      </x:c>
      <x:c r="K946" s="168"/>
      <x:c r="L946" s="168" t="str">
        <x:f>IF(OR(I946="Mastered",K946=""),"",K946+IF(J946&gt;=5,30,IF(J946=4,14,IF(J946=3,7,IF(J946=2,3,1)))))</x:f>
      </x:c>
      <x:c r="M946" s="171" t="str"/>
      <x:c r="N946" s="171" t="str"/>
      <x:c r="O946" s="171" t="str">
        <x:v>Draft — verify in context</x:v>
      </x:c>
      <x:c r="P946" s="167" t="str">
        <x:v>https://www.oxfordlearnersdictionaries.com/wordlists/oxford3000-5000</x:v>
      </x:c>
    </x:row>
    <x:row r="947" ht="26" customHeight="1">
      <x:c r="A947" s="167" t="n">
        <x:v>946</x:v>
      </x:c>
      <x:c r="B947" s="167" t="str">
        <x:v>punch</x:v>
      </x:c>
      <x:c r="C947" s="167" t="str">
        <x:v>n., v.</x:v>
      </x:c>
      <x:c r="D947" s="170" t="str">
        <x:v>удар</x:v>
      </x:c>
      <x:c r="E947" s="167" t="str">
        <x:v>No</x:v>
      </x:c>
      <x:c r="F947" s="167"/>
      <x:c r="G947" s="167" t="str">
        <x:v>Core</x:v>
      </x:c>
      <x:c r="H947" s="167" t="str">
        <x:v>General</x:v>
      </x:c>
      <x:c r="I947" s="167" t="str">
        <x:v>Not Started</x:v>
      </x:c>
      <x:c r="J947" s="167" t="n">
        <x:v>0</x:v>
      </x:c>
      <x:c r="K947" s="168"/>
      <x:c r="L947" s="168" t="str">
        <x:f>IF(OR(I947="Mastered",K947=""),"",K947+IF(J947&gt;=5,30,IF(J947=4,14,IF(J947=3,7,IF(J947=2,3,1)))))</x:f>
      </x:c>
      <x:c r="M947" s="171" t="str"/>
      <x:c r="N947" s="171" t="str"/>
      <x:c r="O947" s="171" t="str">
        <x:v>Draft — verify in context</x:v>
      </x:c>
      <x:c r="P947" s="167" t="str">
        <x:v>https://www.oxfordlearnersdictionaries.com/wordlists/oxford3000-5000</x:v>
      </x:c>
    </x:row>
    <x:row r="948" ht="26" customHeight="1">
      <x:c r="A948" s="167" t="n">
        <x:v>947</x:v>
      </x:c>
      <x:c r="B948" s="167" t="str">
        <x:v>query</x:v>
      </x:c>
      <x:c r="C948" s="167" t="str">
        <x:v>n.</x:v>
      </x:c>
      <x:c r="D948" s="170" t="str">
        <x:v>запит</x:v>
      </x:c>
      <x:c r="E948" s="167" t="str">
        <x:v>No</x:v>
      </x:c>
      <x:c r="F948" s="167"/>
      <x:c r="G948" s="167" t="str">
        <x:v>Core</x:v>
      </x:c>
      <x:c r="H948" s="167" t="str">
        <x:v>General</x:v>
      </x:c>
      <x:c r="I948" s="167" t="str">
        <x:v>Not Started</x:v>
      </x:c>
      <x:c r="J948" s="167" t="n">
        <x:v>0</x:v>
      </x:c>
      <x:c r="K948" s="168"/>
      <x:c r="L948" s="168" t="str">
        <x:f>IF(OR(I948="Mastered",K948=""),"",K948+IF(J948&gt;=5,30,IF(J948=4,14,IF(J948=3,7,IF(J948=2,3,1)))))</x:f>
      </x:c>
      <x:c r="M948" s="171" t="str"/>
      <x:c r="N948" s="171" t="str"/>
      <x:c r="O948" s="171" t="str">
        <x:v>Draft — verify in context</x:v>
      </x:c>
      <x:c r="P948" s="167" t="str">
        <x:v>https://www.oxfordlearnersdictionaries.com/wordlists/oxford3000-5000</x:v>
      </x:c>
    </x:row>
    <x:row r="949" ht="26" customHeight="1">
      <x:c r="A949" s="167" t="n">
        <x:v>948</x:v>
      </x:c>
      <x:c r="B949" s="167" t="str">
        <x:v>quest</x:v>
      </x:c>
      <x:c r="C949" s="167" t="str">
        <x:v>n.</x:v>
      </x:c>
      <x:c r="D949" s="170" t="str">
        <x:v>квест</x:v>
      </x:c>
      <x:c r="E949" s="167" t="str">
        <x:v>No</x:v>
      </x:c>
      <x:c r="F949" s="167"/>
      <x:c r="G949" s="167" t="str">
        <x:v>Core</x:v>
      </x:c>
      <x:c r="H949" s="167" t="str">
        <x:v>General</x:v>
      </x:c>
      <x:c r="I949" s="167" t="str">
        <x:v>Not Started</x:v>
      </x:c>
      <x:c r="J949" s="167" t="n">
        <x:v>0</x:v>
      </x:c>
      <x:c r="K949" s="168"/>
      <x:c r="L949" s="168" t="str">
        <x:f>IF(OR(I949="Mastered",K949=""),"",K949+IF(J949&gt;=5,30,IF(J949=4,14,IF(J949=3,7,IF(J949=2,3,1)))))</x:f>
      </x:c>
      <x:c r="M949" s="171" t="str"/>
      <x:c r="N949" s="171" t="str"/>
      <x:c r="O949" s="171" t="str">
        <x:v>Draft — verify in context</x:v>
      </x:c>
      <x:c r="P949" s="167" t="str">
        <x:v>https://www.oxfordlearnersdictionaries.com/wordlists/oxford3000-5000</x:v>
      </x:c>
    </x:row>
    <x:row r="950" ht="26" customHeight="1">
      <x:c r="A950" s="167" t="n">
        <x:v>949</x:v>
      </x:c>
      <x:c r="B950" s="167" t="str">
        <x:v>quota</x:v>
      </x:c>
      <x:c r="C950" s="167" t="str">
        <x:v>n.</x:v>
      </x:c>
      <x:c r="D950" s="170" t="str">
        <x:v>квота</x:v>
      </x:c>
      <x:c r="E950" s="167" t="str">
        <x:v>No</x:v>
      </x:c>
      <x:c r="F950" s="167"/>
      <x:c r="G950" s="167" t="str">
        <x:v>Core</x:v>
      </x:c>
      <x:c r="H950" s="167" t="str">
        <x:v>General</x:v>
      </x:c>
      <x:c r="I950" s="167" t="str">
        <x:v>Not Started</x:v>
      </x:c>
      <x:c r="J950" s="167" t="n">
        <x:v>0</x:v>
      </x:c>
      <x:c r="K950" s="168"/>
      <x:c r="L950" s="168" t="str">
        <x:f>IF(OR(I950="Mastered",K950=""),"",K950+IF(J950&gt;=5,30,IF(J950=4,14,IF(J950=3,7,IF(J950=2,3,1)))))</x:f>
      </x:c>
      <x:c r="M950" s="171" t="str"/>
      <x:c r="N950" s="171" t="str"/>
      <x:c r="O950" s="171" t="str">
        <x:v>Draft — verify in context</x:v>
      </x:c>
      <x:c r="P950" s="167" t="str">
        <x:v>https://www.oxfordlearnersdictionaries.com/wordlists/oxford3000-5000</x:v>
      </x:c>
    </x:row>
    <x:row r="951" ht="26" customHeight="1">
      <x:c r="A951" s="167" t="n">
        <x:v>950</x:v>
      </x:c>
      <x:c r="B951" s="167" t="str">
        <x:v>radar</x:v>
      </x:c>
      <x:c r="C951" s="167" t="str">
        <x:v>n.</x:v>
      </x:c>
      <x:c r="D951" s="170" t="str">
        <x:v>радар</x:v>
      </x:c>
      <x:c r="E951" s="167" t="str">
        <x:v>No</x:v>
      </x:c>
      <x:c r="F951" s="167"/>
      <x:c r="G951" s="167" t="str">
        <x:v>Core</x:v>
      </x:c>
      <x:c r="H951" s="167" t="str">
        <x:v>General</x:v>
      </x:c>
      <x:c r="I951" s="167" t="str">
        <x:v>Not Started</x:v>
      </x:c>
      <x:c r="J951" s="167" t="n">
        <x:v>0</x:v>
      </x:c>
      <x:c r="K951" s="168"/>
      <x:c r="L951" s="168" t="str">
        <x:f>IF(OR(I951="Mastered",K951=""),"",K951+IF(J951&gt;=5,30,IF(J951=4,14,IF(J951=3,7,IF(J951=2,3,1)))))</x:f>
      </x:c>
      <x:c r="M951" s="171" t="str"/>
      <x:c r="N951" s="171" t="str"/>
      <x:c r="O951" s="171" t="str">
        <x:v>Draft — verify in context</x:v>
      </x:c>
      <x:c r="P951" s="167" t="str">
        <x:v>https://www.oxfordlearnersdictionaries.com/wordlists/oxford3000-5000</x:v>
      </x:c>
    </x:row>
    <x:row r="952" ht="26" customHeight="1">
      <x:c r="A952" s="167" t="n">
        <x:v>951</x:v>
      </x:c>
      <x:c r="B952" s="167" t="str">
        <x:v>radical</x:v>
      </x:c>
      <x:c r="C952" s="167" t="str">
        <x:v>adj.</x:v>
      </x:c>
      <x:c r="D952" s="170" t="str">
        <x:v>радикальний</x:v>
      </x:c>
      <x:c r="E952" s="167" t="str">
        <x:v>Yes</x:v>
      </x:c>
      <x:c r="F952" s="167" t="n">
        <x:v>8</x:v>
      </x:c>
      <x:c r="G952" s="167" t="str">
        <x:v>High</x:v>
      </x:c>
      <x:c r="H952" s="167" t="str">
        <x:v>General</x:v>
      </x:c>
      <x:c r="I952" s="167" t="str">
        <x:v>Not Started</x:v>
      </x:c>
      <x:c r="J952" s="167" t="n">
        <x:v>0</x:v>
      </x:c>
      <x:c r="K952" s="168"/>
      <x:c r="L952" s="168" t="str">
        <x:f>IF(OR(I952="Mastered",K952=""),"",K952+IF(J952&gt;=5,30,IF(J952=4,14,IF(J952=3,7,IF(J952=2,3,1)))))</x:f>
      </x:c>
      <x:c r="M952" s="171" t="str"/>
      <x:c r="N952" s="171" t="str"/>
      <x:c r="O952" s="171" t="str">
        <x:v>Draft — verify in context</x:v>
      </x:c>
      <x:c r="P952" s="167" t="str">
        <x:v>https://www.oxfordlearnersdictionaries.com/wordlists/oxford3000-5000</x:v>
      </x:c>
    </x:row>
    <x:row r="953" ht="26" customHeight="1">
      <x:c r="A953" s="167" t="n">
        <x:v>952</x:v>
      </x:c>
      <x:c r="B953" s="167" t="str">
        <x:v>rage</x:v>
      </x:c>
      <x:c r="C953" s="167" t="str">
        <x:v>n.</x:v>
      </x:c>
      <x:c r="D953" s="170" t="str">
        <x:v>лють</x:v>
      </x:c>
      <x:c r="E953" s="167" t="str">
        <x:v>No</x:v>
      </x:c>
      <x:c r="F953" s="167"/>
      <x:c r="G953" s="167" t="str">
        <x:v>Core</x:v>
      </x:c>
      <x:c r="H953" s="167" t="str">
        <x:v>General</x:v>
      </x:c>
      <x:c r="I953" s="167" t="str">
        <x:v>Not Started</x:v>
      </x:c>
      <x:c r="J953" s="167" t="n">
        <x:v>0</x:v>
      </x:c>
      <x:c r="K953" s="168"/>
      <x:c r="L953" s="168" t="str">
        <x:f>IF(OR(I953="Mastered",K953=""),"",K953+IF(J953&gt;=5,30,IF(J953=4,14,IF(J953=3,7,IF(J953=2,3,1)))))</x:f>
      </x:c>
      <x:c r="M953" s="171" t="str"/>
      <x:c r="N953" s="171" t="str"/>
      <x:c r="O953" s="171" t="str">
        <x:v>Draft — verify in context</x:v>
      </x:c>
      <x:c r="P953" s="167" t="str">
        <x:v>https://www.oxfordlearnersdictionaries.com/wordlists/oxford3000-5000</x:v>
      </x:c>
    </x:row>
    <x:row r="954" ht="26" customHeight="1">
      <x:c r="A954" s="167" t="n">
        <x:v>953</x:v>
      </x:c>
      <x:c r="B954" s="167" t="str">
        <x:v>raid</x:v>
      </x:c>
      <x:c r="C954" s="167" t="str">
        <x:v>n., v.</x:v>
      </x:c>
      <x:c r="D954" s="170" t="str">
        <x:v>рейд</x:v>
      </x:c>
      <x:c r="E954" s="167" t="str">
        <x:v>No</x:v>
      </x:c>
      <x:c r="F954" s="167"/>
      <x:c r="G954" s="167" t="str">
        <x:v>Core</x:v>
      </x:c>
      <x:c r="H954" s="167" t="str">
        <x:v>General</x:v>
      </x:c>
      <x:c r="I954" s="167" t="str">
        <x:v>Not Started</x:v>
      </x:c>
      <x:c r="J954" s="167" t="n">
        <x:v>0</x:v>
      </x:c>
      <x:c r="K954" s="168"/>
      <x:c r="L954" s="168" t="str">
        <x:f>IF(OR(I954="Mastered",K954=""),"",K954+IF(J954&gt;=5,30,IF(J954=4,14,IF(J954=3,7,IF(J954=2,3,1)))))</x:f>
      </x:c>
      <x:c r="M954" s="171" t="str"/>
      <x:c r="N954" s="171" t="str"/>
      <x:c r="O954" s="171" t="str">
        <x:v>Draft — verify in context</x:v>
      </x:c>
      <x:c r="P954" s="167" t="str">
        <x:v>https://www.oxfordlearnersdictionaries.com/wordlists/oxford3000-5000</x:v>
      </x:c>
    </x:row>
    <x:row r="955" ht="26" customHeight="1">
      <x:c r="A955" s="167" t="n">
        <x:v>954</x:v>
      </x:c>
      <x:c r="B955" s="167" t="str">
        <x:v>rally</x:v>
      </x:c>
      <x:c r="C955" s="167" t="str">
        <x:v>n., v.</x:v>
      </x:c>
      <x:c r="D955" s="170" t="str">
        <x:v>мітинг</x:v>
      </x:c>
      <x:c r="E955" s="167" t="str">
        <x:v>No</x:v>
      </x:c>
      <x:c r="F955" s="167"/>
      <x:c r="G955" s="167" t="str">
        <x:v>Core</x:v>
      </x:c>
      <x:c r="H955" s="167" t="str">
        <x:v>General</x:v>
      </x:c>
      <x:c r="I955" s="167" t="str">
        <x:v>Not Started</x:v>
      </x:c>
      <x:c r="J955" s="167" t="n">
        <x:v>0</x:v>
      </x:c>
      <x:c r="K955" s="168"/>
      <x:c r="L955" s="168" t="str">
        <x:f>IF(OR(I955="Mastered",K955=""),"",K955+IF(J955&gt;=5,30,IF(J955=4,14,IF(J955=3,7,IF(J955=2,3,1)))))</x:f>
      </x:c>
      <x:c r="M955" s="171" t="str"/>
      <x:c r="N955" s="171" t="str"/>
      <x:c r="O955" s="171" t="str">
        <x:v>Draft — verify in context</x:v>
      </x:c>
      <x:c r="P955" s="167" t="str">
        <x:v>https://www.oxfordlearnersdictionaries.com/wordlists/oxford3000-5000</x:v>
      </x:c>
    </x:row>
    <x:row r="956" ht="26" customHeight="1">
      <x:c r="A956" s="167" t="n">
        <x:v>955</x:v>
      </x:c>
      <x:c r="B956" s="167" t="str">
        <x:v>ranking</x:v>
      </x:c>
      <x:c r="C956" s="167" t="str">
        <x:v>n.</x:v>
      </x:c>
      <x:c r="D956" s="170" t="str">
        <x:v>рейтинг</x:v>
      </x:c>
      <x:c r="E956" s="167" t="str">
        <x:v>No</x:v>
      </x:c>
      <x:c r="F956" s="167"/>
      <x:c r="G956" s="167" t="str">
        <x:v>Core</x:v>
      </x:c>
      <x:c r="H956" s="167" t="str">
        <x:v>General</x:v>
      </x:c>
      <x:c r="I956" s="167" t="str">
        <x:v>Not Started</x:v>
      </x:c>
      <x:c r="J956" s="167" t="n">
        <x:v>0</x:v>
      </x:c>
      <x:c r="K956" s="168"/>
      <x:c r="L956" s="168" t="str">
        <x:f>IF(OR(I956="Mastered",K956=""),"",K956+IF(J956&gt;=5,30,IF(J956=4,14,IF(J956=3,7,IF(J956=2,3,1)))))</x:f>
      </x:c>
      <x:c r="M956" s="171" t="str"/>
      <x:c r="N956" s="171" t="str"/>
      <x:c r="O956" s="171" t="str">
        <x:v>Draft — verify in context</x:v>
      </x:c>
      <x:c r="P956" s="167" t="str">
        <x:v>https://www.oxfordlearnersdictionaries.com/wordlists/oxford3000-5000</x:v>
      </x:c>
    </x:row>
    <x:row r="957" ht="26" customHeight="1">
      <x:c r="A957" s="167" t="n">
        <x:v>956</x:v>
      </x:c>
      <x:c r="B957" s="167" t="str">
        <x:v>rape</x:v>
      </x:c>
      <x:c r="C957" s="167" t="str">
        <x:v>n., v.</x:v>
      </x:c>
      <x:c r="D957" s="170" t="str">
        <x:v>зґвалтування</x:v>
      </x:c>
      <x:c r="E957" s="167" t="str">
        <x:v>No</x:v>
      </x:c>
      <x:c r="F957" s="167"/>
      <x:c r="G957" s="167" t="str">
        <x:v>Core</x:v>
      </x:c>
      <x:c r="H957" s="167" t="str">
        <x:v>General</x:v>
      </x:c>
      <x:c r="I957" s="167" t="str">
        <x:v>Not Started</x:v>
      </x:c>
      <x:c r="J957" s="167" t="n">
        <x:v>0</x:v>
      </x:c>
      <x:c r="K957" s="168"/>
      <x:c r="L957" s="168" t="str">
        <x:f>IF(OR(I957="Mastered",K957=""),"",K957+IF(J957&gt;=5,30,IF(J957=4,14,IF(J957=3,7,IF(J957=2,3,1)))))</x:f>
      </x:c>
      <x:c r="M957" s="171" t="str"/>
      <x:c r="N957" s="171" t="str"/>
      <x:c r="O957" s="171" t="str">
        <x:v>Draft — verify in context</x:v>
      </x:c>
      <x:c r="P957" s="167" t="str">
        <x:v>https://www.oxfordlearnersdictionaries.com/wordlists/oxford3000-5000</x:v>
      </x:c>
    </x:row>
    <x:row r="958" ht="26" customHeight="1">
      <x:c r="A958" s="167" t="n">
        <x:v>957</x:v>
      </x:c>
      <x:c r="B958" s="167" t="str">
        <x:v>ratio</x:v>
      </x:c>
      <x:c r="C958" s="167" t="str">
        <x:v>n.</x:v>
      </x:c>
      <x:c r="D958" s="170" t="str">
        <x:v>співвідношення</x:v>
      </x:c>
      <x:c r="E958" s="167" t="str">
        <x:v>Yes</x:v>
      </x:c>
      <x:c r="F958" s="167" t="n">
        <x:v>5</x:v>
      </x:c>
      <x:c r="G958" s="167" t="str">
        <x:v>High</x:v>
      </x:c>
      <x:c r="H958" s="167" t="str">
        <x:v>General</x:v>
      </x:c>
      <x:c r="I958" s="167" t="str">
        <x:v>Not Started</x:v>
      </x:c>
      <x:c r="J958" s="167" t="n">
        <x:v>0</x:v>
      </x:c>
      <x:c r="K958" s="168"/>
      <x:c r="L958" s="168" t="str">
        <x:f>IF(OR(I958="Mastered",K958=""),"",K958+IF(J958&gt;=5,30,IF(J958=4,14,IF(J958=3,7,IF(J958=2,3,1)))))</x:f>
      </x:c>
      <x:c r="M958" s="171" t="str"/>
      <x:c r="N958" s="171" t="str"/>
      <x:c r="O958" s="171" t="str">
        <x:v>Draft — verify in context</x:v>
      </x:c>
      <x:c r="P958" s="167" t="str">
        <x:v>https://www.oxfordlearnersdictionaries.com/wordlists/oxford3000-5000</x:v>
      </x:c>
    </x:row>
    <x:row r="959" ht="26" customHeight="1">
      <x:c r="A959" s="167" t="n">
        <x:v>958</x:v>
      </x:c>
      <x:c r="B959" s="167" t="str">
        <x:v>rational</x:v>
      </x:c>
      <x:c r="C959" s="167" t="str">
        <x:v>adj.</x:v>
      </x:c>
      <x:c r="D959" s="170" t="str">
        <x:v>раціональний</x:v>
      </x:c>
      <x:c r="E959" s="167" t="str">
        <x:v>Yes</x:v>
      </x:c>
      <x:c r="F959" s="167" t="n">
        <x:v>6</x:v>
      </x:c>
      <x:c r="G959" s="167" t="str">
        <x:v>High</x:v>
      </x:c>
      <x:c r="H959" s="167" t="str">
        <x:v>General</x:v>
      </x:c>
      <x:c r="I959" s="167" t="str">
        <x:v>Not Started</x:v>
      </x:c>
      <x:c r="J959" s="167" t="n">
        <x:v>0</x:v>
      </x:c>
      <x:c r="K959" s="168"/>
      <x:c r="L959" s="168" t="str">
        <x:f>IF(OR(I959="Mastered",K959=""),"",K959+IF(J959&gt;=5,30,IF(J959=4,14,IF(J959=3,7,IF(J959=2,3,1)))))</x:f>
      </x:c>
      <x:c r="M959" s="171" t="str"/>
      <x:c r="N959" s="171" t="str"/>
      <x:c r="O959" s="171" t="str">
        <x:v>Draft — verify in context</x:v>
      </x:c>
      <x:c r="P959" s="167" t="str">
        <x:v>https://www.oxfordlearnersdictionaries.com/wordlists/oxford3000-5000</x:v>
      </x:c>
    </x:row>
    <x:row r="960" ht="26" customHeight="1">
      <x:c r="A960" s="167" t="n">
        <x:v>959</x:v>
      </x:c>
      <x:c r="B960" s="167" t="str">
        <x:v>ray</x:v>
      </x:c>
      <x:c r="C960" s="167" t="str">
        <x:v>n.</x:v>
      </x:c>
      <x:c r="D960" s="170" t="str">
        <x:v>промінь</x:v>
      </x:c>
      <x:c r="E960" s="167" t="str">
        <x:v>No</x:v>
      </x:c>
      <x:c r="F960" s="167"/>
      <x:c r="G960" s="167" t="str">
        <x:v>Core</x:v>
      </x:c>
      <x:c r="H960" s="167" t="str">
        <x:v>General</x:v>
      </x:c>
      <x:c r="I960" s="167" t="str">
        <x:v>Not Started</x:v>
      </x:c>
      <x:c r="J960" s="167" t="n">
        <x:v>0</x:v>
      </x:c>
      <x:c r="K960" s="168"/>
      <x:c r="L960" s="168" t="str">
        <x:f>IF(OR(I960="Mastered",K960=""),"",K960+IF(J960&gt;=5,30,IF(J960=4,14,IF(J960=3,7,IF(J960=2,3,1)))))</x:f>
      </x:c>
      <x:c r="M960" s="171" t="str"/>
      <x:c r="N960" s="171" t="str"/>
      <x:c r="O960" s="171" t="str">
        <x:v>Draft — verify in context</x:v>
      </x:c>
      <x:c r="P960" s="167" t="str">
        <x:v>https://www.oxfordlearnersdictionaries.com/wordlists/oxford3000-5000</x:v>
      </x:c>
    </x:row>
    <x:row r="961" ht="26" customHeight="1">
      <x:c r="A961" s="167" t="n">
        <x:v>960</x:v>
      </x:c>
      <x:c r="B961" s="167" t="str">
        <x:v>readily</x:v>
      </x:c>
      <x:c r="C961" s="167" t="str">
        <x:v>adv.</x:v>
      </x:c>
      <x:c r="D961" s="170" t="str">
        <x:v>охоче</x:v>
      </x:c>
      <x:c r="E961" s="167" t="str">
        <x:v>No</x:v>
      </x:c>
      <x:c r="F961" s="167"/>
      <x:c r="G961" s="167" t="str">
        <x:v>Core</x:v>
      </x:c>
      <x:c r="H961" s="167" t="str">
        <x:v>General</x:v>
      </x:c>
      <x:c r="I961" s="167" t="str">
        <x:v>Not Started</x:v>
      </x:c>
      <x:c r="J961" s="167" t="n">
        <x:v>0</x:v>
      </x:c>
      <x:c r="K961" s="168"/>
      <x:c r="L961" s="168" t="str">
        <x:f>IF(OR(I961="Mastered",K961=""),"",K961+IF(J961&gt;=5,30,IF(J961=4,14,IF(J961=3,7,IF(J961=2,3,1)))))</x:f>
      </x:c>
      <x:c r="M961" s="171" t="str"/>
      <x:c r="N961" s="171" t="str"/>
      <x:c r="O961" s="171" t="str">
        <x:v>Draft — verify in context</x:v>
      </x:c>
      <x:c r="P961" s="167" t="str">
        <x:v>https://www.oxfordlearnersdictionaries.com/wordlists/oxford3000-5000</x:v>
      </x:c>
    </x:row>
    <x:row r="962" ht="26" customHeight="1">
      <x:c r="A962" s="167" t="n">
        <x:v>961</x:v>
      </x:c>
      <x:c r="B962" s="167" t="str">
        <x:v>realization</x:v>
      </x:c>
      <x:c r="C962" s="167" t="str">
        <x:v>n.</x:v>
      </x:c>
      <x:c r="D962" s="170" t="str">
        <x:v>реалізація</x:v>
      </x:c>
      <x:c r="E962" s="167" t="str">
        <x:v>No</x:v>
      </x:c>
      <x:c r="F962" s="167"/>
      <x:c r="G962" s="167" t="str">
        <x:v>Core</x:v>
      </x:c>
      <x:c r="H962" s="167" t="str">
        <x:v>General</x:v>
      </x:c>
      <x:c r="I962" s="167" t="str">
        <x:v>Not Started</x:v>
      </x:c>
      <x:c r="J962" s="167" t="n">
        <x:v>0</x:v>
      </x:c>
      <x:c r="K962" s="168"/>
      <x:c r="L962" s="168" t="str">
        <x:f>IF(OR(I962="Mastered",K962=""),"",K962+IF(J962&gt;=5,30,IF(J962=4,14,IF(J962=3,7,IF(J962=2,3,1)))))</x:f>
      </x:c>
      <x:c r="M962" s="171" t="str"/>
      <x:c r="N962" s="171" t="str"/>
      <x:c r="O962" s="171" t="str">
        <x:v>Draft — verify in context</x:v>
      </x:c>
      <x:c r="P962" s="167" t="str">
        <x:v>https://www.oxfordlearnersdictionaries.com/wordlists/oxford3000-5000</x:v>
      </x:c>
    </x:row>
    <x:row r="963" ht="26" customHeight="1">
      <x:c r="A963" s="167" t="n">
        <x:v>962</x:v>
      </x:c>
      <x:c r="B963" s="167" t="str">
        <x:v>realm</x:v>
      </x:c>
      <x:c r="C963" s="167" t="str">
        <x:v>n.</x:v>
      </x:c>
      <x:c r="D963" s="170" t="str">
        <x:v>царство</x:v>
      </x:c>
      <x:c r="E963" s="167" t="str">
        <x:v>No</x:v>
      </x:c>
      <x:c r="F963" s="167"/>
      <x:c r="G963" s="167" t="str">
        <x:v>Core</x:v>
      </x:c>
      <x:c r="H963" s="167" t="str">
        <x:v>General</x:v>
      </x:c>
      <x:c r="I963" s="167" t="str">
        <x:v>Not Started</x:v>
      </x:c>
      <x:c r="J963" s="167" t="n">
        <x:v>0</x:v>
      </x:c>
      <x:c r="K963" s="168"/>
      <x:c r="L963" s="168" t="str">
        <x:f>IF(OR(I963="Mastered",K963=""),"",K963+IF(J963&gt;=5,30,IF(J963=4,14,IF(J963=3,7,IF(J963=2,3,1)))))</x:f>
      </x:c>
      <x:c r="M963" s="171" t="str"/>
      <x:c r="N963" s="171" t="str"/>
      <x:c r="O963" s="171" t="str">
        <x:v>Draft — verify in context</x:v>
      </x:c>
      <x:c r="P963" s="167" t="str">
        <x:v>https://www.oxfordlearnersdictionaries.com/wordlists/oxford3000-5000</x:v>
      </x:c>
    </x:row>
    <x:row r="964" ht="26" customHeight="1">
      <x:c r="A964" s="167" t="n">
        <x:v>963</x:v>
      </x:c>
      <x:c r="B964" s="167" t="str">
        <x:v>rear</x:v>
      </x:c>
      <x:c r="C964" s="167" t="str">
        <x:v>adj., n.</x:v>
      </x:c>
      <x:c r="D964" s="170" t="str">
        <x:v>задній</x:v>
      </x:c>
      <x:c r="E964" s="167" t="str">
        <x:v>No</x:v>
      </x:c>
      <x:c r="F964" s="167"/>
      <x:c r="G964" s="167" t="str">
        <x:v>Core</x:v>
      </x:c>
      <x:c r="H964" s="167" t="str">
        <x:v>General</x:v>
      </x:c>
      <x:c r="I964" s="167" t="str">
        <x:v>Not Started</x:v>
      </x:c>
      <x:c r="J964" s="167" t="n">
        <x:v>0</x:v>
      </x:c>
      <x:c r="K964" s="168"/>
      <x:c r="L964" s="168" t="str">
        <x:f>IF(OR(I964="Mastered",K964=""),"",K964+IF(J964&gt;=5,30,IF(J964=4,14,IF(J964=3,7,IF(J964=2,3,1)))))</x:f>
      </x:c>
      <x:c r="M964" s="171" t="str"/>
      <x:c r="N964" s="171" t="str"/>
      <x:c r="O964" s="171" t="str">
        <x:v>Draft — verify in context</x:v>
      </x:c>
      <x:c r="P964" s="167" t="str">
        <x:v>https://www.oxfordlearnersdictionaries.com/wordlists/oxford3000-5000</x:v>
      </x:c>
    </x:row>
    <x:row r="965" ht="26" customHeight="1">
      <x:c r="A965" s="167" t="n">
        <x:v>964</x:v>
      </x:c>
      <x:c r="B965" s="167" t="str">
        <x:v>reasoning</x:v>
      </x:c>
      <x:c r="C965" s="167" t="str">
        <x:v>n.</x:v>
      </x:c>
      <x:c r="D965" s="170" t="str">
        <x:v>міркування</x:v>
      </x:c>
      <x:c r="E965" s="167" t="str">
        <x:v>No</x:v>
      </x:c>
      <x:c r="F965" s="167"/>
      <x:c r="G965" s="167" t="str">
        <x:v>Core</x:v>
      </x:c>
      <x:c r="H965" s="167" t="str">
        <x:v>General</x:v>
      </x:c>
      <x:c r="I965" s="167" t="str">
        <x:v>Not Started</x:v>
      </x:c>
      <x:c r="J965" s="167" t="n">
        <x:v>0</x:v>
      </x:c>
      <x:c r="K965" s="168"/>
      <x:c r="L965" s="168" t="str">
        <x:f>IF(OR(I965="Mastered",K965=""),"",K965+IF(J965&gt;=5,30,IF(J965=4,14,IF(J965=3,7,IF(J965=2,3,1)))))</x:f>
      </x:c>
      <x:c r="M965" s="171" t="str"/>
      <x:c r="N965" s="171" t="str"/>
      <x:c r="O965" s="171" t="str">
        <x:v>Draft — verify in context</x:v>
      </x:c>
      <x:c r="P965" s="167" t="str">
        <x:v>https://www.oxfordlearnersdictionaries.com/wordlists/oxford3000-5000</x:v>
      </x:c>
    </x:row>
    <x:row r="966" ht="26" customHeight="1">
      <x:c r="A966" s="167" t="n">
        <x:v>965</x:v>
      </x:c>
      <x:c r="B966" s="167" t="str">
        <x:v>reassure</x:v>
      </x:c>
      <x:c r="C966" s="167" t="str">
        <x:v>v.</x:v>
      </x:c>
      <x:c r="D966" s="170" t="str">
        <x:v>заспокоювати</x:v>
      </x:c>
      <x:c r="E966" s="167" t="str">
        <x:v>No</x:v>
      </x:c>
      <x:c r="F966" s="167"/>
      <x:c r="G966" s="167" t="str">
        <x:v>Core</x:v>
      </x:c>
      <x:c r="H966" s="167" t="str">
        <x:v>General</x:v>
      </x:c>
      <x:c r="I966" s="167" t="str">
        <x:v>Not Started</x:v>
      </x:c>
      <x:c r="J966" s="167" t="n">
        <x:v>0</x:v>
      </x:c>
      <x:c r="K966" s="168"/>
      <x:c r="L966" s="168" t="str">
        <x:f>IF(OR(I966="Mastered",K966=""),"",K966+IF(J966&gt;=5,30,IF(J966=4,14,IF(J966=3,7,IF(J966=2,3,1)))))</x:f>
      </x:c>
      <x:c r="M966" s="171" t="str"/>
      <x:c r="N966" s="171" t="str"/>
      <x:c r="O966" s="171" t="str">
        <x:v>Draft — verify in context</x:v>
      </x:c>
      <x:c r="P966" s="167" t="str">
        <x:v>https://www.oxfordlearnersdictionaries.com/wordlists/oxford3000-5000</x:v>
      </x:c>
    </x:row>
    <x:row r="967" ht="26" customHeight="1">
      <x:c r="A967" s="167" t="n">
        <x:v>966</x:v>
      </x:c>
      <x:c r="B967" s="167" t="str">
        <x:v>rebel</x:v>
      </x:c>
      <x:c r="C967" s="167" t="str">
        <x:v>n.</x:v>
      </x:c>
      <x:c r="D967" s="170" t="str">
        <x:v>повстанець</x:v>
      </x:c>
      <x:c r="E967" s="167" t="str">
        <x:v>No</x:v>
      </x:c>
      <x:c r="F967" s="167"/>
      <x:c r="G967" s="167" t="str">
        <x:v>Core</x:v>
      </x:c>
      <x:c r="H967" s="167" t="str">
        <x:v>General</x:v>
      </x:c>
      <x:c r="I967" s="167" t="str">
        <x:v>Not Started</x:v>
      </x:c>
      <x:c r="J967" s="167" t="n">
        <x:v>0</x:v>
      </x:c>
      <x:c r="K967" s="168"/>
      <x:c r="L967" s="168" t="str">
        <x:f>IF(OR(I967="Mastered",K967=""),"",K967+IF(J967&gt;=5,30,IF(J967=4,14,IF(J967=3,7,IF(J967=2,3,1)))))</x:f>
      </x:c>
      <x:c r="M967" s="171" t="str"/>
      <x:c r="N967" s="171" t="str"/>
      <x:c r="O967" s="171" t="str">
        <x:v>Draft — verify in context</x:v>
      </x:c>
      <x:c r="P967" s="167" t="str">
        <x:v>https://www.oxfordlearnersdictionaries.com/wordlists/oxford3000-5000</x:v>
      </x:c>
    </x:row>
    <x:row r="968" ht="26" customHeight="1">
      <x:c r="A968" s="167" t="n">
        <x:v>967</x:v>
      </x:c>
      <x:c r="B968" s="167" t="str">
        <x:v>rebellion</x:v>
      </x:c>
      <x:c r="C968" s="167" t="str">
        <x:v>n.</x:v>
      </x:c>
      <x:c r="D968" s="170" t="str">
        <x:v>повстання</x:v>
      </x:c>
      <x:c r="E968" s="167" t="str">
        <x:v>No</x:v>
      </x:c>
      <x:c r="F968" s="167"/>
      <x:c r="G968" s="167" t="str">
        <x:v>Core</x:v>
      </x:c>
      <x:c r="H968" s="167" t="str">
        <x:v>General</x:v>
      </x:c>
      <x:c r="I968" s="167" t="str">
        <x:v>Not Started</x:v>
      </x:c>
      <x:c r="J968" s="167" t="n">
        <x:v>0</x:v>
      </x:c>
      <x:c r="K968" s="168"/>
      <x:c r="L968" s="168" t="str">
        <x:f>IF(OR(I968="Mastered",K968=""),"",K968+IF(J968&gt;=5,30,IF(J968=4,14,IF(J968=3,7,IF(J968=2,3,1)))))</x:f>
      </x:c>
      <x:c r="M968" s="171" t="str"/>
      <x:c r="N968" s="171" t="str"/>
      <x:c r="O968" s="171" t="str">
        <x:v>Draft — verify in context</x:v>
      </x:c>
      <x:c r="P968" s="167" t="str">
        <x:v>https://www.oxfordlearnersdictionaries.com/wordlists/oxford3000-5000</x:v>
      </x:c>
    </x:row>
    <x:row r="969" ht="26" customHeight="1">
      <x:c r="A969" s="167" t="n">
        <x:v>968</x:v>
      </x:c>
      <x:c r="B969" s="167" t="str">
        <x:v>recipient</x:v>
      </x:c>
      <x:c r="C969" s="167" t="str">
        <x:v>n.</x:v>
      </x:c>
      <x:c r="D969" s="170" t="str">
        <x:v>одержувач</x:v>
      </x:c>
      <x:c r="E969" s="167" t="str">
        <x:v>No</x:v>
      </x:c>
      <x:c r="F969" s="167"/>
      <x:c r="G969" s="167" t="str">
        <x:v>Core</x:v>
      </x:c>
      <x:c r="H969" s="167" t="str">
        <x:v>General</x:v>
      </x:c>
      <x:c r="I969" s="167" t="str">
        <x:v>Not Started</x:v>
      </x:c>
      <x:c r="J969" s="167" t="n">
        <x:v>0</x:v>
      </x:c>
      <x:c r="K969" s="168"/>
      <x:c r="L969" s="168" t="str">
        <x:f>IF(OR(I969="Mastered",K969=""),"",K969+IF(J969&gt;=5,30,IF(J969=4,14,IF(J969=3,7,IF(J969=2,3,1)))))</x:f>
      </x:c>
      <x:c r="M969" s="171" t="str"/>
      <x:c r="N969" s="171" t="str"/>
      <x:c r="O969" s="171" t="str">
        <x:v>Draft — verify in context</x:v>
      </x:c>
      <x:c r="P969" s="167" t="str">
        <x:v>https://www.oxfordlearnersdictionaries.com/wordlists/oxford3000-5000</x:v>
      </x:c>
    </x:row>
    <x:row r="970" ht="26" customHeight="1">
      <x:c r="A970" s="167" t="n">
        <x:v>969</x:v>
      </x:c>
      <x:c r="B970" s="167" t="str">
        <x:v>reconstruction</x:v>
      </x:c>
      <x:c r="C970" s="167" t="str">
        <x:v>n.</x:v>
      </x:c>
      <x:c r="D970" s="170" t="str">
        <x:v>реконструкція</x:v>
      </x:c>
      <x:c r="E970" s="167" t="str">
        <x:v>No</x:v>
      </x:c>
      <x:c r="F970" s="167"/>
      <x:c r="G970" s="167" t="str">
        <x:v>Core</x:v>
      </x:c>
      <x:c r="H970" s="167" t="str">
        <x:v>General</x:v>
      </x:c>
      <x:c r="I970" s="167" t="str">
        <x:v>Not Started</x:v>
      </x:c>
      <x:c r="J970" s="167" t="n">
        <x:v>0</x:v>
      </x:c>
      <x:c r="K970" s="168"/>
      <x:c r="L970" s="168" t="str">
        <x:f>IF(OR(I970="Mastered",K970=""),"",K970+IF(J970&gt;=5,30,IF(J970=4,14,IF(J970=3,7,IF(J970=2,3,1)))))</x:f>
      </x:c>
      <x:c r="M970" s="171" t="str"/>
      <x:c r="N970" s="171" t="str"/>
      <x:c r="O970" s="171" t="str">
        <x:v>Draft — verify in context</x:v>
      </x:c>
      <x:c r="P970" s="167" t="str">
        <x:v>https://www.oxfordlearnersdictionaries.com/wordlists/oxford3000-5000</x:v>
      </x:c>
    </x:row>
    <x:row r="971" ht="26" customHeight="1">
      <x:c r="A971" s="167" t="n">
        <x:v>970</x:v>
      </x:c>
      <x:c r="B971" s="167" t="str">
        <x:v>recount1</x:v>
      </x:c>
      <x:c r="C971" s="167" t="str">
        <x:v>v.</x:v>
      </x:c>
      <x:c r="D971" s="170" t="str">
        <x:v>перераховувати</x:v>
      </x:c>
      <x:c r="E971" s="167" t="str">
        <x:v>No</x:v>
      </x:c>
      <x:c r="F971" s="167"/>
      <x:c r="G971" s="167" t="str">
        <x:v>Core</x:v>
      </x:c>
      <x:c r="H971" s="167" t="str">
        <x:v>General</x:v>
      </x:c>
      <x:c r="I971" s="167" t="str">
        <x:v>Not Started</x:v>
      </x:c>
      <x:c r="J971" s="167" t="n">
        <x:v>0</x:v>
      </x:c>
      <x:c r="K971" s="168"/>
      <x:c r="L971" s="168" t="str">
        <x:f>IF(OR(I971="Mastered",K971=""),"",K971+IF(J971&gt;=5,30,IF(J971=4,14,IF(J971=3,7,IF(J971=2,3,1)))))</x:f>
      </x:c>
      <x:c r="M971" s="171" t="str"/>
      <x:c r="N971" s="171" t="str"/>
      <x:c r="O971" s="171" t="str">
        <x:v>Draft — verify in context</x:v>
      </x:c>
      <x:c r="P971" s="167" t="str">
        <x:v>https://www.oxfordlearnersdictionaries.com/wordlists/oxford3000-5000</x:v>
      </x:c>
    </x:row>
    <x:row r="972" ht="26" customHeight="1">
      <x:c r="A972" s="167" t="n">
        <x:v>971</x:v>
      </x:c>
      <x:c r="B972" s="167" t="str">
        <x:v>referendum</x:v>
      </x:c>
      <x:c r="C972" s="167" t="str">
        <x:v>n.</x:v>
      </x:c>
      <x:c r="D972" s="170" t="str">
        <x:v>референдум</x:v>
      </x:c>
      <x:c r="E972" s="167" t="str">
        <x:v>No</x:v>
      </x:c>
      <x:c r="F972" s="167"/>
      <x:c r="G972" s="167" t="str">
        <x:v>Core</x:v>
      </x:c>
      <x:c r="H972" s="167" t="str">
        <x:v>General</x:v>
      </x:c>
      <x:c r="I972" s="167" t="str">
        <x:v>Not Started</x:v>
      </x:c>
      <x:c r="J972" s="167" t="n">
        <x:v>0</x:v>
      </x:c>
      <x:c r="K972" s="168"/>
      <x:c r="L972" s="168" t="str">
        <x:f>IF(OR(I972="Mastered",K972=""),"",K972+IF(J972&gt;=5,30,IF(J972=4,14,IF(J972=3,7,IF(J972=2,3,1)))))</x:f>
      </x:c>
      <x:c r="M972" s="171" t="str"/>
      <x:c r="N972" s="171" t="str"/>
      <x:c r="O972" s="171" t="str">
        <x:v>Draft — verify in context</x:v>
      </x:c>
      <x:c r="P972" s="167" t="str">
        <x:v>https://www.oxfordlearnersdictionaries.com/wordlists/oxford3000-5000</x:v>
      </x:c>
    </x:row>
    <x:row r="973" ht="26" customHeight="1">
      <x:c r="A973" s="167" t="n">
        <x:v>972</x:v>
      </x:c>
      <x:c r="B973" s="167" t="str">
        <x:v>reflection</x:v>
      </x:c>
      <x:c r="C973" s="167" t="str">
        <x:v>n.</x:v>
      </x:c>
      <x:c r="D973" s="170" t="str">
        <x:v>відображення</x:v>
      </x:c>
      <x:c r="E973" s="167" t="str">
        <x:v>No</x:v>
      </x:c>
      <x:c r="F973" s="167"/>
      <x:c r="G973" s="167" t="str">
        <x:v>Core</x:v>
      </x:c>
      <x:c r="H973" s="167" t="str">
        <x:v>General</x:v>
      </x:c>
      <x:c r="I973" s="167" t="str">
        <x:v>Not Started</x:v>
      </x:c>
      <x:c r="J973" s="167" t="n">
        <x:v>0</x:v>
      </x:c>
      <x:c r="K973" s="168"/>
      <x:c r="L973" s="168" t="str">
        <x:f>IF(OR(I973="Mastered",K973=""),"",K973+IF(J973&gt;=5,30,IF(J973=4,14,IF(J973=3,7,IF(J973=2,3,1)))))</x:f>
      </x:c>
      <x:c r="M973" s="171" t="str"/>
      <x:c r="N973" s="171" t="str"/>
      <x:c r="O973" s="171" t="str">
        <x:v>Draft — verify in context</x:v>
      </x:c>
      <x:c r="P973" s="167" t="str">
        <x:v>https://www.oxfordlearnersdictionaries.com/wordlists/oxford3000-5000</x:v>
      </x:c>
    </x:row>
    <x:row r="974" ht="26" customHeight="1">
      <x:c r="A974" s="167" t="n">
        <x:v>973</x:v>
      </x:c>
      <x:c r="B974" s="167" t="str">
        <x:v>reform</x:v>
      </x:c>
      <x:c r="C974" s="167" t="str">
        <x:v>n., v.</x:v>
      </x:c>
      <x:c r="D974" s="170" t="str">
        <x:v>реформа</x:v>
      </x:c>
      <x:c r="E974" s="167" t="str">
        <x:v>No</x:v>
      </x:c>
      <x:c r="F974" s="167"/>
      <x:c r="G974" s="167" t="str">
        <x:v>Core</x:v>
      </x:c>
      <x:c r="H974" s="167" t="str">
        <x:v>General</x:v>
      </x:c>
      <x:c r="I974" s="167" t="str">
        <x:v>Not Started</x:v>
      </x:c>
      <x:c r="J974" s="167" t="n">
        <x:v>0</x:v>
      </x:c>
      <x:c r="K974" s="168"/>
      <x:c r="L974" s="168" t="str">
        <x:f>IF(OR(I974="Mastered",K974=""),"",K974+IF(J974&gt;=5,30,IF(J974=4,14,IF(J974=3,7,IF(J974=2,3,1)))))</x:f>
      </x:c>
      <x:c r="M974" s="171" t="str"/>
      <x:c r="N974" s="171" t="str"/>
      <x:c r="O974" s="171" t="str">
        <x:v>Draft — verify in context</x:v>
      </x:c>
      <x:c r="P974" s="167" t="str">
        <x:v>https://www.oxfordlearnersdictionaries.com/wordlists/oxford3000-5000</x:v>
      </x:c>
    </x:row>
    <x:row r="975" ht="26" customHeight="1">
      <x:c r="A975" s="167" t="n">
        <x:v>974</x:v>
      </x:c>
      <x:c r="B975" s="167" t="str">
        <x:v>refuge</x:v>
      </x:c>
      <x:c r="C975" s="167" t="str">
        <x:v>n.</x:v>
      </x:c>
      <x:c r="D975" s="170" t="str">
        <x:v>притулок</x:v>
      </x:c>
      <x:c r="E975" s="167" t="str">
        <x:v>No</x:v>
      </x:c>
      <x:c r="F975" s="167"/>
      <x:c r="G975" s="167" t="str">
        <x:v>Core</x:v>
      </x:c>
      <x:c r="H975" s="167" t="str">
        <x:v>General</x:v>
      </x:c>
      <x:c r="I975" s="167" t="str">
        <x:v>Not Started</x:v>
      </x:c>
      <x:c r="J975" s="167" t="n">
        <x:v>0</x:v>
      </x:c>
      <x:c r="K975" s="168"/>
      <x:c r="L975" s="168" t="str">
        <x:f>IF(OR(I975="Mastered",K975=""),"",K975+IF(J975&gt;=5,30,IF(J975=4,14,IF(J975=3,7,IF(J975=2,3,1)))))</x:f>
      </x:c>
      <x:c r="M975" s="171" t="str"/>
      <x:c r="N975" s="171" t="str"/>
      <x:c r="O975" s="171" t="str">
        <x:v>Draft — verify in context</x:v>
      </x:c>
      <x:c r="P975" s="167" t="str">
        <x:v>https://www.oxfordlearnersdictionaries.com/wordlists/oxford3000-5000</x:v>
      </x:c>
    </x:row>
    <x:row r="976" ht="26" customHeight="1">
      <x:c r="A976" s="167" t="n">
        <x:v>975</x:v>
      </x:c>
      <x:c r="B976" s="167" t="str">
        <x:v>refusal</x:v>
      </x:c>
      <x:c r="C976" s="167" t="str">
        <x:v>n.</x:v>
      </x:c>
      <x:c r="D976" s="170" t="str">
        <x:v>відмова</x:v>
      </x:c>
      <x:c r="E976" s="167" t="str">
        <x:v>No</x:v>
      </x:c>
      <x:c r="F976" s="167"/>
      <x:c r="G976" s="167" t="str">
        <x:v>Core</x:v>
      </x:c>
      <x:c r="H976" s="167" t="str">
        <x:v>General</x:v>
      </x:c>
      <x:c r="I976" s="167" t="str">
        <x:v>Not Started</x:v>
      </x:c>
      <x:c r="J976" s="167" t="n">
        <x:v>0</x:v>
      </x:c>
      <x:c r="K976" s="168"/>
      <x:c r="L976" s="168" t="str">
        <x:f>IF(OR(I976="Mastered",K976=""),"",K976+IF(J976&gt;=5,30,IF(J976=4,14,IF(J976=3,7,IF(J976=2,3,1)))))</x:f>
      </x:c>
      <x:c r="M976" s="171" t="str"/>
      <x:c r="N976" s="171" t="str"/>
      <x:c r="O976" s="171" t="str">
        <x:v>Draft — verify in context</x:v>
      </x:c>
      <x:c r="P976" s="167" t="str">
        <x:v>https://www.oxfordlearnersdictionaries.com/wordlists/oxford3000-5000</x:v>
      </x:c>
    </x:row>
    <x:row r="977" ht="26" customHeight="1">
      <x:c r="A977" s="167" t="n">
        <x:v>976</x:v>
      </x:c>
      <x:c r="B977" s="167" t="str">
        <x:v>regain</x:v>
      </x:c>
      <x:c r="C977" s="167" t="str">
        <x:v>v.</x:v>
      </x:c>
      <x:c r="D977" s="170" t="str">
        <x:v>відновити</x:v>
      </x:c>
      <x:c r="E977" s="167" t="str">
        <x:v>No</x:v>
      </x:c>
      <x:c r="F977" s="167"/>
      <x:c r="G977" s="167" t="str">
        <x:v>Core</x:v>
      </x:c>
      <x:c r="H977" s="167" t="str">
        <x:v>General</x:v>
      </x:c>
      <x:c r="I977" s="167" t="str">
        <x:v>Not Started</x:v>
      </x:c>
      <x:c r="J977" s="167" t="n">
        <x:v>0</x:v>
      </x:c>
      <x:c r="K977" s="168"/>
      <x:c r="L977" s="168" t="str">
        <x:f>IF(OR(I977="Mastered",K977=""),"",K977+IF(J977&gt;=5,30,IF(J977=4,14,IF(J977=3,7,IF(J977=2,3,1)))))</x:f>
      </x:c>
      <x:c r="M977" s="171" t="str"/>
      <x:c r="N977" s="171" t="str"/>
      <x:c r="O977" s="171" t="str">
        <x:v>Draft — verify in context</x:v>
      </x:c>
      <x:c r="P977" s="167" t="str">
        <x:v>https://www.oxfordlearnersdictionaries.com/wordlists/oxford3000-5000</x:v>
      </x:c>
    </x:row>
    <x:row r="978" ht="26" customHeight="1">
      <x:c r="A978" s="167" t="n">
        <x:v>977</x:v>
      </x:c>
      <x:c r="B978" s="167" t="str">
        <x:v>regardless</x:v>
      </x:c>
      <x:c r="C978" s="167" t="str">
        <x:v>adv.</x:v>
      </x:c>
      <x:c r="D978" s="170" t="str">
        <x:v>незалежно</x:v>
      </x:c>
      <x:c r="E978" s="167" t="str">
        <x:v>No</x:v>
      </x:c>
      <x:c r="F978" s="167"/>
      <x:c r="G978" s="167" t="str">
        <x:v>Core</x:v>
      </x:c>
      <x:c r="H978" s="167" t="str">
        <x:v>General</x:v>
      </x:c>
      <x:c r="I978" s="167" t="str">
        <x:v>Not Started</x:v>
      </x:c>
      <x:c r="J978" s="167" t="n">
        <x:v>0</x:v>
      </x:c>
      <x:c r="K978" s="168"/>
      <x:c r="L978" s="168" t="str">
        <x:f>IF(OR(I978="Mastered",K978=""),"",K978+IF(J978&gt;=5,30,IF(J978=4,14,IF(J978=3,7,IF(J978=2,3,1)))))</x:f>
      </x:c>
      <x:c r="M978" s="171" t="str"/>
      <x:c r="N978" s="171" t="str"/>
      <x:c r="O978" s="171" t="str">
        <x:v>Draft — verify in context</x:v>
      </x:c>
      <x:c r="P978" s="167" t="str">
        <x:v>https://www.oxfordlearnersdictionaries.com/wordlists/oxford3000-5000</x:v>
      </x:c>
    </x:row>
    <x:row r="979" ht="26" customHeight="1">
      <x:c r="A979" s="167" t="n">
        <x:v>978</x:v>
      </x:c>
      <x:c r="B979" s="167" t="str">
        <x:v>regime</x:v>
      </x:c>
      <x:c r="C979" s="167" t="str">
        <x:v>n.</x:v>
      </x:c>
      <x:c r="D979" s="170" t="str">
        <x:v>режим</x:v>
      </x:c>
      <x:c r="E979" s="167" t="str">
        <x:v>Yes</x:v>
      </x:c>
      <x:c r="F979" s="167" t="n">
        <x:v>4</x:v>
      </x:c>
      <x:c r="G979" s="167" t="str">
        <x:v>High</x:v>
      </x:c>
      <x:c r="H979" s="167" t="str">
        <x:v>General</x:v>
      </x:c>
      <x:c r="I979" s="167" t="str">
        <x:v>Not Started</x:v>
      </x:c>
      <x:c r="J979" s="167" t="n">
        <x:v>0</x:v>
      </x:c>
      <x:c r="K979" s="168"/>
      <x:c r="L979" s="168" t="str">
        <x:f>IF(OR(I979="Mastered",K979=""),"",K979+IF(J979&gt;=5,30,IF(J979=4,14,IF(J979=3,7,IF(J979=2,3,1)))))</x:f>
      </x:c>
      <x:c r="M979" s="171" t="str"/>
      <x:c r="N979" s="171" t="str"/>
      <x:c r="O979" s="171" t="str">
        <x:v>Draft — verify in context</x:v>
      </x:c>
      <x:c r="P979" s="167" t="str">
        <x:v>https://www.oxfordlearnersdictionaries.com/wordlists/oxford3000-5000</x:v>
      </x:c>
    </x:row>
    <x:row r="980" ht="26" customHeight="1">
      <x:c r="A980" s="167" t="n">
        <x:v>979</x:v>
      </x:c>
      <x:c r="B980" s="167" t="str">
        <x:v>regulator</x:v>
      </x:c>
      <x:c r="C980" s="167" t="str">
        <x:v>n.</x:v>
      </x:c>
      <x:c r="D980" s="170" t="str">
        <x:v>регулятор</x:v>
      </x:c>
      <x:c r="E980" s="167" t="str">
        <x:v>No</x:v>
      </x:c>
      <x:c r="F980" s="167"/>
      <x:c r="G980" s="167" t="str">
        <x:v>Core</x:v>
      </x:c>
      <x:c r="H980" s="167" t="str">
        <x:v>General</x:v>
      </x:c>
      <x:c r="I980" s="167" t="str">
        <x:v>Not Started</x:v>
      </x:c>
      <x:c r="J980" s="167" t="n">
        <x:v>0</x:v>
      </x:c>
      <x:c r="K980" s="168"/>
      <x:c r="L980" s="168" t="str">
        <x:f>IF(OR(I980="Mastered",K980=""),"",K980+IF(J980&gt;=5,30,IF(J980=4,14,IF(J980=3,7,IF(J980=2,3,1)))))</x:f>
      </x:c>
      <x:c r="M980" s="171" t="str"/>
      <x:c r="N980" s="171" t="str"/>
      <x:c r="O980" s="171" t="str">
        <x:v>Draft — verify in context</x:v>
      </x:c>
      <x:c r="P980" s="167" t="str">
        <x:v>https://www.oxfordlearnersdictionaries.com/wordlists/oxford3000-5000</x:v>
      </x:c>
    </x:row>
    <x:row r="981" ht="26" customHeight="1">
      <x:c r="A981" s="167" t="n">
        <x:v>980</x:v>
      </x:c>
      <x:c r="B981" s="167" t="str">
        <x:v>regulatory</x:v>
      </x:c>
      <x:c r="C981" s="167" t="str">
        <x:v>adj.</x:v>
      </x:c>
      <x:c r="D981" s="170" t="str">
        <x:v>регулятивний</x:v>
      </x:c>
      <x:c r="E981" s="167" t="str">
        <x:v>No</x:v>
      </x:c>
      <x:c r="F981" s="167"/>
      <x:c r="G981" s="167" t="str">
        <x:v>Core</x:v>
      </x:c>
      <x:c r="H981" s="167" t="str">
        <x:v>General</x:v>
      </x:c>
      <x:c r="I981" s="167" t="str">
        <x:v>Not Started</x:v>
      </x:c>
      <x:c r="J981" s="167" t="n">
        <x:v>0</x:v>
      </x:c>
      <x:c r="K981" s="168"/>
      <x:c r="L981" s="168" t="str">
        <x:f>IF(OR(I981="Mastered",K981=""),"",K981+IF(J981&gt;=5,30,IF(J981=4,14,IF(J981=3,7,IF(J981=2,3,1)))))</x:f>
      </x:c>
      <x:c r="M981" s="171" t="str"/>
      <x:c r="N981" s="171" t="str"/>
      <x:c r="O981" s="171" t="str">
        <x:v>Draft — verify in context</x:v>
      </x:c>
      <x:c r="P981" s="167" t="str">
        <x:v>https://www.oxfordlearnersdictionaries.com/wordlists/oxford3000-5000</x:v>
      </x:c>
    </x:row>
    <x:row r="982" ht="26" customHeight="1">
      <x:c r="A982" s="167" t="n">
        <x:v>981</x:v>
      </x:c>
      <x:c r="B982" s="167" t="str">
        <x:v>rehabilitation</x:v>
      </x:c>
      <x:c r="C982" s="167" t="str">
        <x:v>n.</x:v>
      </x:c>
      <x:c r="D982" s="170" t="str">
        <x:v>реабілітація</x:v>
      </x:c>
      <x:c r="E982" s="167" t="str">
        <x:v>No</x:v>
      </x:c>
      <x:c r="F982" s="167"/>
      <x:c r="G982" s="167" t="str">
        <x:v>Core</x:v>
      </x:c>
      <x:c r="H982" s="167" t="str">
        <x:v>General</x:v>
      </x:c>
      <x:c r="I982" s="167" t="str">
        <x:v>Not Started</x:v>
      </x:c>
      <x:c r="J982" s="167" t="n">
        <x:v>0</x:v>
      </x:c>
      <x:c r="K982" s="168"/>
      <x:c r="L982" s="168" t="str">
        <x:f>IF(OR(I982="Mastered",K982=""),"",K982+IF(J982&gt;=5,30,IF(J982=4,14,IF(J982=3,7,IF(J982=2,3,1)))))</x:f>
      </x:c>
      <x:c r="M982" s="171" t="str"/>
      <x:c r="N982" s="171" t="str"/>
      <x:c r="O982" s="171" t="str">
        <x:v>Draft — verify in context</x:v>
      </x:c>
      <x:c r="P982" s="167" t="str">
        <x:v>https://www.oxfordlearnersdictionaries.com/wordlists/oxford3000-5000</x:v>
      </x:c>
    </x:row>
    <x:row r="983" ht="26" customHeight="1">
      <x:c r="A983" s="167" t="n">
        <x:v>982</x:v>
      </x:c>
      <x:c r="B983" s="167" t="str">
        <x:v>reign</x:v>
      </x:c>
      <x:c r="C983" s="167" t="str">
        <x:v>n., v.</x:v>
      </x:c>
      <x:c r="D983" s="170" t="str">
        <x:v>царювання</x:v>
      </x:c>
      <x:c r="E983" s="167" t="str">
        <x:v>No</x:v>
      </x:c>
      <x:c r="F983" s="167"/>
      <x:c r="G983" s="167" t="str">
        <x:v>Core</x:v>
      </x:c>
      <x:c r="H983" s="167" t="str">
        <x:v>General</x:v>
      </x:c>
      <x:c r="I983" s="167" t="str">
        <x:v>Not Started</x:v>
      </x:c>
      <x:c r="J983" s="167" t="n">
        <x:v>0</x:v>
      </x:c>
      <x:c r="K983" s="168"/>
      <x:c r="L983" s="168" t="str">
        <x:f>IF(OR(I983="Mastered",K983=""),"",K983+IF(J983&gt;=5,30,IF(J983=4,14,IF(J983=3,7,IF(J983=2,3,1)))))</x:f>
      </x:c>
      <x:c r="M983" s="171" t="str"/>
      <x:c r="N983" s="171" t="str"/>
      <x:c r="O983" s="171" t="str">
        <x:v>Draft — verify in context</x:v>
      </x:c>
      <x:c r="P983" s="167" t="str">
        <x:v>https://www.oxfordlearnersdictionaries.com/wordlists/oxford3000-5000</x:v>
      </x:c>
    </x:row>
    <x:row r="984" ht="26" customHeight="1">
      <x:c r="A984" s="167" t="n">
        <x:v>983</x:v>
      </x:c>
      <x:c r="B984" s="167" t="str">
        <x:v>rejection</x:v>
      </x:c>
      <x:c r="C984" s="167" t="str">
        <x:v>n.</x:v>
      </x:c>
      <x:c r="D984" s="170" t="str">
        <x:v>відмова</x:v>
      </x:c>
      <x:c r="E984" s="167" t="str">
        <x:v>No</x:v>
      </x:c>
      <x:c r="F984" s="167"/>
      <x:c r="G984" s="167" t="str">
        <x:v>Core</x:v>
      </x:c>
      <x:c r="H984" s="167" t="str">
        <x:v>General</x:v>
      </x:c>
      <x:c r="I984" s="167" t="str">
        <x:v>Not Started</x:v>
      </x:c>
      <x:c r="J984" s="167" t="n">
        <x:v>0</x:v>
      </x:c>
      <x:c r="K984" s="168"/>
      <x:c r="L984" s="168" t="str">
        <x:f>IF(OR(I984="Mastered",K984=""),"",K984+IF(J984&gt;=5,30,IF(J984=4,14,IF(J984=3,7,IF(J984=2,3,1)))))</x:f>
      </x:c>
      <x:c r="M984" s="171" t="str"/>
      <x:c r="N984" s="171" t="str"/>
      <x:c r="O984" s="171" t="str">
        <x:v>Draft — verify in context</x:v>
      </x:c>
      <x:c r="P984" s="167" t="str">
        <x:v>https://www.oxfordlearnersdictionaries.com/wordlists/oxford3000-5000</x:v>
      </x:c>
    </x:row>
    <x:row r="985" ht="26" customHeight="1">
      <x:c r="A985" s="167" t="n">
        <x:v>984</x:v>
      </x:c>
      <x:c r="B985" s="167" t="str">
        <x:v>relevance</x:v>
      </x:c>
      <x:c r="C985" s="167" t="str">
        <x:v>n.</x:v>
      </x:c>
      <x:c r="D985" s="170" t="str">
        <x:v>релевантність</x:v>
      </x:c>
      <x:c r="E985" s="167" t="str">
        <x:v>No</x:v>
      </x:c>
      <x:c r="F985" s="167"/>
      <x:c r="G985" s="167" t="str">
        <x:v>Core</x:v>
      </x:c>
      <x:c r="H985" s="167" t="str">
        <x:v>General</x:v>
      </x:c>
      <x:c r="I985" s="167" t="str">
        <x:v>Not Started</x:v>
      </x:c>
      <x:c r="J985" s="167" t="n">
        <x:v>0</x:v>
      </x:c>
      <x:c r="K985" s="168"/>
      <x:c r="L985" s="168" t="str">
        <x:f>IF(OR(I985="Mastered",K985=""),"",K985+IF(J985&gt;=5,30,IF(J985=4,14,IF(J985=3,7,IF(J985=2,3,1)))))</x:f>
      </x:c>
      <x:c r="M985" s="171" t="str"/>
      <x:c r="N985" s="171" t="str"/>
      <x:c r="O985" s="171" t="str">
        <x:v>Draft — verify in context</x:v>
      </x:c>
      <x:c r="P985" s="167" t="str">
        <x:v>https://www.oxfordlearnersdictionaries.com/wordlists/oxford3000-5000</x:v>
      </x:c>
    </x:row>
    <x:row r="986" ht="26" customHeight="1">
      <x:c r="A986" s="167" t="n">
        <x:v>985</x:v>
      </x:c>
      <x:c r="B986" s="167" t="str">
        <x:v>reliability</x:v>
      </x:c>
      <x:c r="C986" s="167" t="str">
        <x:v>n.</x:v>
      </x:c>
      <x:c r="D986" s="170" t="str">
        <x:v>надійність</x:v>
      </x:c>
      <x:c r="E986" s="167" t="str">
        <x:v>No</x:v>
      </x:c>
      <x:c r="F986" s="167"/>
      <x:c r="G986" s="167" t="str">
        <x:v>Core</x:v>
      </x:c>
      <x:c r="H986" s="167" t="str">
        <x:v>General</x:v>
      </x:c>
      <x:c r="I986" s="167" t="str">
        <x:v>Not Started</x:v>
      </x:c>
      <x:c r="J986" s="167" t="n">
        <x:v>0</x:v>
      </x:c>
      <x:c r="K986" s="168"/>
      <x:c r="L986" s="168" t="str">
        <x:f>IF(OR(I986="Mastered",K986=""),"",K986+IF(J986&gt;=5,30,IF(J986=4,14,IF(J986=3,7,IF(J986=2,3,1)))))</x:f>
      </x:c>
      <x:c r="M986" s="171" t="str"/>
      <x:c r="N986" s="171" t="str"/>
      <x:c r="O986" s="171" t="str">
        <x:v>Draft — verify in context</x:v>
      </x:c>
      <x:c r="P986" s="167" t="str">
        <x:v>https://www.oxfordlearnersdictionaries.com/wordlists/oxford3000-5000</x:v>
      </x:c>
    </x:row>
    <x:row r="987" ht="26" customHeight="1">
      <x:c r="A987" s="167" t="n">
        <x:v>986</x:v>
      </x:c>
      <x:c r="B987" s="167" t="str">
        <x:v>reluctant</x:v>
      </x:c>
      <x:c r="C987" s="167" t="str">
        <x:v>adj.</x:v>
      </x:c>
      <x:c r="D987" s="170" t="str">
        <x:v>неохоче</x:v>
      </x:c>
      <x:c r="E987" s="167" t="str">
        <x:v>Yes</x:v>
      </x:c>
      <x:c r="F987" s="167" t="n">
        <x:v>10</x:v>
      </x:c>
      <x:c r="G987" s="167" t="str">
        <x:v>High</x:v>
      </x:c>
      <x:c r="H987" s="167" t="str">
        <x:v>General</x:v>
      </x:c>
      <x:c r="I987" s="167" t="str">
        <x:v>Not Started</x:v>
      </x:c>
      <x:c r="J987" s="167" t="n">
        <x:v>0</x:v>
      </x:c>
      <x:c r="K987" s="168"/>
      <x:c r="L987" s="168" t="str">
        <x:f>IF(OR(I987="Mastered",K987=""),"",K987+IF(J987&gt;=5,30,IF(J987=4,14,IF(J987=3,7,IF(J987=2,3,1)))))</x:f>
      </x:c>
      <x:c r="M987" s="171" t="str"/>
      <x:c r="N987" s="171" t="str"/>
      <x:c r="O987" s="171" t="str">
        <x:v>Draft — verify in context</x:v>
      </x:c>
      <x:c r="P987" s="167" t="str">
        <x:v>https://www.oxfordlearnersdictionaries.com/wordlists/oxford3000-5000</x:v>
      </x:c>
    </x:row>
    <x:row r="988" ht="26" customHeight="1">
      <x:c r="A988" s="167" t="n">
        <x:v>987</x:v>
      </x:c>
      <x:c r="B988" s="167" t="str">
        <x:v>remainder</x:v>
      </x:c>
      <x:c r="C988" s="167" t="str">
        <x:v>n.</x:v>
      </x:c>
      <x:c r="D988" s="170" t="str">
        <x:v>залишок</x:v>
      </x:c>
      <x:c r="E988" s="167" t="str">
        <x:v>No</x:v>
      </x:c>
      <x:c r="F988" s="167"/>
      <x:c r="G988" s="167" t="str">
        <x:v>Core</x:v>
      </x:c>
      <x:c r="H988" s="167" t="str">
        <x:v>General</x:v>
      </x:c>
      <x:c r="I988" s="167" t="str">
        <x:v>Not Started</x:v>
      </x:c>
      <x:c r="J988" s="167" t="n">
        <x:v>0</x:v>
      </x:c>
      <x:c r="K988" s="168"/>
      <x:c r="L988" s="168" t="str">
        <x:f>IF(OR(I988="Mastered",K988=""),"",K988+IF(J988&gt;=5,30,IF(J988=4,14,IF(J988=3,7,IF(J988=2,3,1)))))</x:f>
      </x:c>
      <x:c r="M988" s="171" t="str"/>
      <x:c r="N988" s="171" t="str"/>
      <x:c r="O988" s="171" t="str">
        <x:v>Draft — verify in context</x:v>
      </x:c>
      <x:c r="P988" s="167" t="str">
        <x:v>https://www.oxfordlearnersdictionaries.com/wordlists/oxford3000-5000</x:v>
      </x:c>
    </x:row>
    <x:row r="989" ht="26" customHeight="1">
      <x:c r="A989" s="167" t="n">
        <x:v>988</x:v>
      </x:c>
      <x:c r="B989" s="167" t="str">
        <x:v>remains</x:v>
      </x:c>
      <x:c r="C989" s="167" t="str">
        <x:v>n.</x:v>
      </x:c>
      <x:c r="D989" s="170" t="str">
        <x:v>залишається</x:v>
      </x:c>
      <x:c r="E989" s="167" t="str">
        <x:v>No</x:v>
      </x:c>
      <x:c r="F989" s="167"/>
      <x:c r="G989" s="167" t="str">
        <x:v>Core</x:v>
      </x:c>
      <x:c r="H989" s="167" t="str">
        <x:v>General</x:v>
      </x:c>
      <x:c r="I989" s="167" t="str">
        <x:v>Not Started</x:v>
      </x:c>
      <x:c r="J989" s="167" t="n">
        <x:v>0</x:v>
      </x:c>
      <x:c r="K989" s="168"/>
      <x:c r="L989" s="168" t="str">
        <x:f>IF(OR(I989="Mastered",K989=""),"",K989+IF(J989&gt;=5,30,IF(J989=4,14,IF(J989=3,7,IF(J989=2,3,1)))))</x:f>
      </x:c>
      <x:c r="M989" s="171" t="str"/>
      <x:c r="N989" s="171" t="str"/>
      <x:c r="O989" s="171" t="str">
        <x:v>Draft — verify in context</x:v>
      </x:c>
      <x:c r="P989" s="167" t="str">
        <x:v>https://www.oxfordlearnersdictionaries.com/wordlists/oxford3000-5000</x:v>
      </x:c>
    </x:row>
    <x:row r="990" ht="26" customHeight="1">
      <x:c r="A990" s="167" t="n">
        <x:v>989</x:v>
      </x:c>
      <x:c r="B990" s="167" t="str">
        <x:v>remedy</x:v>
      </x:c>
      <x:c r="C990" s="167" t="str">
        <x:v>n.</x:v>
      </x:c>
      <x:c r="D990" s="170" t="str">
        <x:v>засіб</x:v>
      </x:c>
      <x:c r="E990" s="167" t="str">
        <x:v>No</x:v>
      </x:c>
      <x:c r="F990" s="167"/>
      <x:c r="G990" s="167" t="str">
        <x:v>Core</x:v>
      </x:c>
      <x:c r="H990" s="167" t="str">
        <x:v>General</x:v>
      </x:c>
      <x:c r="I990" s="167" t="str">
        <x:v>Not Started</x:v>
      </x:c>
      <x:c r="J990" s="167" t="n">
        <x:v>0</x:v>
      </x:c>
      <x:c r="K990" s="168"/>
      <x:c r="L990" s="168" t="str">
        <x:f>IF(OR(I990="Mastered",K990=""),"",K990+IF(J990&gt;=5,30,IF(J990=4,14,IF(J990=3,7,IF(J990=2,3,1)))))</x:f>
      </x:c>
      <x:c r="M990" s="171" t="str"/>
      <x:c r="N990" s="171" t="str"/>
      <x:c r="O990" s="171" t="str">
        <x:v>Draft — verify in context</x:v>
      </x:c>
      <x:c r="P990" s="167" t="str">
        <x:v>https://www.oxfordlearnersdictionaries.com/wordlists/oxford3000-5000</x:v>
      </x:c>
    </x:row>
    <x:row r="991" ht="26" customHeight="1">
      <x:c r="A991" s="167" t="n">
        <x:v>990</x:v>
      </x:c>
      <x:c r="B991" s="167" t="str">
        <x:v>reminder</x:v>
      </x:c>
      <x:c r="C991" s="167" t="str">
        <x:v>n.</x:v>
      </x:c>
      <x:c r="D991" s="170" t="str">
        <x:v>нагадування</x:v>
      </x:c>
      <x:c r="E991" s="167" t="str">
        <x:v>No</x:v>
      </x:c>
      <x:c r="F991" s="167"/>
      <x:c r="G991" s="167" t="str">
        <x:v>Core</x:v>
      </x:c>
      <x:c r="H991" s="167" t="str">
        <x:v>General</x:v>
      </x:c>
      <x:c r="I991" s="167" t="str">
        <x:v>Not Started</x:v>
      </x:c>
      <x:c r="J991" s="167" t="n">
        <x:v>0</x:v>
      </x:c>
      <x:c r="K991" s="168"/>
      <x:c r="L991" s="168" t="str">
        <x:f>IF(OR(I991="Mastered",K991=""),"",K991+IF(J991&gt;=5,30,IF(J991=4,14,IF(J991=3,7,IF(J991=2,3,1)))))</x:f>
      </x:c>
      <x:c r="M991" s="171" t="str"/>
      <x:c r="N991" s="171" t="str"/>
      <x:c r="O991" s="171" t="str">
        <x:v>Draft — verify in context</x:v>
      </x:c>
      <x:c r="P991" s="167" t="str">
        <x:v>https://www.oxfordlearnersdictionaries.com/wordlists/oxford3000-5000</x:v>
      </x:c>
    </x:row>
    <x:row r="992" ht="26" customHeight="1">
      <x:c r="A992" s="167" t="n">
        <x:v>991</x:v>
      </x:c>
      <x:c r="B992" s="167" t="str">
        <x:v>removal</x:v>
      </x:c>
      <x:c r="C992" s="167" t="str">
        <x:v>n.</x:v>
      </x:c>
      <x:c r="D992" s="170" t="str">
        <x:v>видалення</x:v>
      </x:c>
      <x:c r="E992" s="167" t="str">
        <x:v>No</x:v>
      </x:c>
      <x:c r="F992" s="167"/>
      <x:c r="G992" s="167" t="str">
        <x:v>Core</x:v>
      </x:c>
      <x:c r="H992" s="167" t="str">
        <x:v>General</x:v>
      </x:c>
      <x:c r="I992" s="167" t="str">
        <x:v>Not Started</x:v>
      </x:c>
      <x:c r="J992" s="167" t="n">
        <x:v>0</x:v>
      </x:c>
      <x:c r="K992" s="168"/>
      <x:c r="L992" s="168" t="str">
        <x:f>IF(OR(I992="Mastered",K992=""),"",K992+IF(J992&gt;=5,30,IF(J992=4,14,IF(J992=3,7,IF(J992=2,3,1)))))</x:f>
      </x:c>
      <x:c r="M992" s="171" t="str"/>
      <x:c r="N992" s="171" t="str"/>
      <x:c r="O992" s="171" t="str">
        <x:v>Draft — verify in context</x:v>
      </x:c>
      <x:c r="P992" s="167" t="str">
        <x:v>https://www.oxfordlearnersdictionaries.com/wordlists/oxford3000-5000</x:v>
      </x:c>
    </x:row>
    <x:row r="993" ht="26" customHeight="1">
      <x:c r="A993" s="167" t="n">
        <x:v>992</x:v>
      </x:c>
      <x:c r="B993" s="167" t="str">
        <x:v>render</x:v>
      </x:c>
      <x:c r="C993" s="167" t="str">
        <x:v>v.</x:v>
      </x:c>
      <x:c r="D993" s="170" t="str">
        <x:v>робити; надавати; відтворювати</x:v>
      </x:c>
      <x:c r="E993" s="167" t="str">
        <x:v>No</x:v>
      </x:c>
      <x:c r="F993" s="167"/>
      <x:c r="G993" s="167" t="str">
        <x:v>Core</x:v>
      </x:c>
      <x:c r="H993" s="167" t="str">
        <x:v>General</x:v>
      </x:c>
      <x:c r="I993" s="167" t="str">
        <x:v>Not Started</x:v>
      </x:c>
      <x:c r="J993" s="167" t="n">
        <x:v>0</x:v>
      </x:c>
      <x:c r="K993" s="168"/>
      <x:c r="L993" s="168" t="str">
        <x:f>IF(OR(I993="Mastered",K993=""),"",K993+IF(J993&gt;=5,30,IF(J993=4,14,IF(J993=3,7,IF(J993=2,3,1)))))</x:f>
      </x:c>
      <x:c r="M993" s="171" t="str"/>
      <x:c r="N993" s="171" t="str"/>
      <x:c r="O993" s="171" t="str">
        <x:v>Draft — verify in context</x:v>
      </x:c>
      <x:c r="P993" s="167" t="str">
        <x:v>https://www.oxfordlearnersdictionaries.com/wordlists/oxford3000-5000</x:v>
      </x:c>
    </x:row>
    <x:row r="994" ht="26" customHeight="1">
      <x:c r="A994" s="167" t="n">
        <x:v>993</x:v>
      </x:c>
      <x:c r="B994" s="167" t="str">
        <x:v>renew</x:v>
      </x:c>
      <x:c r="C994" s="167" t="str">
        <x:v>v.</x:v>
      </x:c>
      <x:c r="D994" s="170" t="str">
        <x:v>відновити</x:v>
      </x:c>
      <x:c r="E994" s="167" t="str">
        <x:v>No</x:v>
      </x:c>
      <x:c r="F994" s="167"/>
      <x:c r="G994" s="167" t="str">
        <x:v>Core</x:v>
      </x:c>
      <x:c r="H994" s="167" t="str">
        <x:v>General</x:v>
      </x:c>
      <x:c r="I994" s="167" t="str">
        <x:v>Not Started</x:v>
      </x:c>
      <x:c r="J994" s="167" t="n">
        <x:v>0</x:v>
      </x:c>
      <x:c r="K994" s="168"/>
      <x:c r="L994" s="168" t="str">
        <x:f>IF(OR(I994="Mastered",K994=""),"",K994+IF(J994&gt;=5,30,IF(J994=4,14,IF(J994=3,7,IF(J994=2,3,1)))))</x:f>
      </x:c>
      <x:c r="M994" s="171" t="str"/>
      <x:c r="N994" s="171" t="str"/>
      <x:c r="O994" s="171" t="str">
        <x:v>Draft — verify in context</x:v>
      </x:c>
      <x:c r="P994" s="167" t="str">
        <x:v>https://www.oxfordlearnersdictionaries.com/wordlists/oxford3000-5000</x:v>
      </x:c>
    </x:row>
    <x:row r="995" ht="26" customHeight="1">
      <x:c r="A995" s="167" t="n">
        <x:v>994</x:v>
      </x:c>
      <x:c r="B995" s="167" t="str">
        <x:v>renowned</x:v>
      </x:c>
      <x:c r="C995" s="167" t="str">
        <x:v>adj.</x:v>
      </x:c>
      <x:c r="D995" s="170" t="str">
        <x:v>відомий</x:v>
      </x:c>
      <x:c r="E995" s="167" t="str">
        <x:v>No</x:v>
      </x:c>
      <x:c r="F995" s="167"/>
      <x:c r="G995" s="167" t="str">
        <x:v>Core</x:v>
      </x:c>
      <x:c r="H995" s="167" t="str">
        <x:v>General</x:v>
      </x:c>
      <x:c r="I995" s="167" t="str">
        <x:v>Not Started</x:v>
      </x:c>
      <x:c r="J995" s="167" t="n">
        <x:v>0</x:v>
      </x:c>
      <x:c r="K995" s="168"/>
      <x:c r="L995" s="168" t="str">
        <x:f>IF(OR(I995="Mastered",K995=""),"",K995+IF(J995&gt;=5,30,IF(J995=4,14,IF(J995=3,7,IF(J995=2,3,1)))))</x:f>
      </x:c>
      <x:c r="M995" s="171" t="str"/>
      <x:c r="N995" s="171" t="str"/>
      <x:c r="O995" s="171" t="str">
        <x:v>Draft — verify in context</x:v>
      </x:c>
      <x:c r="P995" s="167" t="str">
        <x:v>https://www.oxfordlearnersdictionaries.com/wordlists/oxford3000-5000</x:v>
      </x:c>
    </x:row>
    <x:row r="996" ht="26" customHeight="1">
      <x:c r="A996" s="167" t="n">
        <x:v>995</x:v>
      </x:c>
      <x:c r="B996" s="167" t="str">
        <x:v>rental</x:v>
      </x:c>
      <x:c r="C996" s="167" t="str">
        <x:v>n.</x:v>
      </x:c>
      <x:c r="D996" s="170" t="str">
        <x:v>оренда</x:v>
      </x:c>
      <x:c r="E996" s="167" t="str">
        <x:v>No</x:v>
      </x:c>
      <x:c r="F996" s="167"/>
      <x:c r="G996" s="167" t="str">
        <x:v>Core</x:v>
      </x:c>
      <x:c r="H996" s="167" t="str">
        <x:v>General</x:v>
      </x:c>
      <x:c r="I996" s="167" t="str">
        <x:v>Not Started</x:v>
      </x:c>
      <x:c r="J996" s="167" t="n">
        <x:v>0</x:v>
      </x:c>
      <x:c r="K996" s="168"/>
      <x:c r="L996" s="168" t="str">
        <x:f>IF(OR(I996="Mastered",K996=""),"",K996+IF(J996&gt;=5,30,IF(J996=4,14,IF(J996=3,7,IF(J996=2,3,1)))))</x:f>
      </x:c>
      <x:c r="M996" s="171" t="str"/>
      <x:c r="N996" s="171" t="str"/>
      <x:c r="O996" s="171" t="str">
        <x:v>Draft — verify in context</x:v>
      </x:c>
      <x:c r="P996" s="167" t="str">
        <x:v>https://www.oxfordlearnersdictionaries.com/wordlists/oxford3000-5000</x:v>
      </x:c>
    </x:row>
    <x:row r="997" ht="26" customHeight="1">
      <x:c r="A997" s="167" t="n">
        <x:v>996</x:v>
      </x:c>
      <x:c r="B997" s="167" t="str">
        <x:v>replacement</x:v>
      </x:c>
      <x:c r="C997" s="167" t="str">
        <x:v>n.</x:v>
      </x:c>
      <x:c r="D997" s="170" t="str">
        <x:v>заміна</x:v>
      </x:c>
      <x:c r="E997" s="167" t="str">
        <x:v>No</x:v>
      </x:c>
      <x:c r="F997" s="167"/>
      <x:c r="G997" s="167" t="str">
        <x:v>Core</x:v>
      </x:c>
      <x:c r="H997" s="167" t="str">
        <x:v>General</x:v>
      </x:c>
      <x:c r="I997" s="167" t="str">
        <x:v>Not Started</x:v>
      </x:c>
      <x:c r="J997" s="167" t="n">
        <x:v>0</x:v>
      </x:c>
      <x:c r="K997" s="168"/>
      <x:c r="L997" s="168" t="str">
        <x:f>IF(OR(I997="Mastered",K997=""),"",K997+IF(J997&gt;=5,30,IF(J997=4,14,IF(J997=3,7,IF(J997=2,3,1)))))</x:f>
      </x:c>
      <x:c r="M997" s="171" t="str"/>
      <x:c r="N997" s="171" t="str"/>
      <x:c r="O997" s="171" t="str">
        <x:v>Draft — verify in context</x:v>
      </x:c>
      <x:c r="P997" s="167" t="str">
        <x:v>https://www.oxfordlearnersdictionaries.com/wordlists/oxford3000-5000</x:v>
      </x:c>
    </x:row>
    <x:row r="998" ht="26" customHeight="1">
      <x:c r="A998" s="167" t="n">
        <x:v>997</x:v>
      </x:c>
      <x:c r="B998" s="167" t="str">
        <x:v>reportedly</x:v>
      </x:c>
      <x:c r="C998" s="167" t="str">
        <x:v>adv.</x:v>
      </x:c>
      <x:c r="D998" s="170" t="str">
        <x:v>нібито</x:v>
      </x:c>
      <x:c r="E998" s="167" t="str">
        <x:v>No</x:v>
      </x:c>
      <x:c r="F998" s="167"/>
      <x:c r="G998" s="167" t="str">
        <x:v>Core</x:v>
      </x:c>
      <x:c r="H998" s="167" t="str">
        <x:v>General</x:v>
      </x:c>
      <x:c r="I998" s="167" t="str">
        <x:v>Not Started</x:v>
      </x:c>
      <x:c r="J998" s="167" t="n">
        <x:v>0</x:v>
      </x:c>
      <x:c r="K998" s="168"/>
      <x:c r="L998" s="168" t="str">
        <x:f>IF(OR(I998="Mastered",K998=""),"",K998+IF(J998&gt;=5,30,IF(J998=4,14,IF(J998=3,7,IF(J998=2,3,1)))))</x:f>
      </x:c>
      <x:c r="M998" s="171" t="str"/>
      <x:c r="N998" s="171" t="str"/>
      <x:c r="O998" s="171" t="str">
        <x:v>Draft — verify in context</x:v>
      </x:c>
      <x:c r="P998" s="167" t="str">
        <x:v>https://www.oxfordlearnersdictionaries.com/wordlists/oxford3000-5000</x:v>
      </x:c>
    </x:row>
    <x:row r="999" ht="26" customHeight="1">
      <x:c r="A999" s="167" t="n">
        <x:v>998</x:v>
      </x:c>
      <x:c r="B999" s="167" t="str">
        <x:v>representation</x:v>
      </x:c>
      <x:c r="C999" s="167" t="str">
        <x:v>n.</x:v>
      </x:c>
      <x:c r="D999" s="170" t="str">
        <x:v>представництво</x:v>
      </x:c>
      <x:c r="E999" s="167" t="str">
        <x:v>No</x:v>
      </x:c>
      <x:c r="F999" s="167"/>
      <x:c r="G999" s="167" t="str">
        <x:v>Core</x:v>
      </x:c>
      <x:c r="H999" s="167" t="str">
        <x:v>General</x:v>
      </x:c>
      <x:c r="I999" s="167" t="str">
        <x:v>Not Started</x:v>
      </x:c>
      <x:c r="J999" s="167" t="n">
        <x:v>0</x:v>
      </x:c>
      <x:c r="K999" s="168"/>
      <x:c r="L999" s="168" t="str">
        <x:f>IF(OR(I999="Mastered",K999=""),"",K999+IF(J999&gt;=5,30,IF(J999=4,14,IF(J999=3,7,IF(J999=2,3,1)))))</x:f>
      </x:c>
      <x:c r="M999" s="171" t="str"/>
      <x:c r="N999" s="171" t="str"/>
      <x:c r="O999" s="171" t="str">
        <x:v>Draft — verify in context</x:v>
      </x:c>
      <x:c r="P999" s="167" t="str">
        <x:v>https://www.oxfordlearnersdictionaries.com/wordlists/oxford3000-5000</x:v>
      </x:c>
    </x:row>
    <x:row r="1000" ht="26" customHeight="1">
      <x:c r="A1000" s="167" t="n">
        <x:v>999</x:v>
      </x:c>
      <x:c r="B1000" s="167" t="str">
        <x:v>reproduce</x:v>
      </x:c>
      <x:c r="C1000" s="167" t="str">
        <x:v>v.</x:v>
      </x:c>
      <x:c r="D1000" s="170" t="str">
        <x:v>відтворювати</x:v>
      </x:c>
      <x:c r="E1000" s="167" t="str">
        <x:v>No</x:v>
      </x:c>
      <x:c r="F1000" s="167"/>
      <x:c r="G1000" s="167" t="str">
        <x:v>Core</x:v>
      </x:c>
      <x:c r="H1000" s="167" t="str">
        <x:v>General</x:v>
      </x:c>
      <x:c r="I1000" s="167" t="str">
        <x:v>Not Started</x:v>
      </x:c>
      <x:c r="J1000" s="167" t="n">
        <x:v>0</x:v>
      </x:c>
      <x:c r="K1000" s="168"/>
      <x:c r="L1000" s="168" t="str">
        <x:f>IF(OR(I1000="Mastered",K1000=""),"",K1000+IF(J1000&gt;=5,30,IF(J1000=4,14,IF(J1000=3,7,IF(J1000=2,3,1)))))</x:f>
      </x:c>
      <x:c r="M1000" s="171" t="str"/>
      <x:c r="N1000" s="171" t="str"/>
      <x:c r="O1000" s="171" t="str">
        <x:v>Draft — verify in context</x:v>
      </x:c>
      <x:c r="P1000" s="167" t="str">
        <x:v>https://www.oxfordlearnersdictionaries.com/wordlists/oxford3000-5000</x:v>
      </x:c>
    </x:row>
    <x:row r="1001" ht="26" customHeight="1">
      <x:c r="A1001" s="167" t="n">
        <x:v>1000</x:v>
      </x:c>
      <x:c r="B1001" s="167" t="str">
        <x:v>reproduction</x:v>
      </x:c>
      <x:c r="C1001" s="167" t="str">
        <x:v>n.</x:v>
      </x:c>
      <x:c r="D1001" s="170" t="str">
        <x:v>відтворення</x:v>
      </x:c>
      <x:c r="E1001" s="167" t="str">
        <x:v>No</x:v>
      </x:c>
      <x:c r="F1001" s="167"/>
      <x:c r="G1001" s="167" t="str">
        <x:v>Core</x:v>
      </x:c>
      <x:c r="H1001" s="167" t="str">
        <x:v>General</x:v>
      </x:c>
      <x:c r="I1001" s="167" t="str">
        <x:v>Not Started</x:v>
      </x:c>
      <x:c r="J1001" s="167" t="n">
        <x:v>0</x:v>
      </x:c>
      <x:c r="K1001" s="168"/>
      <x:c r="L1001" s="168" t="str">
        <x:f>IF(OR(I1001="Mastered",K1001=""),"",K1001+IF(J1001&gt;=5,30,IF(J1001=4,14,IF(J1001=3,7,IF(J1001=2,3,1)))))</x:f>
      </x:c>
      <x:c r="M1001" s="171" t="str"/>
      <x:c r="N1001" s="171" t="str"/>
      <x:c r="O1001" s="171" t="str">
        <x:v>Draft — verify in context</x:v>
      </x:c>
      <x:c r="P1001" s="167" t="str">
        <x:v>https://www.oxfordlearnersdictionaries.com/wordlists/oxford3000-5000</x:v>
      </x:c>
    </x:row>
    <x:row r="1002" ht="26" customHeight="1">
      <x:c r="A1002" s="167" t="n">
        <x:v>1001</x:v>
      </x:c>
      <x:c r="B1002" s="167" t="str">
        <x:v>republic</x:v>
      </x:c>
      <x:c r="C1002" s="167" t="str">
        <x:v>n.</x:v>
      </x:c>
      <x:c r="D1002" s="170" t="str">
        <x:v>республіка</x:v>
      </x:c>
      <x:c r="E1002" s="167" t="str">
        <x:v>No</x:v>
      </x:c>
      <x:c r="F1002" s="167"/>
      <x:c r="G1002" s="167" t="str">
        <x:v>Core</x:v>
      </x:c>
      <x:c r="H1002" s="167" t="str">
        <x:v>General</x:v>
      </x:c>
      <x:c r="I1002" s="167" t="str">
        <x:v>Not Started</x:v>
      </x:c>
      <x:c r="J1002" s="167" t="n">
        <x:v>0</x:v>
      </x:c>
      <x:c r="K1002" s="168"/>
      <x:c r="L1002" s="168" t="str">
        <x:f>IF(OR(I1002="Mastered",K1002=""),"",K1002+IF(J1002&gt;=5,30,IF(J1002=4,14,IF(J1002=3,7,IF(J1002=2,3,1)))))</x:f>
      </x:c>
      <x:c r="M1002" s="171" t="str"/>
      <x:c r="N1002" s="171" t="str"/>
      <x:c r="O1002" s="171" t="str">
        <x:v>Draft — verify in context</x:v>
      </x:c>
      <x:c r="P1002" s="167" t="str">
        <x:v>https://www.oxfordlearnersdictionaries.com/wordlists/oxford3000-5000</x:v>
      </x:c>
    </x:row>
    <x:row r="1003" ht="26" customHeight="1">
      <x:c r="A1003" s="167" t="n">
        <x:v>1002</x:v>
      </x:c>
      <x:c r="B1003" s="167" t="str">
        <x:v>resemble</x:v>
      </x:c>
      <x:c r="C1003" s="167" t="str">
        <x:v>v.</x:v>
      </x:c>
      <x:c r="D1003" s="170" t="str">
        <x:v>схожий</x:v>
      </x:c>
      <x:c r="E1003" s="167" t="str">
        <x:v>No</x:v>
      </x:c>
      <x:c r="F1003" s="167"/>
      <x:c r="G1003" s="167" t="str">
        <x:v>Core</x:v>
      </x:c>
      <x:c r="H1003" s="167" t="str">
        <x:v>General</x:v>
      </x:c>
      <x:c r="I1003" s="167" t="str">
        <x:v>Not Started</x:v>
      </x:c>
      <x:c r="J1003" s="167" t="n">
        <x:v>0</x:v>
      </x:c>
      <x:c r="K1003" s="168"/>
      <x:c r="L1003" s="168" t="str">
        <x:f>IF(OR(I1003="Mastered",K1003=""),"",K1003+IF(J1003&gt;=5,30,IF(J1003=4,14,IF(J1003=3,7,IF(J1003=2,3,1)))))</x:f>
      </x:c>
      <x:c r="M1003" s="171" t="str"/>
      <x:c r="N1003" s="171" t="str"/>
      <x:c r="O1003" s="171" t="str">
        <x:v>Draft — verify in context</x:v>
      </x:c>
      <x:c r="P1003" s="167" t="str">
        <x:v>https://www.oxfordlearnersdictionaries.com/wordlists/oxford3000-5000</x:v>
      </x:c>
    </x:row>
    <x:row r="1004" ht="26" customHeight="1">
      <x:c r="A1004" s="167" t="n">
        <x:v>1003</x:v>
      </x:c>
      <x:c r="B1004" s="167" t="str">
        <x:v>reside</x:v>
      </x:c>
      <x:c r="C1004" s="167" t="str">
        <x:v>v.</x:v>
      </x:c>
      <x:c r="D1004" s="170" t="str">
        <x:v>проживати</x:v>
      </x:c>
      <x:c r="E1004" s="167" t="str">
        <x:v>No</x:v>
      </x:c>
      <x:c r="F1004" s="167"/>
      <x:c r="G1004" s="167" t="str">
        <x:v>Core</x:v>
      </x:c>
      <x:c r="H1004" s="167" t="str">
        <x:v>General</x:v>
      </x:c>
      <x:c r="I1004" s="167" t="str">
        <x:v>Not Started</x:v>
      </x:c>
      <x:c r="J1004" s="167" t="n">
        <x:v>0</x:v>
      </x:c>
      <x:c r="K1004" s="168"/>
      <x:c r="L1004" s="168" t="str">
        <x:f>IF(OR(I1004="Mastered",K1004=""),"",K1004+IF(J1004&gt;=5,30,IF(J1004=4,14,IF(J1004=3,7,IF(J1004=2,3,1)))))</x:f>
      </x:c>
      <x:c r="M1004" s="171" t="str"/>
      <x:c r="N1004" s="171" t="str"/>
      <x:c r="O1004" s="171" t="str">
        <x:v>Draft — verify in context</x:v>
      </x:c>
      <x:c r="P1004" s="167" t="str">
        <x:v>https://www.oxfordlearnersdictionaries.com/wordlists/oxford3000-5000</x:v>
      </x:c>
    </x:row>
    <x:row r="1005" ht="26" customHeight="1">
      <x:c r="A1005" s="167" t="n">
        <x:v>1004</x:v>
      </x:c>
      <x:c r="B1005" s="167" t="str">
        <x:v>residence</x:v>
      </x:c>
      <x:c r="C1005" s="167" t="str">
        <x:v>n.</x:v>
      </x:c>
      <x:c r="D1005" s="170" t="str">
        <x:v>резиденція</x:v>
      </x:c>
      <x:c r="E1005" s="167" t="str">
        <x:v>No</x:v>
      </x:c>
      <x:c r="F1005" s="167"/>
      <x:c r="G1005" s="167" t="str">
        <x:v>Core</x:v>
      </x:c>
      <x:c r="H1005" s="167" t="str">
        <x:v>General</x:v>
      </x:c>
      <x:c r="I1005" s="167" t="str">
        <x:v>Not Started</x:v>
      </x:c>
      <x:c r="J1005" s="167" t="n">
        <x:v>0</x:v>
      </x:c>
      <x:c r="K1005" s="168"/>
      <x:c r="L1005" s="168" t="str">
        <x:f>IF(OR(I1005="Mastered",K1005=""),"",K1005+IF(J1005&gt;=5,30,IF(J1005=4,14,IF(J1005=3,7,IF(J1005=2,3,1)))))</x:f>
      </x:c>
      <x:c r="M1005" s="171" t="str"/>
      <x:c r="N1005" s="171" t="str"/>
      <x:c r="O1005" s="171" t="str">
        <x:v>Draft — verify in context</x:v>
      </x:c>
      <x:c r="P1005" s="167" t="str">
        <x:v>https://www.oxfordlearnersdictionaries.com/wordlists/oxford3000-5000</x:v>
      </x:c>
    </x:row>
    <x:row r="1006" ht="26" customHeight="1">
      <x:c r="A1006" s="167" t="n">
        <x:v>1005</x:v>
      </x:c>
      <x:c r="B1006" s="167" t="str">
        <x:v>residential</x:v>
      </x:c>
      <x:c r="C1006" s="167" t="str">
        <x:v>adj.</x:v>
      </x:c>
      <x:c r="D1006" s="170" t="str">
        <x:v>житловий</x:v>
      </x:c>
      <x:c r="E1006" s="167" t="str">
        <x:v>No</x:v>
      </x:c>
      <x:c r="F1006" s="167"/>
      <x:c r="G1006" s="167" t="str">
        <x:v>Core</x:v>
      </x:c>
      <x:c r="H1006" s="167" t="str">
        <x:v>General</x:v>
      </x:c>
      <x:c r="I1006" s="167" t="str">
        <x:v>Not Started</x:v>
      </x:c>
      <x:c r="J1006" s="167" t="n">
        <x:v>0</x:v>
      </x:c>
      <x:c r="K1006" s="168"/>
      <x:c r="L1006" s="168" t="str">
        <x:f>IF(OR(I1006="Mastered",K1006=""),"",K1006+IF(J1006&gt;=5,30,IF(J1006=4,14,IF(J1006=3,7,IF(J1006=2,3,1)))))</x:f>
      </x:c>
      <x:c r="M1006" s="171" t="str"/>
      <x:c r="N1006" s="171" t="str"/>
      <x:c r="O1006" s="171" t="str">
        <x:v>Draft — verify in context</x:v>
      </x:c>
      <x:c r="P1006" s="167" t="str">
        <x:v>https://www.oxfordlearnersdictionaries.com/wordlists/oxford3000-5000</x:v>
      </x:c>
    </x:row>
    <x:row r="1007" ht="26" customHeight="1">
      <x:c r="A1007" s="167" t="n">
        <x:v>1006</x:v>
      </x:c>
      <x:c r="B1007" s="167" t="str">
        <x:v>residue</x:v>
      </x:c>
      <x:c r="C1007" s="167" t="str">
        <x:v>n.</x:v>
      </x:c>
      <x:c r="D1007" s="170" t="str">
        <x:v>залишок</x:v>
      </x:c>
      <x:c r="E1007" s="167" t="str">
        <x:v>No</x:v>
      </x:c>
      <x:c r="F1007" s="167"/>
      <x:c r="G1007" s="167" t="str">
        <x:v>Core</x:v>
      </x:c>
      <x:c r="H1007" s="167" t="str">
        <x:v>General</x:v>
      </x:c>
      <x:c r="I1007" s="167" t="str">
        <x:v>Not Started</x:v>
      </x:c>
      <x:c r="J1007" s="167" t="n">
        <x:v>0</x:v>
      </x:c>
      <x:c r="K1007" s="168"/>
      <x:c r="L1007" s="168" t="str">
        <x:f>IF(OR(I1007="Mastered",K1007=""),"",K1007+IF(J1007&gt;=5,30,IF(J1007=4,14,IF(J1007=3,7,IF(J1007=2,3,1)))))</x:f>
      </x:c>
      <x:c r="M1007" s="171" t="str"/>
      <x:c r="N1007" s="171" t="str"/>
      <x:c r="O1007" s="171" t="str">
        <x:v>Draft — verify in context</x:v>
      </x:c>
      <x:c r="P1007" s="167" t="str">
        <x:v>https://www.oxfordlearnersdictionaries.com/wordlists/oxford3000-5000</x:v>
      </x:c>
    </x:row>
    <x:row r="1008" ht="26" customHeight="1">
      <x:c r="A1008" s="167" t="n">
        <x:v>1007</x:v>
      </x:c>
      <x:c r="B1008" s="167" t="str">
        <x:v>resignation</x:v>
      </x:c>
      <x:c r="C1008" s="167" t="str">
        <x:v>n.</x:v>
      </x:c>
      <x:c r="D1008" s="170" t="str">
        <x:v>відставка</x:v>
      </x:c>
      <x:c r="E1008" s="167" t="str">
        <x:v>No</x:v>
      </x:c>
      <x:c r="F1008" s="167"/>
      <x:c r="G1008" s="167" t="str">
        <x:v>Core</x:v>
      </x:c>
      <x:c r="H1008" s="167" t="str">
        <x:v>General</x:v>
      </x:c>
      <x:c r="I1008" s="167" t="str">
        <x:v>Not Started</x:v>
      </x:c>
      <x:c r="J1008" s="167" t="n">
        <x:v>0</x:v>
      </x:c>
      <x:c r="K1008" s="168"/>
      <x:c r="L1008" s="168" t="str">
        <x:f>IF(OR(I1008="Mastered",K1008=""),"",K1008+IF(J1008&gt;=5,30,IF(J1008=4,14,IF(J1008=3,7,IF(J1008=2,3,1)))))</x:f>
      </x:c>
      <x:c r="M1008" s="171" t="str"/>
      <x:c r="N1008" s="171" t="str"/>
      <x:c r="O1008" s="171" t="str">
        <x:v>Draft — verify in context</x:v>
      </x:c>
      <x:c r="P1008" s="167" t="str">
        <x:v>https://www.oxfordlearnersdictionaries.com/wordlists/oxford3000-5000</x:v>
      </x:c>
    </x:row>
    <x:row r="1009" ht="26" customHeight="1">
      <x:c r="A1009" s="167" t="n">
        <x:v>1008</x:v>
      </x:c>
      <x:c r="B1009" s="167" t="str">
        <x:v>resistance</x:v>
      </x:c>
      <x:c r="C1009" s="167" t="str">
        <x:v>n.</x:v>
      </x:c>
      <x:c r="D1009" s="170" t="str">
        <x:v>опір</x:v>
      </x:c>
      <x:c r="E1009" s="167" t="str">
        <x:v>No</x:v>
      </x:c>
      <x:c r="F1009" s="167"/>
      <x:c r="G1009" s="167" t="str">
        <x:v>Core</x:v>
      </x:c>
      <x:c r="H1009" s="167" t="str">
        <x:v>General</x:v>
      </x:c>
      <x:c r="I1009" s="167" t="str">
        <x:v>Not Started</x:v>
      </x:c>
      <x:c r="J1009" s="167" t="n">
        <x:v>0</x:v>
      </x:c>
      <x:c r="K1009" s="168"/>
      <x:c r="L1009" s="168" t="str">
        <x:f>IF(OR(I1009="Mastered",K1009=""),"",K1009+IF(J1009&gt;=5,30,IF(J1009=4,14,IF(J1009=3,7,IF(J1009=2,3,1)))))</x:f>
      </x:c>
      <x:c r="M1009" s="171" t="str"/>
      <x:c r="N1009" s="171" t="str"/>
      <x:c r="O1009" s="171" t="str">
        <x:v>Draft — verify in context</x:v>
      </x:c>
      <x:c r="P1009" s="167" t="str">
        <x:v>https://www.oxfordlearnersdictionaries.com/wordlists/oxford3000-5000</x:v>
      </x:c>
    </x:row>
    <x:row r="1010" ht="26" customHeight="1">
      <x:c r="A1010" s="167" t="n">
        <x:v>1009</x:v>
      </x:c>
      <x:c r="B1010" s="167" t="str">
        <x:v>respective</x:v>
      </x:c>
      <x:c r="C1010" s="167" t="str">
        <x:v>adj.</x:v>
      </x:c>
      <x:c r="D1010" s="170" t="str">
        <x:v>відповідний</x:v>
      </x:c>
      <x:c r="E1010" s="167" t="str">
        <x:v>No</x:v>
      </x:c>
      <x:c r="F1010" s="167"/>
      <x:c r="G1010" s="167" t="str">
        <x:v>Core</x:v>
      </x:c>
      <x:c r="H1010" s="167" t="str">
        <x:v>General</x:v>
      </x:c>
      <x:c r="I1010" s="167" t="str">
        <x:v>Not Started</x:v>
      </x:c>
      <x:c r="J1010" s="167" t="n">
        <x:v>0</x:v>
      </x:c>
      <x:c r="K1010" s="168"/>
      <x:c r="L1010" s="168" t="str">
        <x:f>IF(OR(I1010="Mastered",K1010=""),"",K1010+IF(J1010&gt;=5,30,IF(J1010=4,14,IF(J1010=3,7,IF(J1010=2,3,1)))))</x:f>
      </x:c>
      <x:c r="M1010" s="171" t="str"/>
      <x:c r="N1010" s="171" t="str"/>
      <x:c r="O1010" s="171" t="str">
        <x:v>Draft — verify in context</x:v>
      </x:c>
      <x:c r="P1010" s="167" t="str">
        <x:v>https://www.oxfordlearnersdictionaries.com/wordlists/oxford3000-5000</x:v>
      </x:c>
    </x:row>
    <x:row r="1011" ht="26" customHeight="1">
      <x:c r="A1011" s="167" t="n">
        <x:v>1010</x:v>
      </x:c>
      <x:c r="B1011" s="167" t="str">
        <x:v>respectively</x:v>
      </x:c>
      <x:c r="C1011" s="167" t="str">
        <x:v>adv.</x:v>
      </x:c>
      <x:c r="D1011" s="170" t="str">
        <x:v>відповідно</x:v>
      </x:c>
      <x:c r="E1011" s="167" t="str">
        <x:v>No</x:v>
      </x:c>
      <x:c r="F1011" s="167"/>
      <x:c r="G1011" s="167" t="str">
        <x:v>Core</x:v>
      </x:c>
      <x:c r="H1011" s="167" t="str">
        <x:v>General</x:v>
      </x:c>
      <x:c r="I1011" s="167" t="str">
        <x:v>Not Started</x:v>
      </x:c>
      <x:c r="J1011" s="167" t="n">
        <x:v>0</x:v>
      </x:c>
      <x:c r="K1011" s="168"/>
      <x:c r="L1011" s="168" t="str">
        <x:f>IF(OR(I1011="Mastered",K1011=""),"",K1011+IF(J1011&gt;=5,30,IF(J1011=4,14,IF(J1011=3,7,IF(J1011=2,3,1)))))</x:f>
      </x:c>
      <x:c r="M1011" s="171" t="str"/>
      <x:c r="N1011" s="171" t="str"/>
      <x:c r="O1011" s="171" t="str">
        <x:v>Draft — verify in context</x:v>
      </x:c>
      <x:c r="P1011" s="167" t="str">
        <x:v>https://www.oxfordlearnersdictionaries.com/wordlists/oxford3000-5000</x:v>
      </x:c>
    </x:row>
    <x:row r="1012" ht="26" customHeight="1">
      <x:c r="A1012" s="167" t="n">
        <x:v>1011</x:v>
      </x:c>
      <x:c r="B1012" s="167" t="str">
        <x:v>restoration</x:v>
      </x:c>
      <x:c r="C1012" s="167" t="str">
        <x:v>n.</x:v>
      </x:c>
      <x:c r="D1012" s="170" t="str">
        <x:v>реставрація</x:v>
      </x:c>
      <x:c r="E1012" s="167" t="str">
        <x:v>No</x:v>
      </x:c>
      <x:c r="F1012" s="167"/>
      <x:c r="G1012" s="167" t="str">
        <x:v>Core</x:v>
      </x:c>
      <x:c r="H1012" s="167" t="str">
        <x:v>General</x:v>
      </x:c>
      <x:c r="I1012" s="167" t="str">
        <x:v>Not Started</x:v>
      </x:c>
      <x:c r="J1012" s="167" t="n">
        <x:v>0</x:v>
      </x:c>
      <x:c r="K1012" s="168"/>
      <x:c r="L1012" s="168" t="str">
        <x:f>IF(OR(I1012="Mastered",K1012=""),"",K1012+IF(J1012&gt;=5,30,IF(J1012=4,14,IF(J1012=3,7,IF(J1012=2,3,1)))))</x:f>
      </x:c>
      <x:c r="M1012" s="171" t="str"/>
      <x:c r="N1012" s="171" t="str"/>
      <x:c r="O1012" s="171" t="str">
        <x:v>Draft — verify in context</x:v>
      </x:c>
      <x:c r="P1012" s="167" t="str">
        <x:v>https://www.oxfordlearnersdictionaries.com/wordlists/oxford3000-5000</x:v>
      </x:c>
    </x:row>
    <x:row r="1013" ht="26" customHeight="1">
      <x:c r="A1013" s="167" t="n">
        <x:v>1012</x:v>
      </x:c>
      <x:c r="B1013" s="167" t="str">
        <x:v>restraint</x:v>
      </x:c>
      <x:c r="C1013" s="167" t="str">
        <x:v>n.</x:v>
      </x:c>
      <x:c r="D1013" s="170" t="str">
        <x:v>стриманість</x:v>
      </x:c>
      <x:c r="E1013" s="167" t="str">
        <x:v>No</x:v>
      </x:c>
      <x:c r="F1013" s="167"/>
      <x:c r="G1013" s="167" t="str">
        <x:v>Core</x:v>
      </x:c>
      <x:c r="H1013" s="167" t="str">
        <x:v>General</x:v>
      </x:c>
      <x:c r="I1013" s="167" t="str">
        <x:v>Not Started</x:v>
      </x:c>
      <x:c r="J1013" s="167" t="n">
        <x:v>0</x:v>
      </x:c>
      <x:c r="K1013" s="168"/>
      <x:c r="L1013" s="168" t="str">
        <x:f>IF(OR(I1013="Mastered",K1013=""),"",K1013+IF(J1013&gt;=5,30,IF(J1013=4,14,IF(J1013=3,7,IF(J1013=2,3,1)))))</x:f>
      </x:c>
      <x:c r="M1013" s="171" t="str"/>
      <x:c r="N1013" s="171" t="str"/>
      <x:c r="O1013" s="171" t="str">
        <x:v>Draft — verify in context</x:v>
      </x:c>
      <x:c r="P1013" s="167" t="str">
        <x:v>https://www.oxfordlearnersdictionaries.com/wordlists/oxford3000-5000</x:v>
      </x:c>
    </x:row>
    <x:row r="1014" ht="26" customHeight="1">
      <x:c r="A1014" s="167" t="n">
        <x:v>1013</x:v>
      </x:c>
      <x:c r="B1014" s="167" t="str">
        <x:v>resume</x:v>
      </x:c>
      <x:c r="C1014" s="167" t="str">
        <x:v>v.</x:v>
      </x:c>
      <x:c r="D1014" s="170" t="str">
        <x:v>резюме</x:v>
      </x:c>
      <x:c r="E1014" s="167" t="str">
        <x:v>No</x:v>
      </x:c>
      <x:c r="F1014" s="167"/>
      <x:c r="G1014" s="167" t="str">
        <x:v>Core</x:v>
      </x:c>
      <x:c r="H1014" s="167" t="str">
        <x:v>General</x:v>
      </x:c>
      <x:c r="I1014" s="167" t="str">
        <x:v>Not Started</x:v>
      </x:c>
      <x:c r="J1014" s="167" t="n">
        <x:v>0</x:v>
      </x:c>
      <x:c r="K1014" s="168"/>
      <x:c r="L1014" s="168" t="str">
        <x:f>IF(OR(I1014="Mastered",K1014=""),"",K1014+IF(J1014&gt;=5,30,IF(J1014=4,14,IF(J1014=3,7,IF(J1014=2,3,1)))))</x:f>
      </x:c>
      <x:c r="M1014" s="171" t="str"/>
      <x:c r="N1014" s="171" t="str"/>
      <x:c r="O1014" s="171" t="str">
        <x:v>Draft — verify in context</x:v>
      </x:c>
      <x:c r="P1014" s="167" t="str">
        <x:v>https://www.oxfordlearnersdictionaries.com/wordlists/oxford3000-5000</x:v>
      </x:c>
    </x:row>
    <x:row r="1015" ht="26" customHeight="1">
      <x:c r="A1015" s="167" t="n">
        <x:v>1014</x:v>
      </x:c>
      <x:c r="B1015" s="167" t="str">
        <x:v>retreat</x:v>
      </x:c>
      <x:c r="C1015" s="167" t="str">
        <x:v>n., v.</x:v>
      </x:c>
      <x:c r="D1015" s="170" t="str">
        <x:v>відступ</x:v>
      </x:c>
      <x:c r="E1015" s="167" t="str">
        <x:v>No</x:v>
      </x:c>
      <x:c r="F1015" s="167"/>
      <x:c r="G1015" s="167" t="str">
        <x:v>Core</x:v>
      </x:c>
      <x:c r="H1015" s="167" t="str">
        <x:v>General</x:v>
      </x:c>
      <x:c r="I1015" s="167" t="str">
        <x:v>Not Started</x:v>
      </x:c>
      <x:c r="J1015" s="167" t="n">
        <x:v>0</x:v>
      </x:c>
      <x:c r="K1015" s="168"/>
      <x:c r="L1015" s="168" t="str">
        <x:f>IF(OR(I1015="Mastered",K1015=""),"",K1015+IF(J1015&gt;=5,30,IF(J1015=4,14,IF(J1015=3,7,IF(J1015=2,3,1)))))</x:f>
      </x:c>
      <x:c r="M1015" s="171" t="str"/>
      <x:c r="N1015" s="171" t="str"/>
      <x:c r="O1015" s="171" t="str">
        <x:v>Draft — verify in context</x:v>
      </x:c>
      <x:c r="P1015" s="167" t="str">
        <x:v>https://www.oxfordlearnersdictionaries.com/wordlists/oxford3000-5000</x:v>
      </x:c>
    </x:row>
    <x:row r="1016" ht="26" customHeight="1">
      <x:c r="A1016" s="167" t="n">
        <x:v>1015</x:v>
      </x:c>
      <x:c r="B1016" s="167" t="str">
        <x:v>retrieve</x:v>
      </x:c>
      <x:c r="C1016" s="167" t="str">
        <x:v>v.</x:v>
      </x:c>
      <x:c r="D1016" s="170" t="str">
        <x:v>отримати</x:v>
      </x:c>
      <x:c r="E1016" s="167" t="str">
        <x:v>No</x:v>
      </x:c>
      <x:c r="F1016" s="167"/>
      <x:c r="G1016" s="167" t="str">
        <x:v>Core</x:v>
      </x:c>
      <x:c r="H1016" s="167" t="str">
        <x:v>General</x:v>
      </x:c>
      <x:c r="I1016" s="167" t="str">
        <x:v>Not Started</x:v>
      </x:c>
      <x:c r="J1016" s="167" t="n">
        <x:v>0</x:v>
      </x:c>
      <x:c r="K1016" s="168"/>
      <x:c r="L1016" s="168" t="str">
        <x:f>IF(OR(I1016="Mastered",K1016=""),"",K1016+IF(J1016&gt;=5,30,IF(J1016=4,14,IF(J1016=3,7,IF(J1016=2,3,1)))))</x:f>
      </x:c>
      <x:c r="M1016" s="171" t="str"/>
      <x:c r="N1016" s="171" t="str"/>
      <x:c r="O1016" s="171" t="str">
        <x:v>Draft — verify in context</x:v>
      </x:c>
      <x:c r="P1016" s="167" t="str">
        <x:v>https://www.oxfordlearnersdictionaries.com/wordlists/oxford3000-5000</x:v>
      </x:c>
    </x:row>
    <x:row r="1017" ht="26" customHeight="1">
      <x:c r="A1017" s="167" t="n">
        <x:v>1016</x:v>
      </x:c>
      <x:c r="B1017" s="167" t="str">
        <x:v>revelation</x:v>
      </x:c>
      <x:c r="C1017" s="167" t="str">
        <x:v>n.</x:v>
      </x:c>
      <x:c r="D1017" s="170" t="str">
        <x:v>одкровення</x:v>
      </x:c>
      <x:c r="E1017" s="167" t="str">
        <x:v>No</x:v>
      </x:c>
      <x:c r="F1017" s="167"/>
      <x:c r="G1017" s="167" t="str">
        <x:v>Core</x:v>
      </x:c>
      <x:c r="H1017" s="167" t="str">
        <x:v>General</x:v>
      </x:c>
      <x:c r="I1017" s="167" t="str">
        <x:v>Not Started</x:v>
      </x:c>
      <x:c r="J1017" s="167" t="n">
        <x:v>0</x:v>
      </x:c>
      <x:c r="K1017" s="168"/>
      <x:c r="L1017" s="168" t="str">
        <x:f>IF(OR(I1017="Mastered",K1017=""),"",K1017+IF(J1017&gt;=5,30,IF(J1017=4,14,IF(J1017=3,7,IF(J1017=2,3,1)))))</x:f>
      </x:c>
      <x:c r="M1017" s="171" t="str"/>
      <x:c r="N1017" s="171" t="str"/>
      <x:c r="O1017" s="171" t="str">
        <x:v>Draft — verify in context</x:v>
      </x:c>
      <x:c r="P1017" s="167" t="str">
        <x:v>https://www.oxfordlearnersdictionaries.com/wordlists/oxford3000-5000</x:v>
      </x:c>
    </x:row>
    <x:row r="1018" ht="26" customHeight="1">
      <x:c r="A1018" s="167" t="n">
        <x:v>1017</x:v>
      </x:c>
      <x:c r="B1018" s="167" t="str">
        <x:v>revenge</x:v>
      </x:c>
      <x:c r="C1018" s="167" t="str">
        <x:v>n.</x:v>
      </x:c>
      <x:c r="D1018" s="170" t="str">
        <x:v>помста</x:v>
      </x:c>
      <x:c r="E1018" s="167" t="str">
        <x:v>No</x:v>
      </x:c>
      <x:c r="F1018" s="167"/>
      <x:c r="G1018" s="167" t="str">
        <x:v>Core</x:v>
      </x:c>
      <x:c r="H1018" s="167" t="str">
        <x:v>General</x:v>
      </x:c>
      <x:c r="I1018" s="167" t="str">
        <x:v>Not Started</x:v>
      </x:c>
      <x:c r="J1018" s="167" t="n">
        <x:v>0</x:v>
      </x:c>
      <x:c r="K1018" s="168"/>
      <x:c r="L1018" s="168" t="str">
        <x:f>IF(OR(I1018="Mastered",K1018=""),"",K1018+IF(J1018&gt;=5,30,IF(J1018=4,14,IF(J1018=3,7,IF(J1018=2,3,1)))))</x:f>
      </x:c>
      <x:c r="M1018" s="171" t="str"/>
      <x:c r="N1018" s="171" t="str"/>
      <x:c r="O1018" s="171" t="str">
        <x:v>Draft — verify in context</x:v>
      </x:c>
      <x:c r="P1018" s="167" t="str">
        <x:v>https://www.oxfordlearnersdictionaries.com/wordlists/oxford3000-5000</x:v>
      </x:c>
    </x:row>
    <x:row r="1019" ht="26" customHeight="1">
      <x:c r="A1019" s="167" t="n">
        <x:v>1018</x:v>
      </x:c>
      <x:c r="B1019" s="167" t="str">
        <x:v>reverse v. ,</x:v>
      </x:c>
      <x:c r="C1019" s="167" t="str">
        <x:v>n., adj.</x:v>
      </x:c>
      <x:c r="D1019" s="170" t="str">
        <x:v>зворотний т. ,</x:v>
      </x:c>
      <x:c r="E1019" s="167" t="str">
        <x:v>No</x:v>
      </x:c>
      <x:c r="F1019" s="167"/>
      <x:c r="G1019" s="167" t="str">
        <x:v>Core</x:v>
      </x:c>
      <x:c r="H1019" s="167" t="str">
        <x:v>General</x:v>
      </x:c>
      <x:c r="I1019" s="167" t="str">
        <x:v>Not Started</x:v>
      </x:c>
      <x:c r="J1019" s="167" t="n">
        <x:v>0</x:v>
      </x:c>
      <x:c r="K1019" s="168"/>
      <x:c r="L1019" s="168" t="str">
        <x:f>IF(OR(I1019="Mastered",K1019=""),"",K1019+IF(J1019&gt;=5,30,IF(J1019=4,14,IF(J1019=3,7,IF(J1019=2,3,1)))))</x:f>
      </x:c>
      <x:c r="M1019" s="171" t="str"/>
      <x:c r="N1019" s="171" t="str"/>
      <x:c r="O1019" s="171" t="str">
        <x:v>Draft — verify in context</x:v>
      </x:c>
      <x:c r="P1019" s="167" t="str">
        <x:v>https://www.oxfordlearnersdictionaries.com/wordlists/oxford3000-5000</x:v>
      </x:c>
    </x:row>
    <x:row r="1020" ht="26" customHeight="1">
      <x:c r="A1020" s="167" t="n">
        <x:v>1019</x:v>
      </x:c>
      <x:c r="B1020" s="167" t="str">
        <x:v>revival</x:v>
      </x:c>
      <x:c r="C1020" s="167" t="str">
        <x:v>n.</x:v>
      </x:c>
      <x:c r="D1020" s="170" t="str">
        <x:v>відродження</x:v>
      </x:c>
      <x:c r="E1020" s="167" t="str">
        <x:v>No</x:v>
      </x:c>
      <x:c r="F1020" s="167"/>
      <x:c r="G1020" s="167" t="str">
        <x:v>Core</x:v>
      </x:c>
      <x:c r="H1020" s="167" t="str">
        <x:v>General</x:v>
      </x:c>
      <x:c r="I1020" s="167" t="str">
        <x:v>Not Started</x:v>
      </x:c>
      <x:c r="J1020" s="167" t="n">
        <x:v>0</x:v>
      </x:c>
      <x:c r="K1020" s="168"/>
      <x:c r="L1020" s="168" t="str">
        <x:f>IF(OR(I1020="Mastered",K1020=""),"",K1020+IF(J1020&gt;=5,30,IF(J1020=4,14,IF(J1020=3,7,IF(J1020=2,3,1)))))</x:f>
      </x:c>
      <x:c r="M1020" s="171" t="str"/>
      <x:c r="N1020" s="171" t="str"/>
      <x:c r="O1020" s="171" t="str">
        <x:v>Draft — verify in context</x:v>
      </x:c>
      <x:c r="P1020" s="167" t="str">
        <x:v>https://www.oxfordlearnersdictionaries.com/wordlists/oxford3000-5000</x:v>
      </x:c>
    </x:row>
    <x:row r="1021" ht="26" customHeight="1">
      <x:c r="A1021" s="167" t="n">
        <x:v>1020</x:v>
      </x:c>
      <x:c r="B1021" s="167" t="str">
        <x:v>revive</x:v>
      </x:c>
      <x:c r="C1021" s="167" t="str">
        <x:v>v.</x:v>
      </x:c>
      <x:c r="D1021" s="170" t="str">
        <x:v>оживити</x:v>
      </x:c>
      <x:c r="E1021" s="167" t="str">
        <x:v>No</x:v>
      </x:c>
      <x:c r="F1021" s="167"/>
      <x:c r="G1021" s="167" t="str">
        <x:v>Core</x:v>
      </x:c>
      <x:c r="H1021" s="167" t="str">
        <x:v>General</x:v>
      </x:c>
      <x:c r="I1021" s="167" t="str">
        <x:v>Not Started</x:v>
      </x:c>
      <x:c r="J1021" s="167" t="n">
        <x:v>0</x:v>
      </x:c>
      <x:c r="K1021" s="168"/>
      <x:c r="L1021" s="168" t="str">
        <x:f>IF(OR(I1021="Mastered",K1021=""),"",K1021+IF(J1021&gt;=5,30,IF(J1021=4,14,IF(J1021=3,7,IF(J1021=2,3,1)))))</x:f>
      </x:c>
      <x:c r="M1021" s="171" t="str"/>
      <x:c r="N1021" s="171" t="str"/>
      <x:c r="O1021" s="171" t="str">
        <x:v>Draft — verify in context</x:v>
      </x:c>
      <x:c r="P1021" s="167" t="str">
        <x:v>https://www.oxfordlearnersdictionaries.com/wordlists/oxford3000-5000</x:v>
      </x:c>
    </x:row>
    <x:row r="1022" ht="26" customHeight="1">
      <x:c r="A1022" s="167" t="n">
        <x:v>1021</x:v>
      </x:c>
      <x:c r="B1022" s="167" t="str">
        <x:v>revolutionary</x:v>
      </x:c>
      <x:c r="C1022" s="167" t="str">
        <x:v>adj.</x:v>
      </x:c>
      <x:c r="D1022" s="170" t="str">
        <x:v>революційний</x:v>
      </x:c>
      <x:c r="E1022" s="167" t="str">
        <x:v>No</x:v>
      </x:c>
      <x:c r="F1022" s="167"/>
      <x:c r="G1022" s="167" t="str">
        <x:v>Core</x:v>
      </x:c>
      <x:c r="H1022" s="167" t="str">
        <x:v>General</x:v>
      </x:c>
      <x:c r="I1022" s="167" t="str">
        <x:v>Not Started</x:v>
      </x:c>
      <x:c r="J1022" s="167" t="n">
        <x:v>0</x:v>
      </x:c>
      <x:c r="K1022" s="168"/>
      <x:c r="L1022" s="168" t="str">
        <x:f>IF(OR(I1022="Mastered",K1022=""),"",K1022+IF(J1022&gt;=5,30,IF(J1022=4,14,IF(J1022=3,7,IF(J1022=2,3,1)))))</x:f>
      </x:c>
      <x:c r="M1022" s="171" t="str"/>
      <x:c r="N1022" s="171" t="str"/>
      <x:c r="O1022" s="171" t="str">
        <x:v>Draft — verify in context</x:v>
      </x:c>
      <x:c r="P1022" s="167" t="str">
        <x:v>https://www.oxfordlearnersdictionaries.com/wordlists/oxford3000-5000</x:v>
      </x:c>
    </x:row>
    <x:row r="1023" ht="26" customHeight="1">
      <x:c r="A1023" s="167" t="n">
        <x:v>1022</x:v>
      </x:c>
      <x:c r="B1023" s="167" t="str">
        <x:v>rhetoric</x:v>
      </x:c>
      <x:c r="C1023" s="167" t="str">
        <x:v>n.</x:v>
      </x:c>
      <x:c r="D1023" s="170" t="str">
        <x:v>риторика</x:v>
      </x:c>
      <x:c r="E1023" s="167" t="str">
        <x:v>No</x:v>
      </x:c>
      <x:c r="F1023" s="167"/>
      <x:c r="G1023" s="167" t="str">
        <x:v>Core</x:v>
      </x:c>
      <x:c r="H1023" s="167" t="str">
        <x:v>General</x:v>
      </x:c>
      <x:c r="I1023" s="167" t="str">
        <x:v>Not Started</x:v>
      </x:c>
      <x:c r="J1023" s="167" t="n">
        <x:v>0</x:v>
      </x:c>
      <x:c r="K1023" s="168"/>
      <x:c r="L1023" s="168" t="str">
        <x:f>IF(OR(I1023="Mastered",K1023=""),"",K1023+IF(J1023&gt;=5,30,IF(J1023=4,14,IF(J1023=3,7,IF(J1023=2,3,1)))))</x:f>
      </x:c>
      <x:c r="M1023" s="171" t="str"/>
      <x:c r="N1023" s="171" t="str"/>
      <x:c r="O1023" s="171" t="str">
        <x:v>Draft — verify in context</x:v>
      </x:c>
      <x:c r="P1023" s="167" t="str">
        <x:v>https://www.oxfordlearnersdictionaries.com/wordlists/oxford3000-5000</x:v>
      </x:c>
    </x:row>
    <x:row r="1024" ht="26" customHeight="1">
      <x:c r="A1024" s="167" t="n">
        <x:v>1023</x:v>
      </x:c>
      <x:c r="B1024" s="167" t="str">
        <x:v>rifle</x:v>
      </x:c>
      <x:c r="C1024" s="167" t="str">
        <x:v>n.</x:v>
      </x:c>
      <x:c r="D1024" s="170" t="str">
        <x:v>гвинтівка</x:v>
      </x:c>
      <x:c r="E1024" s="167" t="str">
        <x:v>No</x:v>
      </x:c>
      <x:c r="F1024" s="167"/>
      <x:c r="G1024" s="167" t="str">
        <x:v>Core</x:v>
      </x:c>
      <x:c r="H1024" s="167" t="str">
        <x:v>General</x:v>
      </x:c>
      <x:c r="I1024" s="167" t="str">
        <x:v>Not Started</x:v>
      </x:c>
      <x:c r="J1024" s="167" t="n">
        <x:v>0</x:v>
      </x:c>
      <x:c r="K1024" s="168"/>
      <x:c r="L1024" s="168" t="str">
        <x:f>IF(OR(I1024="Mastered",K1024=""),"",K1024+IF(J1024&gt;=5,30,IF(J1024=4,14,IF(J1024=3,7,IF(J1024=2,3,1)))))</x:f>
      </x:c>
      <x:c r="M1024" s="171" t="str"/>
      <x:c r="N1024" s="171" t="str"/>
      <x:c r="O1024" s="171" t="str">
        <x:v>Draft — verify in context</x:v>
      </x:c>
      <x:c r="P1024" s="167" t="str">
        <x:v>https://www.oxfordlearnersdictionaries.com/wordlists/oxford3000-5000</x:v>
      </x:c>
    </x:row>
    <x:row r="1025" ht="26" customHeight="1">
      <x:c r="A1025" s="167" t="n">
        <x:v>1024</x:v>
      </x:c>
      <x:c r="B1025" s="167" t="str">
        <x:v>riot</x:v>
      </x:c>
      <x:c r="C1025" s="167" t="str">
        <x:v>n.</x:v>
      </x:c>
      <x:c r="D1025" s="170" t="str">
        <x:v>бунт</x:v>
      </x:c>
      <x:c r="E1025" s="167" t="str">
        <x:v>No</x:v>
      </x:c>
      <x:c r="F1025" s="167"/>
      <x:c r="G1025" s="167" t="str">
        <x:v>Core</x:v>
      </x:c>
      <x:c r="H1025" s="167" t="str">
        <x:v>General</x:v>
      </x:c>
      <x:c r="I1025" s="167" t="str">
        <x:v>Not Started</x:v>
      </x:c>
      <x:c r="J1025" s="167" t="n">
        <x:v>0</x:v>
      </x:c>
      <x:c r="K1025" s="168"/>
      <x:c r="L1025" s="168" t="str">
        <x:f>IF(OR(I1025="Mastered",K1025=""),"",K1025+IF(J1025&gt;=5,30,IF(J1025=4,14,IF(J1025=3,7,IF(J1025=2,3,1)))))</x:f>
      </x:c>
      <x:c r="M1025" s="171" t="str"/>
      <x:c r="N1025" s="171" t="str"/>
      <x:c r="O1025" s="171" t="str">
        <x:v>Draft — verify in context</x:v>
      </x:c>
      <x:c r="P1025" s="167" t="str">
        <x:v>https://www.oxfordlearnersdictionaries.com/wordlists/oxford3000-5000</x:v>
      </x:c>
    </x:row>
    <x:row r="1026" ht="26" customHeight="1">
      <x:c r="A1026" s="167" t="n">
        <x:v>1025</x:v>
      </x:c>
      <x:c r="B1026" s="167" t="str">
        <x:v>rip</x:v>
      </x:c>
      <x:c r="C1026" s="167" t="str">
        <x:v>v.</x:v>
      </x:c>
      <x:c r="D1026" s="170" t="str">
        <x:v>рвати; розривати</x:v>
      </x:c>
      <x:c r="E1026" s="167" t="str">
        <x:v>No</x:v>
      </x:c>
      <x:c r="F1026" s="167"/>
      <x:c r="G1026" s="167" t="str">
        <x:v>Core</x:v>
      </x:c>
      <x:c r="H1026" s="167" t="str">
        <x:v>General</x:v>
      </x:c>
      <x:c r="I1026" s="167" t="str">
        <x:v>Not Started</x:v>
      </x:c>
      <x:c r="J1026" s="167" t="n">
        <x:v>0</x:v>
      </x:c>
      <x:c r="K1026" s="168"/>
      <x:c r="L1026" s="168" t="str">
        <x:f>IF(OR(I1026="Mastered",K1026=""),"",K1026+IF(J1026&gt;=5,30,IF(J1026=4,14,IF(J1026=3,7,IF(J1026=2,3,1)))))</x:f>
      </x:c>
      <x:c r="M1026" s="171" t="str"/>
      <x:c r="N1026" s="171" t="str"/>
      <x:c r="O1026" s="171" t="str">
        <x:v>Draft — verify in context</x:v>
      </x:c>
      <x:c r="P1026" s="167" t="str">
        <x:v>https://www.oxfordlearnersdictionaries.com/wordlists/oxford3000-5000</x:v>
      </x:c>
    </x:row>
    <x:row r="1027" ht="26" customHeight="1">
      <x:c r="A1027" s="167" t="n">
        <x:v>1026</x:v>
      </x:c>
      <x:c r="B1027" s="167" t="str">
        <x:v>ritual</x:v>
      </x:c>
      <x:c r="C1027" s="167" t="str">
        <x:v>n.</x:v>
      </x:c>
      <x:c r="D1027" s="170" t="str">
        <x:v>ритуал</x:v>
      </x:c>
      <x:c r="E1027" s="167" t="str">
        <x:v>No</x:v>
      </x:c>
      <x:c r="F1027" s="167"/>
      <x:c r="G1027" s="167" t="str">
        <x:v>Core</x:v>
      </x:c>
      <x:c r="H1027" s="167" t="str">
        <x:v>General</x:v>
      </x:c>
      <x:c r="I1027" s="167" t="str">
        <x:v>Not Started</x:v>
      </x:c>
      <x:c r="J1027" s="167" t="n">
        <x:v>0</x:v>
      </x:c>
      <x:c r="K1027" s="168"/>
      <x:c r="L1027" s="168" t="str">
        <x:f>IF(OR(I1027="Mastered",K1027=""),"",K1027+IF(J1027&gt;=5,30,IF(J1027=4,14,IF(J1027=3,7,IF(J1027=2,3,1)))))</x:f>
      </x:c>
      <x:c r="M1027" s="171" t="str"/>
      <x:c r="N1027" s="171" t="str"/>
      <x:c r="O1027" s="171" t="str">
        <x:v>Draft — verify in context</x:v>
      </x:c>
      <x:c r="P1027" s="167" t="str">
        <x:v>https://www.oxfordlearnersdictionaries.com/wordlists/oxford3000-5000</x:v>
      </x:c>
    </x:row>
    <x:row r="1028" ht="26" customHeight="1">
      <x:c r="A1028" s="167" t="n">
        <x:v>1027</x:v>
      </x:c>
      <x:c r="B1028" s="167" t="str">
        <x:v>robust</x:v>
      </x:c>
      <x:c r="C1028" s="167" t="str">
        <x:v>adj.</x:v>
      </x:c>
      <x:c r="D1028" s="170" t="str">
        <x:v>надійний</x:v>
      </x:c>
      <x:c r="E1028" s="167" t="str">
        <x:v>No</x:v>
      </x:c>
      <x:c r="F1028" s="167"/>
      <x:c r="G1028" s="167" t="str">
        <x:v>Core</x:v>
      </x:c>
      <x:c r="H1028" s="167" t="str">
        <x:v>General</x:v>
      </x:c>
      <x:c r="I1028" s="167" t="str">
        <x:v>Not Started</x:v>
      </x:c>
      <x:c r="J1028" s="167" t="n">
        <x:v>0</x:v>
      </x:c>
      <x:c r="K1028" s="168"/>
      <x:c r="L1028" s="168" t="str">
        <x:f>IF(OR(I1028="Mastered",K1028=""),"",K1028+IF(J1028&gt;=5,30,IF(J1028=4,14,IF(J1028=3,7,IF(J1028=2,3,1)))))</x:f>
      </x:c>
      <x:c r="M1028" s="171" t="str"/>
      <x:c r="N1028" s="171" t="str"/>
      <x:c r="O1028" s="171" t="str">
        <x:v>Draft — verify in context</x:v>
      </x:c>
      <x:c r="P1028" s="167" t="str">
        <x:v>https://www.oxfordlearnersdictionaries.com/wordlists/oxford3000-5000</x:v>
      </x:c>
    </x:row>
    <x:row r="1029" ht="26" customHeight="1">
      <x:c r="A1029" s="167" t="n">
        <x:v>1028</x:v>
      </x:c>
      <x:c r="B1029" s="167" t="str">
        <x:v>rock</x:v>
      </x:c>
      <x:c r="C1029" s="167" t="str">
        <x:v>v.</x:v>
      </x:c>
      <x:c r="D1029" s="170" t="str">
        <x:v>рок</x:v>
      </x:c>
      <x:c r="E1029" s="167" t="str">
        <x:v>No</x:v>
      </x:c>
      <x:c r="F1029" s="167"/>
      <x:c r="G1029" s="167" t="str">
        <x:v>Core</x:v>
      </x:c>
      <x:c r="H1029" s="167" t="str">
        <x:v>General</x:v>
      </x:c>
      <x:c r="I1029" s="167" t="str">
        <x:v>Not Started</x:v>
      </x:c>
      <x:c r="J1029" s="167" t="n">
        <x:v>0</x:v>
      </x:c>
      <x:c r="K1029" s="168"/>
      <x:c r="L1029" s="168" t="str">
        <x:f>IF(OR(I1029="Mastered",K1029=""),"",K1029+IF(J1029&gt;=5,30,IF(J1029=4,14,IF(J1029=3,7,IF(J1029=2,3,1)))))</x:f>
      </x:c>
      <x:c r="M1029" s="171" t="str"/>
      <x:c r="N1029" s="171" t="str"/>
      <x:c r="O1029" s="171" t="str">
        <x:v>Draft — verify in context</x:v>
      </x:c>
      <x:c r="P1029" s="167" t="str">
        <x:v>https://www.oxfordlearnersdictionaries.com/wordlists/oxford3000-5000</x:v>
      </x:c>
    </x:row>
    <x:row r="1030" ht="26" customHeight="1">
      <x:c r="A1030" s="167" t="n">
        <x:v>1029</x:v>
      </x:c>
      <x:c r="B1030" s="167" t="str">
        <x:v>rod</x:v>
      </x:c>
      <x:c r="C1030" s="167" t="str">
        <x:v>n.</x:v>
      </x:c>
      <x:c r="D1030" s="170" t="str">
        <x:v>стрижень</x:v>
      </x:c>
      <x:c r="E1030" s="167" t="str">
        <x:v>No</x:v>
      </x:c>
      <x:c r="F1030" s="167"/>
      <x:c r="G1030" s="167" t="str">
        <x:v>Core</x:v>
      </x:c>
      <x:c r="H1030" s="167" t="str">
        <x:v>General</x:v>
      </x:c>
      <x:c r="I1030" s="167" t="str">
        <x:v>Not Started</x:v>
      </x:c>
      <x:c r="J1030" s="167" t="n">
        <x:v>0</x:v>
      </x:c>
      <x:c r="K1030" s="168"/>
      <x:c r="L1030" s="168" t="str">
        <x:f>IF(OR(I1030="Mastered",K1030=""),"",K1030+IF(J1030&gt;=5,30,IF(J1030=4,14,IF(J1030=3,7,IF(J1030=2,3,1)))))</x:f>
      </x:c>
      <x:c r="M1030" s="171" t="str"/>
      <x:c r="N1030" s="171" t="str"/>
      <x:c r="O1030" s="171" t="str">
        <x:v>Draft — verify in context</x:v>
      </x:c>
      <x:c r="P1030" s="167" t="str">
        <x:v>https://www.oxfordlearnersdictionaries.com/wordlists/oxford3000-5000</x:v>
      </x:c>
    </x:row>
    <x:row r="1031" ht="26" customHeight="1">
      <x:c r="A1031" s="167" t="n">
        <x:v>1030</x:v>
      </x:c>
      <x:c r="B1031" s="167" t="str">
        <x:v>rotate</x:v>
      </x:c>
      <x:c r="C1031" s="167" t="str">
        <x:v>v.</x:v>
      </x:c>
      <x:c r="D1031" s="170" t="str">
        <x:v>обертатися</x:v>
      </x:c>
      <x:c r="E1031" s="167" t="str">
        <x:v>No</x:v>
      </x:c>
      <x:c r="F1031" s="167"/>
      <x:c r="G1031" s="167" t="str">
        <x:v>Core</x:v>
      </x:c>
      <x:c r="H1031" s="167" t="str">
        <x:v>General</x:v>
      </x:c>
      <x:c r="I1031" s="167" t="str">
        <x:v>Not Started</x:v>
      </x:c>
      <x:c r="J1031" s="167" t="n">
        <x:v>0</x:v>
      </x:c>
      <x:c r="K1031" s="168"/>
      <x:c r="L1031" s="168" t="str">
        <x:f>IF(OR(I1031="Mastered",K1031=""),"",K1031+IF(J1031&gt;=5,30,IF(J1031=4,14,IF(J1031=3,7,IF(J1031=2,3,1)))))</x:f>
      </x:c>
      <x:c r="M1031" s="171" t="str"/>
      <x:c r="N1031" s="171" t="str"/>
      <x:c r="O1031" s="171" t="str">
        <x:v>Draft — verify in context</x:v>
      </x:c>
      <x:c r="P1031" s="167" t="str">
        <x:v>https://www.oxfordlearnersdictionaries.com/wordlists/oxford3000-5000</x:v>
      </x:c>
    </x:row>
    <x:row r="1032" ht="26" customHeight="1">
      <x:c r="A1032" s="167" t="n">
        <x:v>1031</x:v>
      </x:c>
      <x:c r="B1032" s="167" t="str">
        <x:v>rotation</x:v>
      </x:c>
      <x:c r="C1032" s="167" t="str">
        <x:v>n.</x:v>
      </x:c>
      <x:c r="D1032" s="170" t="str">
        <x:v>обертання</x:v>
      </x:c>
      <x:c r="E1032" s="167" t="str">
        <x:v>No</x:v>
      </x:c>
      <x:c r="F1032" s="167"/>
      <x:c r="G1032" s="167" t="str">
        <x:v>Core</x:v>
      </x:c>
      <x:c r="H1032" s="167" t="str">
        <x:v>General</x:v>
      </x:c>
      <x:c r="I1032" s="167" t="str">
        <x:v>Not Started</x:v>
      </x:c>
      <x:c r="J1032" s="167" t="n">
        <x:v>0</x:v>
      </x:c>
      <x:c r="K1032" s="168"/>
      <x:c r="L1032" s="168" t="str">
        <x:f>IF(OR(I1032="Mastered",K1032=""),"",K1032+IF(J1032&gt;=5,30,IF(J1032=4,14,IF(J1032=3,7,IF(J1032=2,3,1)))))</x:f>
      </x:c>
      <x:c r="M1032" s="171" t="str"/>
      <x:c r="N1032" s="171" t="str"/>
      <x:c r="O1032" s="171" t="str">
        <x:v>Draft — verify in context</x:v>
      </x:c>
      <x:c r="P1032" s="167" t="str">
        <x:v>https://www.oxfordlearnersdictionaries.com/wordlists/oxford3000-5000</x:v>
      </x:c>
    </x:row>
    <x:row r="1033" ht="26" customHeight="1">
      <x:c r="A1033" s="167" t="n">
        <x:v>1032</x:v>
      </x:c>
      <x:c r="B1033" s="167" t="str">
        <x:v>ruling</x:v>
      </x:c>
      <x:c r="C1033" s="167" t="str">
        <x:v>n.</x:v>
      </x:c>
      <x:c r="D1033" s="170" t="str">
        <x:v>правлячий</x:v>
      </x:c>
      <x:c r="E1033" s="167" t="str">
        <x:v>No</x:v>
      </x:c>
      <x:c r="F1033" s="167"/>
      <x:c r="G1033" s="167" t="str">
        <x:v>Core</x:v>
      </x:c>
      <x:c r="H1033" s="167" t="str">
        <x:v>General</x:v>
      </x:c>
      <x:c r="I1033" s="167" t="str">
        <x:v>Not Started</x:v>
      </x:c>
      <x:c r="J1033" s="167" t="n">
        <x:v>0</x:v>
      </x:c>
      <x:c r="K1033" s="168"/>
      <x:c r="L1033" s="168" t="str">
        <x:f>IF(OR(I1033="Mastered",K1033=""),"",K1033+IF(J1033&gt;=5,30,IF(J1033=4,14,IF(J1033=3,7,IF(J1033=2,3,1)))))</x:f>
      </x:c>
      <x:c r="M1033" s="171" t="str"/>
      <x:c r="N1033" s="171" t="str"/>
      <x:c r="O1033" s="171" t="str">
        <x:v>Draft — verify in context</x:v>
      </x:c>
      <x:c r="P1033" s="167" t="str">
        <x:v>https://www.oxfordlearnersdictionaries.com/wordlists/oxford3000-5000</x:v>
      </x:c>
    </x:row>
    <x:row r="1034" ht="26" customHeight="1">
      <x:c r="A1034" s="167" t="n">
        <x:v>1033</x:v>
      </x:c>
      <x:c r="B1034" s="167" t="str">
        <x:v>rumour</x:v>
      </x:c>
      <x:c r="C1034" s="167" t="str">
        <x:v>n.</x:v>
      </x:c>
      <x:c r="D1034" s="170" t="str">
        <x:v>чутка</x:v>
      </x:c>
      <x:c r="E1034" s="167" t="str">
        <x:v>No</x:v>
      </x:c>
      <x:c r="F1034" s="167"/>
      <x:c r="G1034" s="167" t="str">
        <x:v>Core</x:v>
      </x:c>
      <x:c r="H1034" s="167" t="str">
        <x:v>General</x:v>
      </x:c>
      <x:c r="I1034" s="167" t="str">
        <x:v>Not Started</x:v>
      </x:c>
      <x:c r="J1034" s="167" t="n">
        <x:v>0</x:v>
      </x:c>
      <x:c r="K1034" s="168"/>
      <x:c r="L1034" s="168" t="str">
        <x:f>IF(OR(I1034="Mastered",K1034=""),"",K1034+IF(J1034&gt;=5,30,IF(J1034=4,14,IF(J1034=3,7,IF(J1034=2,3,1)))))</x:f>
      </x:c>
      <x:c r="M1034" s="171" t="str"/>
      <x:c r="N1034" s="171" t="str"/>
      <x:c r="O1034" s="171" t="str">
        <x:v>Draft — verify in context</x:v>
      </x:c>
      <x:c r="P1034" s="167" t="str">
        <x:v>https://www.oxfordlearnersdictionaries.com/wordlists/oxford3000-5000</x:v>
      </x:c>
    </x:row>
    <x:row r="1035" ht="26" customHeight="1">
      <x:c r="A1035" s="167" t="n">
        <x:v>1034</x:v>
      </x:c>
      <x:c r="B1035" s="167" t="str">
        <x:v>sack</x:v>
      </x:c>
      <x:c r="C1035" s="167" t="str">
        <x:v>v.</x:v>
      </x:c>
      <x:c r="D1035" s="170" t="str">
        <x:v>мішок</x:v>
      </x:c>
      <x:c r="E1035" s="167" t="str">
        <x:v>No</x:v>
      </x:c>
      <x:c r="F1035" s="167"/>
      <x:c r="G1035" s="167" t="str">
        <x:v>Core</x:v>
      </x:c>
      <x:c r="H1035" s="167" t="str">
        <x:v>General</x:v>
      </x:c>
      <x:c r="I1035" s="167" t="str">
        <x:v>Not Started</x:v>
      </x:c>
      <x:c r="J1035" s="167" t="n">
        <x:v>0</x:v>
      </x:c>
      <x:c r="K1035" s="168"/>
      <x:c r="L1035" s="168" t="str">
        <x:f>IF(OR(I1035="Mastered",K1035=""),"",K1035+IF(J1035&gt;=5,30,IF(J1035=4,14,IF(J1035=3,7,IF(J1035=2,3,1)))))</x:f>
      </x:c>
      <x:c r="M1035" s="171" t="str"/>
      <x:c r="N1035" s="171" t="str"/>
      <x:c r="O1035" s="171" t="str">
        <x:v>Draft — verify in context</x:v>
      </x:c>
      <x:c r="P1035" s="167" t="str">
        <x:v>https://www.oxfordlearnersdictionaries.com/wordlists/oxford3000-5000</x:v>
      </x:c>
    </x:row>
    <x:row r="1036" ht="26" customHeight="1">
      <x:c r="A1036" s="167" t="n">
        <x:v>1035</x:v>
      </x:c>
      <x:c r="B1036" s="167" t="str">
        <x:v>sacred</x:v>
      </x:c>
      <x:c r="C1036" s="167" t="str">
        <x:v>adj.</x:v>
      </x:c>
      <x:c r="D1036" s="170" t="str">
        <x:v>священний</x:v>
      </x:c>
      <x:c r="E1036" s="167" t="str">
        <x:v>No</x:v>
      </x:c>
      <x:c r="F1036" s="167"/>
      <x:c r="G1036" s="167" t="str">
        <x:v>Core</x:v>
      </x:c>
      <x:c r="H1036" s="167" t="str">
        <x:v>General</x:v>
      </x:c>
      <x:c r="I1036" s="167" t="str">
        <x:v>Not Started</x:v>
      </x:c>
      <x:c r="J1036" s="167" t="n">
        <x:v>0</x:v>
      </x:c>
      <x:c r="K1036" s="168"/>
      <x:c r="L1036" s="168" t="str">
        <x:f>IF(OR(I1036="Mastered",K1036=""),"",K1036+IF(J1036&gt;=5,30,IF(J1036=4,14,IF(J1036=3,7,IF(J1036=2,3,1)))))</x:f>
      </x:c>
      <x:c r="M1036" s="171" t="str"/>
      <x:c r="N1036" s="171" t="str"/>
      <x:c r="O1036" s="171" t="str">
        <x:v>Draft — verify in context</x:v>
      </x:c>
      <x:c r="P1036" s="167" t="str">
        <x:v>https://www.oxfordlearnersdictionaries.com/wordlists/oxford3000-5000</x:v>
      </x:c>
    </x:row>
    <x:row r="1037" ht="26" customHeight="1">
      <x:c r="A1037" s="167" t="n">
        <x:v>1036</x:v>
      </x:c>
      <x:c r="B1037" s="167" t="str">
        <x:v>sacrifice</x:v>
      </x:c>
      <x:c r="C1037" s="167" t="str">
        <x:v>n., v.</x:v>
      </x:c>
      <x:c r="D1037" s="170" t="str">
        <x:v>жертва</x:v>
      </x:c>
      <x:c r="E1037" s="167" t="str">
        <x:v>No</x:v>
      </x:c>
      <x:c r="F1037" s="167"/>
      <x:c r="G1037" s="167" t="str">
        <x:v>Core</x:v>
      </x:c>
      <x:c r="H1037" s="167" t="str">
        <x:v>General</x:v>
      </x:c>
      <x:c r="I1037" s="167" t="str">
        <x:v>Not Started</x:v>
      </x:c>
      <x:c r="J1037" s="167" t="n">
        <x:v>0</x:v>
      </x:c>
      <x:c r="K1037" s="168"/>
      <x:c r="L1037" s="168" t="str">
        <x:f>IF(OR(I1037="Mastered",K1037=""),"",K1037+IF(J1037&gt;=5,30,IF(J1037=4,14,IF(J1037=3,7,IF(J1037=2,3,1)))))</x:f>
      </x:c>
      <x:c r="M1037" s="171" t="str"/>
      <x:c r="N1037" s="171" t="str"/>
      <x:c r="O1037" s="171" t="str">
        <x:v>Draft — verify in context</x:v>
      </x:c>
      <x:c r="P1037" s="167" t="str">
        <x:v>https://www.oxfordlearnersdictionaries.com/wordlists/oxford3000-5000</x:v>
      </x:c>
    </x:row>
    <x:row r="1038" ht="26" customHeight="1">
      <x:c r="A1038" s="167" t="n">
        <x:v>1037</x:v>
      </x:c>
      <x:c r="B1038" s="167" t="str">
        <x:v>saint</x:v>
      </x:c>
      <x:c r="C1038" s="167" t="str">
        <x:v>n.</x:v>
      </x:c>
      <x:c r="D1038" s="170" t="str">
        <x:v>святий</x:v>
      </x:c>
      <x:c r="E1038" s="167" t="str">
        <x:v>No</x:v>
      </x:c>
      <x:c r="F1038" s="167"/>
      <x:c r="G1038" s="167" t="str">
        <x:v>Core</x:v>
      </x:c>
      <x:c r="H1038" s="167" t="str">
        <x:v>General</x:v>
      </x:c>
      <x:c r="I1038" s="167" t="str">
        <x:v>Not Started</x:v>
      </x:c>
      <x:c r="J1038" s="167" t="n">
        <x:v>0</x:v>
      </x:c>
      <x:c r="K1038" s="168"/>
      <x:c r="L1038" s="168" t="str">
        <x:f>IF(OR(I1038="Mastered",K1038=""),"",K1038+IF(J1038&gt;=5,30,IF(J1038=4,14,IF(J1038=3,7,IF(J1038=2,3,1)))))</x:f>
      </x:c>
      <x:c r="M1038" s="171" t="str"/>
      <x:c r="N1038" s="171" t="str"/>
      <x:c r="O1038" s="171" t="str">
        <x:v>Draft — verify in context</x:v>
      </x:c>
      <x:c r="P1038" s="167" t="str">
        <x:v>https://www.oxfordlearnersdictionaries.com/wordlists/oxford3000-5000</x:v>
      </x:c>
    </x:row>
    <x:row r="1039" ht="26" customHeight="1">
      <x:c r="A1039" s="167" t="n">
        <x:v>1038</x:v>
      </x:c>
      <x:c r="B1039" s="167" t="str">
        <x:v>sake</x:v>
      </x:c>
      <x:c r="C1039" s="167" t="str">
        <x:v>n.</x:v>
      </x:c>
      <x:c r="D1039" s="170" t="str">
        <x:v>заради</x:v>
      </x:c>
      <x:c r="E1039" s="167" t="str">
        <x:v>No</x:v>
      </x:c>
      <x:c r="F1039" s="167"/>
      <x:c r="G1039" s="167" t="str">
        <x:v>Core</x:v>
      </x:c>
      <x:c r="H1039" s="167" t="str">
        <x:v>General</x:v>
      </x:c>
      <x:c r="I1039" s="167" t="str">
        <x:v>Not Started</x:v>
      </x:c>
      <x:c r="J1039" s="167" t="n">
        <x:v>0</x:v>
      </x:c>
      <x:c r="K1039" s="168"/>
      <x:c r="L1039" s="168" t="str">
        <x:f>IF(OR(I1039="Mastered",K1039=""),"",K1039+IF(J1039&gt;=5,30,IF(J1039=4,14,IF(J1039=3,7,IF(J1039=2,3,1)))))</x:f>
      </x:c>
      <x:c r="M1039" s="171" t="str"/>
      <x:c r="N1039" s="171" t="str"/>
      <x:c r="O1039" s="171" t="str">
        <x:v>Draft — verify in context</x:v>
      </x:c>
      <x:c r="P1039" s="167" t="str">
        <x:v>https://www.oxfordlearnersdictionaries.com/wordlists/oxford3000-5000</x:v>
      </x:c>
    </x:row>
    <x:row r="1040" ht="26" customHeight="1">
      <x:c r="A1040" s="167" t="n">
        <x:v>1039</x:v>
      </x:c>
      <x:c r="B1040" s="167" t="str">
        <x:v>sanction</x:v>
      </x:c>
      <x:c r="C1040" s="167" t="str">
        <x:v>n.</x:v>
      </x:c>
      <x:c r="D1040" s="170" t="str">
        <x:v>санкція</x:v>
      </x:c>
      <x:c r="E1040" s="167" t="str">
        <x:v>No</x:v>
      </x:c>
      <x:c r="F1040" s="167"/>
      <x:c r="G1040" s="167" t="str">
        <x:v>Core</x:v>
      </x:c>
      <x:c r="H1040" s="167" t="str">
        <x:v>General</x:v>
      </x:c>
      <x:c r="I1040" s="167" t="str">
        <x:v>Not Started</x:v>
      </x:c>
      <x:c r="J1040" s="167" t="n">
        <x:v>0</x:v>
      </x:c>
      <x:c r="K1040" s="168"/>
      <x:c r="L1040" s="168" t="str">
        <x:f>IF(OR(I1040="Mastered",K1040=""),"",K1040+IF(J1040&gt;=5,30,IF(J1040=4,14,IF(J1040=3,7,IF(J1040=2,3,1)))))</x:f>
      </x:c>
      <x:c r="M1040" s="171" t="str"/>
      <x:c r="N1040" s="171" t="str"/>
      <x:c r="O1040" s="171" t="str">
        <x:v>Draft — verify in context</x:v>
      </x:c>
      <x:c r="P1040" s="167" t="str">
        <x:v>https://www.oxfordlearnersdictionaries.com/wordlists/oxford3000-5000</x:v>
      </x:c>
    </x:row>
    <x:row r="1041" ht="26" customHeight="1">
      <x:c r="A1041" s="167" t="n">
        <x:v>1040</x:v>
      </x:c>
      <x:c r="B1041" s="167" t="str">
        <x:v>say</x:v>
      </x:c>
      <x:c r="C1041" s="167" t="str">
        <x:v>n.</x:v>
      </x:c>
      <x:c r="D1041" s="170" t="str">
        <x:v>сказати</x:v>
      </x:c>
      <x:c r="E1041" s="167" t="str">
        <x:v>No</x:v>
      </x:c>
      <x:c r="F1041" s="167"/>
      <x:c r="G1041" s="167" t="str">
        <x:v>Core</x:v>
      </x:c>
      <x:c r="H1041" s="167" t="str">
        <x:v>General</x:v>
      </x:c>
      <x:c r="I1041" s="167" t="str">
        <x:v>Not Started</x:v>
      </x:c>
      <x:c r="J1041" s="167" t="n">
        <x:v>0</x:v>
      </x:c>
      <x:c r="K1041" s="168"/>
      <x:c r="L1041" s="168" t="str">
        <x:f>IF(OR(I1041="Mastered",K1041=""),"",K1041+IF(J1041&gt;=5,30,IF(J1041=4,14,IF(J1041=3,7,IF(J1041=2,3,1)))))</x:f>
      </x:c>
      <x:c r="M1041" s="171" t="str"/>
      <x:c r="N1041" s="171" t="str"/>
      <x:c r="O1041" s="171" t="str">
        <x:v>Draft — verify in context</x:v>
      </x:c>
      <x:c r="P1041" s="167" t="str">
        <x:v>https://www.oxfordlearnersdictionaries.com/wordlists/oxford3000-5000</x:v>
      </x:c>
    </x:row>
    <x:row r="1042" ht="26" customHeight="1">
      <x:c r="A1042" s="167" t="n">
        <x:v>1041</x:v>
      </x:c>
      <x:c r="B1042" s="167" t="str">
        <x:v>scattered</x:v>
      </x:c>
      <x:c r="C1042" s="167" t="str">
        <x:v>adj.</x:v>
      </x:c>
      <x:c r="D1042" s="170" t="str">
        <x:v>розкиданий</x:v>
      </x:c>
      <x:c r="E1042" s="167" t="str">
        <x:v>No</x:v>
      </x:c>
      <x:c r="F1042" s="167"/>
      <x:c r="G1042" s="167" t="str">
        <x:v>Core</x:v>
      </x:c>
      <x:c r="H1042" s="167" t="str">
        <x:v>General</x:v>
      </x:c>
      <x:c r="I1042" s="167" t="str">
        <x:v>Not Started</x:v>
      </x:c>
      <x:c r="J1042" s="167" t="n">
        <x:v>0</x:v>
      </x:c>
      <x:c r="K1042" s="168"/>
      <x:c r="L1042" s="168" t="str">
        <x:f>IF(OR(I1042="Mastered",K1042=""),"",K1042+IF(J1042&gt;=5,30,IF(J1042=4,14,IF(J1042=3,7,IF(J1042=2,3,1)))))</x:f>
      </x:c>
      <x:c r="M1042" s="171" t="str"/>
      <x:c r="N1042" s="171" t="str"/>
      <x:c r="O1042" s="171" t="str">
        <x:v>Draft — verify in context</x:v>
      </x:c>
      <x:c r="P1042" s="167" t="str">
        <x:v>https://www.oxfordlearnersdictionaries.com/wordlists/oxford3000-5000</x:v>
      </x:c>
    </x:row>
    <x:row r="1043" ht="26" customHeight="1">
      <x:c r="A1043" s="167" t="n">
        <x:v>1042</x:v>
      </x:c>
      <x:c r="B1043" s="167" t="str">
        <x:v>sceptical</x:v>
      </x:c>
      <x:c r="C1043" s="167" t="str">
        <x:v>adj.</x:v>
      </x:c>
      <x:c r="D1043" s="170" t="str">
        <x:v>скептичний</x:v>
      </x:c>
      <x:c r="E1043" s="167" t="str">
        <x:v>No</x:v>
      </x:c>
      <x:c r="F1043" s="167"/>
      <x:c r="G1043" s="167" t="str">
        <x:v>Core</x:v>
      </x:c>
      <x:c r="H1043" s="167" t="str">
        <x:v>General</x:v>
      </x:c>
      <x:c r="I1043" s="167" t="str">
        <x:v>Not Started</x:v>
      </x:c>
      <x:c r="J1043" s="167" t="n">
        <x:v>0</x:v>
      </x:c>
      <x:c r="K1043" s="168"/>
      <x:c r="L1043" s="168" t="str">
        <x:f>IF(OR(I1043="Mastered",K1043=""),"",K1043+IF(J1043&gt;=5,30,IF(J1043=4,14,IF(J1043=3,7,IF(J1043=2,3,1)))))</x:f>
      </x:c>
      <x:c r="M1043" s="171" t="str"/>
      <x:c r="N1043" s="171" t="str"/>
      <x:c r="O1043" s="171" t="str">
        <x:v>Draft — verify in context</x:v>
      </x:c>
      <x:c r="P1043" s="167" t="str">
        <x:v>https://www.oxfordlearnersdictionaries.com/wordlists/oxford3000-5000</x:v>
      </x:c>
    </x:row>
    <x:row r="1044" ht="26" customHeight="1">
      <x:c r="A1044" s="167" t="n">
        <x:v>1043</x:v>
      </x:c>
      <x:c r="B1044" s="167" t="str">
        <x:v>scope</x:v>
      </x:c>
      <x:c r="C1044" s="167" t="str">
        <x:v>n.</x:v>
      </x:c>
      <x:c r="D1044" s="170" t="str">
        <x:v>обсяг</x:v>
      </x:c>
      <x:c r="E1044" s="167" t="str">
        <x:v>Yes</x:v>
      </x:c>
      <x:c r="F1044" s="167" t="n">
        <x:v>6</x:v>
      </x:c>
      <x:c r="G1044" s="167" t="str">
        <x:v>High</x:v>
      </x:c>
      <x:c r="H1044" s="167" t="str">
        <x:v>General</x:v>
      </x:c>
      <x:c r="I1044" s="167" t="str">
        <x:v>Not Started</x:v>
      </x:c>
      <x:c r="J1044" s="167" t="n">
        <x:v>0</x:v>
      </x:c>
      <x:c r="K1044" s="168"/>
      <x:c r="L1044" s="168" t="str">
        <x:f>IF(OR(I1044="Mastered",K1044=""),"",K1044+IF(J1044&gt;=5,30,IF(J1044=4,14,IF(J1044=3,7,IF(J1044=2,3,1)))))</x:f>
      </x:c>
      <x:c r="M1044" s="171" t="str"/>
      <x:c r="N1044" s="171" t="str"/>
      <x:c r="O1044" s="171" t="str">
        <x:v>Draft — verify in context</x:v>
      </x:c>
      <x:c r="P1044" s="167" t="str">
        <x:v>https://www.oxfordlearnersdictionaries.com/wordlists/oxford3000-5000</x:v>
      </x:c>
    </x:row>
    <x:row r="1045" ht="26" customHeight="1">
      <x:c r="A1045" s="167" t="n">
        <x:v>1044</x:v>
      </x:c>
      <x:c r="B1045" s="167" t="str">
        <x:v>screw</x:v>
      </x:c>
      <x:c r="C1045" s="167" t="str">
        <x:v>v., n.</x:v>
      </x:c>
      <x:c r="D1045" s="170" t="str">
        <x:v>гвинт</x:v>
      </x:c>
      <x:c r="E1045" s="167" t="str">
        <x:v>No</x:v>
      </x:c>
      <x:c r="F1045" s="167"/>
      <x:c r="G1045" s="167" t="str">
        <x:v>Core</x:v>
      </x:c>
      <x:c r="H1045" s="167" t="str">
        <x:v>General</x:v>
      </x:c>
      <x:c r="I1045" s="167" t="str">
        <x:v>Not Started</x:v>
      </x:c>
      <x:c r="J1045" s="167" t="n">
        <x:v>0</x:v>
      </x:c>
      <x:c r="K1045" s="168"/>
      <x:c r="L1045" s="168" t="str">
        <x:f>IF(OR(I1045="Mastered",K1045=""),"",K1045+IF(J1045&gt;=5,30,IF(J1045=4,14,IF(J1045=3,7,IF(J1045=2,3,1)))))</x:f>
      </x:c>
      <x:c r="M1045" s="171" t="str"/>
      <x:c r="N1045" s="171" t="str"/>
      <x:c r="O1045" s="171" t="str">
        <x:v>Draft — verify in context</x:v>
      </x:c>
      <x:c r="P1045" s="167" t="str">
        <x:v>https://www.oxfordlearnersdictionaries.com/wordlists/oxford3000-5000</x:v>
      </x:c>
    </x:row>
    <x:row r="1046" ht="26" customHeight="1">
      <x:c r="A1046" s="167" t="n">
        <x:v>1045</x:v>
      </x:c>
      <x:c r="B1046" s="167" t="str">
        <x:v>scrutiny</x:v>
      </x:c>
      <x:c r="C1046" s="167" t="str">
        <x:v>n.</x:v>
      </x:c>
      <x:c r="D1046" s="170" t="str">
        <x:v>перевірка</x:v>
      </x:c>
      <x:c r="E1046" s="167" t="str">
        <x:v>No</x:v>
      </x:c>
      <x:c r="F1046" s="167"/>
      <x:c r="G1046" s="167" t="str">
        <x:v>Core</x:v>
      </x:c>
      <x:c r="H1046" s="167" t="str">
        <x:v>General</x:v>
      </x:c>
      <x:c r="I1046" s="167" t="str">
        <x:v>Not Started</x:v>
      </x:c>
      <x:c r="J1046" s="167" t="n">
        <x:v>0</x:v>
      </x:c>
      <x:c r="K1046" s="168"/>
      <x:c r="L1046" s="168" t="str">
        <x:f>IF(OR(I1046="Mastered",K1046=""),"",K1046+IF(J1046&gt;=5,30,IF(J1046=4,14,IF(J1046=3,7,IF(J1046=2,3,1)))))</x:f>
      </x:c>
      <x:c r="M1046" s="171" t="str"/>
      <x:c r="N1046" s="171" t="str"/>
      <x:c r="O1046" s="171" t="str">
        <x:v>Draft — verify in context</x:v>
      </x:c>
      <x:c r="P1046" s="167" t="str">
        <x:v>https://www.oxfordlearnersdictionaries.com/wordlists/oxford3000-5000</x:v>
      </x:c>
    </x:row>
    <x:row r="1047" ht="26" customHeight="1">
      <x:c r="A1047" s="167" t="n">
        <x:v>1046</x:v>
      </x:c>
      <x:c r="B1047" s="167" t="str">
        <x:v>seal</x:v>
      </x:c>
      <x:c r="C1047" s="167" t="str">
        <x:v>v., n.</x:v>
      </x:c>
      <x:c r="D1047" s="170" t="str">
        <x:v>печатка</x:v>
      </x:c>
      <x:c r="E1047" s="167" t="str">
        <x:v>No</x:v>
      </x:c>
      <x:c r="F1047" s="167"/>
      <x:c r="G1047" s="167" t="str">
        <x:v>Core</x:v>
      </x:c>
      <x:c r="H1047" s="167" t="str">
        <x:v>General</x:v>
      </x:c>
      <x:c r="I1047" s="167" t="str">
        <x:v>Not Started</x:v>
      </x:c>
      <x:c r="J1047" s="167" t="n">
        <x:v>0</x:v>
      </x:c>
      <x:c r="K1047" s="168"/>
      <x:c r="L1047" s="168" t="str">
        <x:f>IF(OR(I1047="Mastered",K1047=""),"",K1047+IF(J1047&gt;=5,30,IF(J1047=4,14,IF(J1047=3,7,IF(J1047=2,3,1)))))</x:f>
      </x:c>
      <x:c r="M1047" s="171" t="str"/>
      <x:c r="N1047" s="171" t="str"/>
      <x:c r="O1047" s="171" t="str">
        <x:v>Draft — verify in context</x:v>
      </x:c>
      <x:c r="P1047" s="167" t="str">
        <x:v>https://www.oxfordlearnersdictionaries.com/wordlists/oxford3000-5000</x:v>
      </x:c>
    </x:row>
    <x:row r="1048" ht="26" customHeight="1">
      <x:c r="A1048" s="167" t="n">
        <x:v>1047</x:v>
      </x:c>
      <x:c r="B1048" s="167" t="str">
        <x:v>secular</x:v>
      </x:c>
      <x:c r="C1048" s="167" t="str">
        <x:v>adj.</x:v>
      </x:c>
      <x:c r="D1048" s="170" t="str">
        <x:v>світський</x:v>
      </x:c>
      <x:c r="E1048" s="167" t="str">
        <x:v>No</x:v>
      </x:c>
      <x:c r="F1048" s="167"/>
      <x:c r="G1048" s="167" t="str">
        <x:v>Core</x:v>
      </x:c>
      <x:c r="H1048" s="167" t="str">
        <x:v>General</x:v>
      </x:c>
      <x:c r="I1048" s="167" t="str">
        <x:v>Not Started</x:v>
      </x:c>
      <x:c r="J1048" s="167" t="n">
        <x:v>0</x:v>
      </x:c>
      <x:c r="K1048" s="168"/>
      <x:c r="L1048" s="168" t="str">
        <x:f>IF(OR(I1048="Mastered",K1048=""),"",K1048+IF(J1048&gt;=5,30,IF(J1048=4,14,IF(J1048=3,7,IF(J1048=2,3,1)))))</x:f>
      </x:c>
      <x:c r="M1048" s="171" t="str"/>
      <x:c r="N1048" s="171" t="str"/>
      <x:c r="O1048" s="171" t="str">
        <x:v>Draft — verify in context</x:v>
      </x:c>
      <x:c r="P1048" s="167" t="str">
        <x:v>https://www.oxfordlearnersdictionaries.com/wordlists/oxford3000-5000</x:v>
      </x:c>
    </x:row>
    <x:row r="1049" ht="26" customHeight="1">
      <x:c r="A1049" s="167" t="n">
        <x:v>1048</x:v>
      </x:c>
      <x:c r="B1049" s="167" t="str">
        <x:v>seemingly</x:v>
      </x:c>
      <x:c r="C1049" s="167" t="str">
        <x:v>adv.</x:v>
      </x:c>
      <x:c r="D1049" s="170" t="str">
        <x:v>здавалося б</x:v>
      </x:c>
      <x:c r="E1049" s="167" t="str">
        <x:v>No</x:v>
      </x:c>
      <x:c r="F1049" s="167"/>
      <x:c r="G1049" s="167" t="str">
        <x:v>Core</x:v>
      </x:c>
      <x:c r="H1049" s="167" t="str">
        <x:v>General</x:v>
      </x:c>
      <x:c r="I1049" s="167" t="str">
        <x:v>Not Started</x:v>
      </x:c>
      <x:c r="J1049" s="167" t="n">
        <x:v>0</x:v>
      </x:c>
      <x:c r="K1049" s="168"/>
      <x:c r="L1049" s="168" t="str">
        <x:f>IF(OR(I1049="Mastered",K1049=""),"",K1049+IF(J1049&gt;=5,30,IF(J1049=4,14,IF(J1049=3,7,IF(J1049=2,3,1)))))</x:f>
      </x:c>
      <x:c r="M1049" s="171" t="str"/>
      <x:c r="N1049" s="171" t="str"/>
      <x:c r="O1049" s="171" t="str">
        <x:v>Draft — verify in context</x:v>
      </x:c>
      <x:c r="P1049" s="167" t="str">
        <x:v>https://www.oxfordlearnersdictionaries.com/wordlists/oxford3000-5000</x:v>
      </x:c>
    </x:row>
    <x:row r="1050" ht="26" customHeight="1">
      <x:c r="A1050" s="167" t="n">
        <x:v>1049</x:v>
      </x:c>
      <x:c r="B1050" s="167" t="str">
        <x:v>segment</x:v>
      </x:c>
      <x:c r="C1050" s="167" t="str">
        <x:v>n.</x:v>
      </x:c>
      <x:c r="D1050" s="170" t="str">
        <x:v>сегмент</x:v>
      </x:c>
      <x:c r="E1050" s="167" t="str">
        <x:v>No</x:v>
      </x:c>
      <x:c r="F1050" s="167"/>
      <x:c r="G1050" s="167" t="str">
        <x:v>Core</x:v>
      </x:c>
      <x:c r="H1050" s="167" t="str">
        <x:v>General</x:v>
      </x:c>
      <x:c r="I1050" s="167" t="str">
        <x:v>Not Started</x:v>
      </x:c>
      <x:c r="J1050" s="167" t="n">
        <x:v>0</x:v>
      </x:c>
      <x:c r="K1050" s="168"/>
      <x:c r="L1050" s="168" t="str">
        <x:f>IF(OR(I1050="Mastered",K1050=""),"",K1050+IF(J1050&gt;=5,30,IF(J1050=4,14,IF(J1050=3,7,IF(J1050=2,3,1)))))</x:f>
      </x:c>
      <x:c r="M1050" s="171" t="str"/>
      <x:c r="N1050" s="171" t="str"/>
      <x:c r="O1050" s="171" t="str">
        <x:v>Draft — verify in context</x:v>
      </x:c>
      <x:c r="P1050" s="167" t="str">
        <x:v>https://www.oxfordlearnersdictionaries.com/wordlists/oxford3000-5000</x:v>
      </x:c>
    </x:row>
    <x:row r="1051" ht="26" customHeight="1">
      <x:c r="A1051" s="167" t="n">
        <x:v>1050</x:v>
      </x:c>
      <x:c r="B1051" s="167" t="str">
        <x:v>seize</x:v>
      </x:c>
      <x:c r="C1051" s="167" t="str">
        <x:v>v.</x:v>
      </x:c>
      <x:c r="D1051" s="170" t="str">
        <x:v>схопити</x:v>
      </x:c>
      <x:c r="E1051" s="167" t="str">
        <x:v>No</x:v>
      </x:c>
      <x:c r="F1051" s="167"/>
      <x:c r="G1051" s="167" t="str">
        <x:v>Core</x:v>
      </x:c>
      <x:c r="H1051" s="167" t="str">
        <x:v>General</x:v>
      </x:c>
      <x:c r="I1051" s="167" t="str">
        <x:v>Not Started</x:v>
      </x:c>
      <x:c r="J1051" s="167" t="n">
        <x:v>0</x:v>
      </x:c>
      <x:c r="K1051" s="168"/>
      <x:c r="L1051" s="168" t="str">
        <x:f>IF(OR(I1051="Mastered",K1051=""),"",K1051+IF(J1051&gt;=5,30,IF(J1051=4,14,IF(J1051=3,7,IF(J1051=2,3,1)))))</x:f>
      </x:c>
      <x:c r="M1051" s="171" t="str"/>
      <x:c r="N1051" s="171" t="str"/>
      <x:c r="O1051" s="171" t="str">
        <x:v>Draft — verify in context</x:v>
      </x:c>
      <x:c r="P1051" s="167" t="str">
        <x:v>https://www.oxfordlearnersdictionaries.com/wordlists/oxford3000-5000</x:v>
      </x:c>
    </x:row>
    <x:row r="1052" ht="26" customHeight="1">
      <x:c r="A1052" s="167" t="n">
        <x:v>1051</x:v>
      </x:c>
      <x:c r="B1052" s="167" t="str">
        <x:v>seldom</x:v>
      </x:c>
      <x:c r="C1052" s="167" t="str">
        <x:v>adv.</x:v>
      </x:c>
      <x:c r="D1052" s="170" t="str">
        <x:v>рідко</x:v>
      </x:c>
      <x:c r="E1052" s="167" t="str">
        <x:v>No</x:v>
      </x:c>
      <x:c r="F1052" s="167"/>
      <x:c r="G1052" s="167" t="str">
        <x:v>Core</x:v>
      </x:c>
      <x:c r="H1052" s="167" t="str">
        <x:v>General</x:v>
      </x:c>
      <x:c r="I1052" s="167" t="str">
        <x:v>Not Started</x:v>
      </x:c>
      <x:c r="J1052" s="167" t="n">
        <x:v>0</x:v>
      </x:c>
      <x:c r="K1052" s="168"/>
      <x:c r="L1052" s="168" t="str">
        <x:f>IF(OR(I1052="Mastered",K1052=""),"",K1052+IF(J1052&gt;=5,30,IF(J1052=4,14,IF(J1052=3,7,IF(J1052=2,3,1)))))</x:f>
      </x:c>
      <x:c r="M1052" s="171" t="str"/>
      <x:c r="N1052" s="171" t="str"/>
      <x:c r="O1052" s="171" t="str">
        <x:v>Draft — verify in context</x:v>
      </x:c>
      <x:c r="P1052" s="167" t="str">
        <x:v>https://www.oxfordlearnersdictionaries.com/wordlists/oxford3000-5000</x:v>
      </x:c>
    </x:row>
    <x:row r="1053" ht="26" customHeight="1">
      <x:c r="A1053" s="167" t="n">
        <x:v>1052</x:v>
      </x:c>
      <x:c r="B1053" s="167" t="str">
        <x:v>selective</x:v>
      </x:c>
      <x:c r="C1053" s="167" t="str">
        <x:v>adj.</x:v>
      </x:c>
      <x:c r="D1053" s="170" t="str">
        <x:v>вибірковий</x:v>
      </x:c>
      <x:c r="E1053" s="167" t="str">
        <x:v>No</x:v>
      </x:c>
      <x:c r="F1053" s="167"/>
      <x:c r="G1053" s="167" t="str">
        <x:v>Core</x:v>
      </x:c>
      <x:c r="H1053" s="167" t="str">
        <x:v>General</x:v>
      </x:c>
      <x:c r="I1053" s="167" t="str">
        <x:v>Not Started</x:v>
      </x:c>
      <x:c r="J1053" s="167" t="n">
        <x:v>0</x:v>
      </x:c>
      <x:c r="K1053" s="168"/>
      <x:c r="L1053" s="168" t="str">
        <x:f>IF(OR(I1053="Mastered",K1053=""),"",K1053+IF(J1053&gt;=5,30,IF(J1053=4,14,IF(J1053=3,7,IF(J1053=2,3,1)))))</x:f>
      </x:c>
      <x:c r="M1053" s="171" t="str"/>
      <x:c r="N1053" s="171" t="str"/>
      <x:c r="O1053" s="171" t="str">
        <x:v>Draft — verify in context</x:v>
      </x:c>
      <x:c r="P1053" s="167" t="str">
        <x:v>https://www.oxfordlearnersdictionaries.com/wordlists/oxford3000-5000</x:v>
      </x:c>
    </x:row>
    <x:row r="1054" ht="26" customHeight="1">
      <x:c r="A1054" s="167" t="n">
        <x:v>1053</x:v>
      </x:c>
      <x:c r="B1054" s="167" t="str">
        <x:v>senator</x:v>
      </x:c>
      <x:c r="C1054" s="167" t="str">
        <x:v>n.</x:v>
      </x:c>
      <x:c r="D1054" s="170" t="str">
        <x:v>сенатор</x:v>
      </x:c>
      <x:c r="E1054" s="167" t="str">
        <x:v>No</x:v>
      </x:c>
      <x:c r="F1054" s="167"/>
      <x:c r="G1054" s="167" t="str">
        <x:v>Core</x:v>
      </x:c>
      <x:c r="H1054" s="167" t="str">
        <x:v>General</x:v>
      </x:c>
      <x:c r="I1054" s="167" t="str">
        <x:v>Not Started</x:v>
      </x:c>
      <x:c r="J1054" s="167" t="n">
        <x:v>0</x:v>
      </x:c>
      <x:c r="K1054" s="168"/>
      <x:c r="L1054" s="168" t="str">
        <x:f>IF(OR(I1054="Mastered",K1054=""),"",K1054+IF(J1054&gt;=5,30,IF(J1054=4,14,IF(J1054=3,7,IF(J1054=2,3,1)))))</x:f>
      </x:c>
      <x:c r="M1054" s="171" t="str"/>
      <x:c r="N1054" s="171" t="str"/>
      <x:c r="O1054" s="171" t="str">
        <x:v>Draft — verify in context</x:v>
      </x:c>
      <x:c r="P1054" s="167" t="str">
        <x:v>https://www.oxfordlearnersdictionaries.com/wordlists/oxford3000-5000</x:v>
      </x:c>
    </x:row>
    <x:row r="1055" ht="26" customHeight="1">
      <x:c r="A1055" s="167" t="n">
        <x:v>1054</x:v>
      </x:c>
      <x:c r="B1055" s="167" t="str">
        <x:v>sensation</x:v>
      </x:c>
      <x:c r="C1055" s="167" t="str">
        <x:v>n.</x:v>
      </x:c>
      <x:c r="D1055" s="170" t="str">
        <x:v>сенсація</x:v>
      </x:c>
      <x:c r="E1055" s="167" t="str">
        <x:v>No</x:v>
      </x:c>
      <x:c r="F1055" s="167"/>
      <x:c r="G1055" s="167" t="str">
        <x:v>Core</x:v>
      </x:c>
      <x:c r="H1055" s="167" t="str">
        <x:v>General</x:v>
      </x:c>
      <x:c r="I1055" s="167" t="str">
        <x:v>Not Started</x:v>
      </x:c>
      <x:c r="J1055" s="167" t="n">
        <x:v>0</x:v>
      </x:c>
      <x:c r="K1055" s="168"/>
      <x:c r="L1055" s="168" t="str">
        <x:f>IF(OR(I1055="Mastered",K1055=""),"",K1055+IF(J1055&gt;=5,30,IF(J1055=4,14,IF(J1055=3,7,IF(J1055=2,3,1)))))</x:f>
      </x:c>
      <x:c r="M1055" s="171" t="str"/>
      <x:c r="N1055" s="171" t="str"/>
      <x:c r="O1055" s="171" t="str">
        <x:v>Draft — verify in context</x:v>
      </x:c>
      <x:c r="P1055" s="167" t="str">
        <x:v>https://www.oxfordlearnersdictionaries.com/wordlists/oxford3000-5000</x:v>
      </x:c>
    </x:row>
    <x:row r="1056" ht="26" customHeight="1">
      <x:c r="A1056" s="167" t="n">
        <x:v>1055</x:v>
      </x:c>
      <x:c r="B1056" s="167" t="str">
        <x:v>sensitivity</x:v>
      </x:c>
      <x:c r="C1056" s="167" t="str">
        <x:v>n.</x:v>
      </x:c>
      <x:c r="D1056" s="170" t="str">
        <x:v>чутливість</x:v>
      </x:c>
      <x:c r="E1056" s="167" t="str">
        <x:v>No</x:v>
      </x:c>
      <x:c r="F1056" s="167"/>
      <x:c r="G1056" s="167" t="str">
        <x:v>Core</x:v>
      </x:c>
      <x:c r="H1056" s="167" t="str">
        <x:v>General</x:v>
      </x:c>
      <x:c r="I1056" s="167" t="str">
        <x:v>Not Started</x:v>
      </x:c>
      <x:c r="J1056" s="167" t="n">
        <x:v>0</x:v>
      </x:c>
      <x:c r="K1056" s="168"/>
      <x:c r="L1056" s="168" t="str">
        <x:f>IF(OR(I1056="Mastered",K1056=""),"",K1056+IF(J1056&gt;=5,30,IF(J1056=4,14,IF(J1056=3,7,IF(J1056=2,3,1)))))</x:f>
      </x:c>
      <x:c r="M1056" s="171" t="str"/>
      <x:c r="N1056" s="171" t="str"/>
      <x:c r="O1056" s="171" t="str">
        <x:v>Draft — verify in context</x:v>
      </x:c>
      <x:c r="P1056" s="167" t="str">
        <x:v>https://www.oxfordlearnersdictionaries.com/wordlists/oxford3000-5000</x:v>
      </x:c>
    </x:row>
    <x:row r="1057" ht="26" customHeight="1">
      <x:c r="A1057" s="167" t="n">
        <x:v>1056</x:v>
      </x:c>
      <x:c r="B1057" s="167" t="str">
        <x:v>sentiment</x:v>
      </x:c>
      <x:c r="C1057" s="167" t="str">
        <x:v>n.</x:v>
      </x:c>
      <x:c r="D1057" s="170" t="str">
        <x:v>почуття</x:v>
      </x:c>
      <x:c r="E1057" s="167" t="str">
        <x:v>No</x:v>
      </x:c>
      <x:c r="F1057" s="167"/>
      <x:c r="G1057" s="167" t="str">
        <x:v>Core</x:v>
      </x:c>
      <x:c r="H1057" s="167" t="str">
        <x:v>General</x:v>
      </x:c>
      <x:c r="I1057" s="167" t="str">
        <x:v>Not Started</x:v>
      </x:c>
      <x:c r="J1057" s="167" t="n">
        <x:v>0</x:v>
      </x:c>
      <x:c r="K1057" s="168"/>
      <x:c r="L1057" s="168" t="str">
        <x:f>IF(OR(I1057="Mastered",K1057=""),"",K1057+IF(J1057&gt;=5,30,IF(J1057=4,14,IF(J1057=3,7,IF(J1057=2,3,1)))))</x:f>
      </x:c>
      <x:c r="M1057" s="171" t="str"/>
      <x:c r="N1057" s="171" t="str"/>
      <x:c r="O1057" s="171" t="str">
        <x:v>Draft — verify in context</x:v>
      </x:c>
      <x:c r="P1057" s="167" t="str">
        <x:v>https://www.oxfordlearnersdictionaries.com/wordlists/oxford3000-5000</x:v>
      </x:c>
    </x:row>
    <x:row r="1058" ht="26" customHeight="1">
      <x:c r="A1058" s="167" t="n">
        <x:v>1057</x:v>
      </x:c>
      <x:c r="B1058" s="167" t="str">
        <x:v>separation</x:v>
      </x:c>
      <x:c r="C1058" s="167" t="str">
        <x:v>n.</x:v>
      </x:c>
      <x:c r="D1058" s="170" t="str">
        <x:v>розділення</x:v>
      </x:c>
      <x:c r="E1058" s="167" t="str">
        <x:v>No</x:v>
      </x:c>
      <x:c r="F1058" s="167"/>
      <x:c r="G1058" s="167" t="str">
        <x:v>Core</x:v>
      </x:c>
      <x:c r="H1058" s="167" t="str">
        <x:v>General</x:v>
      </x:c>
      <x:c r="I1058" s="167" t="str">
        <x:v>Not Started</x:v>
      </x:c>
      <x:c r="J1058" s="167" t="n">
        <x:v>0</x:v>
      </x:c>
      <x:c r="K1058" s="168"/>
      <x:c r="L1058" s="168" t="str">
        <x:f>IF(OR(I1058="Mastered",K1058=""),"",K1058+IF(J1058&gt;=5,30,IF(J1058=4,14,IF(J1058=3,7,IF(J1058=2,3,1)))))</x:f>
      </x:c>
      <x:c r="M1058" s="171" t="str"/>
      <x:c r="N1058" s="171" t="str"/>
      <x:c r="O1058" s="171" t="str">
        <x:v>Draft — verify in context</x:v>
      </x:c>
      <x:c r="P1058" s="167" t="str">
        <x:v>https://www.oxfordlearnersdictionaries.com/wordlists/oxford3000-5000</x:v>
      </x:c>
    </x:row>
    <x:row r="1059" ht="26" customHeight="1">
      <x:c r="A1059" s="167" t="n">
        <x:v>1058</x:v>
      </x:c>
      <x:c r="B1059" s="167" t="str">
        <x:v>serial</x:v>
      </x:c>
      <x:c r="C1059" s="167" t="str">
        <x:v>adj.</x:v>
      </x:c>
      <x:c r="D1059" s="170" t="str">
        <x:v>серійний</x:v>
      </x:c>
      <x:c r="E1059" s="167" t="str">
        <x:v>No</x:v>
      </x:c>
      <x:c r="F1059" s="167"/>
      <x:c r="G1059" s="167" t="str">
        <x:v>Core</x:v>
      </x:c>
      <x:c r="H1059" s="167" t="str">
        <x:v>General</x:v>
      </x:c>
      <x:c r="I1059" s="167" t="str">
        <x:v>Not Started</x:v>
      </x:c>
      <x:c r="J1059" s="167" t="n">
        <x:v>0</x:v>
      </x:c>
      <x:c r="K1059" s="168"/>
      <x:c r="L1059" s="168" t="str">
        <x:f>IF(OR(I1059="Mastered",K1059=""),"",K1059+IF(J1059&gt;=5,30,IF(J1059=4,14,IF(J1059=3,7,IF(J1059=2,3,1)))))</x:f>
      </x:c>
      <x:c r="M1059" s="171" t="str"/>
      <x:c r="N1059" s="171" t="str"/>
      <x:c r="O1059" s="171" t="str">
        <x:v>Draft — verify in context</x:v>
      </x:c>
      <x:c r="P1059" s="167" t="str">
        <x:v>https://www.oxfordlearnersdictionaries.com/wordlists/oxford3000-5000</x:v>
      </x:c>
    </x:row>
    <x:row r="1060" ht="26" customHeight="1">
      <x:c r="A1060" s="167" t="n">
        <x:v>1059</x:v>
      </x:c>
      <x:c r="B1060" s="167" t="str">
        <x:v>settlement</x:v>
      </x:c>
      <x:c r="C1060" s="167" t="str">
        <x:v>n.</x:v>
      </x:c>
      <x:c r="D1060" s="170" t="str">
        <x:v>поселення</x:v>
      </x:c>
      <x:c r="E1060" s="167" t="str">
        <x:v>No</x:v>
      </x:c>
      <x:c r="F1060" s="167"/>
      <x:c r="G1060" s="167" t="str">
        <x:v>Core</x:v>
      </x:c>
      <x:c r="H1060" s="167" t="str">
        <x:v>General</x:v>
      </x:c>
      <x:c r="I1060" s="167" t="str">
        <x:v>Not Started</x:v>
      </x:c>
      <x:c r="J1060" s="167" t="n">
        <x:v>0</x:v>
      </x:c>
      <x:c r="K1060" s="168"/>
      <x:c r="L1060" s="168" t="str">
        <x:f>IF(OR(I1060="Mastered",K1060=""),"",K1060+IF(J1060&gt;=5,30,IF(J1060=4,14,IF(J1060=3,7,IF(J1060=2,3,1)))))</x:f>
      </x:c>
      <x:c r="M1060" s="171" t="str"/>
      <x:c r="N1060" s="171" t="str"/>
      <x:c r="O1060" s="171" t="str">
        <x:v>Draft — verify in context</x:v>
      </x:c>
      <x:c r="P1060" s="167" t="str">
        <x:v>https://www.oxfordlearnersdictionaries.com/wordlists/oxford3000-5000</x:v>
      </x:c>
    </x:row>
    <x:row r="1061" ht="26" customHeight="1">
      <x:c r="A1061" s="167" t="n">
        <x:v>1060</x:v>
      </x:c>
      <x:c r="B1061" s="167" t="str">
        <x:v>set-up</x:v>
      </x:c>
      <x:c r="C1061" s="167" t="str">
        <x:v>n.</x:v>
      </x:c>
      <x:c r="D1061" s="170" t="str">
        <x:v>установка</x:v>
      </x:c>
      <x:c r="E1061" s="167" t="str">
        <x:v>No</x:v>
      </x:c>
      <x:c r="F1061" s="167"/>
      <x:c r="G1061" s="167" t="str">
        <x:v>Core</x:v>
      </x:c>
      <x:c r="H1061" s="167" t="str">
        <x:v>General</x:v>
      </x:c>
      <x:c r="I1061" s="167" t="str">
        <x:v>Not Started</x:v>
      </x:c>
      <x:c r="J1061" s="167" t="n">
        <x:v>0</x:v>
      </x:c>
      <x:c r="K1061" s="168"/>
      <x:c r="L1061" s="168" t="str">
        <x:f>IF(OR(I1061="Mastered",K1061=""),"",K1061+IF(J1061&gt;=5,30,IF(J1061=4,14,IF(J1061=3,7,IF(J1061=2,3,1)))))</x:f>
      </x:c>
      <x:c r="M1061" s="171" t="str"/>
      <x:c r="N1061" s="171" t="str"/>
      <x:c r="O1061" s="171" t="str">
        <x:v>Draft — verify in context</x:v>
      </x:c>
      <x:c r="P1061" s="167" t="str">
        <x:v>https://www.oxfordlearnersdictionaries.com/wordlists/oxford3000-5000</x:v>
      </x:c>
    </x:row>
    <x:row r="1062" ht="26" customHeight="1">
      <x:c r="A1062" s="167" t="n">
        <x:v>1061</x:v>
      </x:c>
      <x:c r="B1062" s="167" t="str">
        <x:v>sexuality</x:v>
      </x:c>
      <x:c r="C1062" s="167" t="str">
        <x:v>n.</x:v>
      </x:c>
      <x:c r="D1062" s="170" t="str">
        <x:v>сексуальність</x:v>
      </x:c>
      <x:c r="E1062" s="167" t="str">
        <x:v>No</x:v>
      </x:c>
      <x:c r="F1062" s="167"/>
      <x:c r="G1062" s="167" t="str">
        <x:v>Core</x:v>
      </x:c>
      <x:c r="H1062" s="167" t="str">
        <x:v>General</x:v>
      </x:c>
      <x:c r="I1062" s="167" t="str">
        <x:v>Not Started</x:v>
      </x:c>
      <x:c r="J1062" s="167" t="n">
        <x:v>0</x:v>
      </x:c>
      <x:c r="K1062" s="168"/>
      <x:c r="L1062" s="168" t="str">
        <x:f>IF(OR(I1062="Mastered",K1062=""),"",K1062+IF(J1062&gt;=5,30,IF(J1062=4,14,IF(J1062=3,7,IF(J1062=2,3,1)))))</x:f>
      </x:c>
      <x:c r="M1062" s="171" t="str"/>
      <x:c r="N1062" s="171" t="str"/>
      <x:c r="O1062" s="171" t="str">
        <x:v>Draft — verify in context</x:v>
      </x:c>
      <x:c r="P1062" s="167" t="str">
        <x:v>https://www.oxfordlearnersdictionaries.com/wordlists/oxford3000-5000</x:v>
      </x:c>
    </x:row>
    <x:row r="1063" ht="26" customHeight="1">
      <x:c r="A1063" s="167" t="n">
        <x:v>1062</x:v>
      </x:c>
      <x:c r="B1063" s="167" t="str">
        <x:v>shareholder</x:v>
      </x:c>
      <x:c r="C1063" s="167" t="str">
        <x:v>n.</x:v>
      </x:c>
      <x:c r="D1063" s="170" t="str">
        <x:v>акціонер</x:v>
      </x:c>
      <x:c r="E1063" s="167" t="str">
        <x:v>No</x:v>
      </x:c>
      <x:c r="F1063" s="167"/>
      <x:c r="G1063" s="167" t="str">
        <x:v>Core</x:v>
      </x:c>
      <x:c r="H1063" s="167" t="str">
        <x:v>General</x:v>
      </x:c>
      <x:c r="I1063" s="167" t="str">
        <x:v>Not Started</x:v>
      </x:c>
      <x:c r="J1063" s="167" t="n">
        <x:v>0</x:v>
      </x:c>
      <x:c r="K1063" s="168"/>
      <x:c r="L1063" s="168" t="str">
        <x:f>IF(OR(I1063="Mastered",K1063=""),"",K1063+IF(J1063&gt;=5,30,IF(J1063=4,14,IF(J1063=3,7,IF(J1063=2,3,1)))))</x:f>
      </x:c>
      <x:c r="M1063" s="171" t="str"/>
      <x:c r="N1063" s="171" t="str"/>
      <x:c r="O1063" s="171" t="str">
        <x:v>Draft — verify in context</x:v>
      </x:c>
      <x:c r="P1063" s="167" t="str">
        <x:v>https://www.oxfordlearnersdictionaries.com/wordlists/oxford3000-5000</x:v>
      </x:c>
    </x:row>
    <x:row r="1064" ht="26" customHeight="1">
      <x:c r="A1064" s="167" t="n">
        <x:v>1063</x:v>
      </x:c>
      <x:c r="B1064" s="167" t="str">
        <x:v>shatter</x:v>
      </x:c>
      <x:c r="C1064" s="167" t="str">
        <x:v>v.</x:v>
      </x:c>
      <x:c r="D1064" s="170" t="str">
        <x:v>розбити</x:v>
      </x:c>
      <x:c r="E1064" s="167" t="str">
        <x:v>No</x:v>
      </x:c>
      <x:c r="F1064" s="167"/>
      <x:c r="G1064" s="167" t="str">
        <x:v>Core</x:v>
      </x:c>
      <x:c r="H1064" s="167" t="str">
        <x:v>General</x:v>
      </x:c>
      <x:c r="I1064" s="167" t="str">
        <x:v>Not Started</x:v>
      </x:c>
      <x:c r="J1064" s="167" t="n">
        <x:v>0</x:v>
      </x:c>
      <x:c r="K1064" s="168"/>
      <x:c r="L1064" s="168" t="str">
        <x:f>IF(OR(I1064="Mastered",K1064=""),"",K1064+IF(J1064&gt;=5,30,IF(J1064=4,14,IF(J1064=3,7,IF(J1064=2,3,1)))))</x:f>
      </x:c>
      <x:c r="M1064" s="171" t="str"/>
      <x:c r="N1064" s="171" t="str"/>
      <x:c r="O1064" s="171" t="str">
        <x:v>Draft — verify in context</x:v>
      </x:c>
      <x:c r="P1064" s="167" t="str">
        <x:v>https://www.oxfordlearnersdictionaries.com/wordlists/oxford3000-5000</x:v>
      </x:c>
    </x:row>
    <x:row r="1065" ht="26" customHeight="1">
      <x:c r="A1065" s="167" t="n">
        <x:v>1064</x:v>
      </x:c>
      <x:c r="B1065" s="167" t="str">
        <x:v>shed</x:v>
      </x:c>
      <x:c r="C1065" s="167" t="str">
        <x:v>v.</x:v>
      </x:c>
      <x:c r="D1065" s="170" t="str">
        <x:v>сарай</x:v>
      </x:c>
      <x:c r="E1065" s="167" t="str">
        <x:v>No</x:v>
      </x:c>
      <x:c r="F1065" s="167"/>
      <x:c r="G1065" s="167" t="str">
        <x:v>Core</x:v>
      </x:c>
      <x:c r="H1065" s="167" t="str">
        <x:v>General</x:v>
      </x:c>
      <x:c r="I1065" s="167" t="str">
        <x:v>Not Started</x:v>
      </x:c>
      <x:c r="J1065" s="167" t="n">
        <x:v>0</x:v>
      </x:c>
      <x:c r="K1065" s="168"/>
      <x:c r="L1065" s="168" t="str">
        <x:f>IF(OR(I1065="Mastered",K1065=""),"",K1065+IF(J1065&gt;=5,30,IF(J1065=4,14,IF(J1065=3,7,IF(J1065=2,3,1)))))</x:f>
      </x:c>
      <x:c r="M1065" s="171" t="str"/>
      <x:c r="N1065" s="171" t="str"/>
      <x:c r="O1065" s="171" t="str">
        <x:v>Draft — verify in context</x:v>
      </x:c>
      <x:c r="P1065" s="167" t="str">
        <x:v>https://www.oxfordlearnersdictionaries.com/wordlists/oxford3000-5000</x:v>
      </x:c>
    </x:row>
    <x:row r="1066" ht="26" customHeight="1">
      <x:c r="A1066" s="167" t="n">
        <x:v>1065</x:v>
      </x:c>
      <x:c r="B1066" s="167" t="str">
        <x:v>sheer</x:v>
      </x:c>
      <x:c r="C1066" s="167" t="str">
        <x:v>adj.</x:v>
      </x:c>
      <x:c r="D1066" s="170" t="str">
        <x:v>чистий</x:v>
      </x:c>
      <x:c r="E1066" s="167" t="str">
        <x:v>No</x:v>
      </x:c>
      <x:c r="F1066" s="167"/>
      <x:c r="G1066" s="167" t="str">
        <x:v>Core</x:v>
      </x:c>
      <x:c r="H1066" s="167" t="str">
        <x:v>General</x:v>
      </x:c>
      <x:c r="I1066" s="167" t="str">
        <x:v>Not Started</x:v>
      </x:c>
      <x:c r="J1066" s="167" t="n">
        <x:v>0</x:v>
      </x:c>
      <x:c r="K1066" s="168"/>
      <x:c r="L1066" s="168" t="str">
        <x:f>IF(OR(I1066="Mastered",K1066=""),"",K1066+IF(J1066&gt;=5,30,IF(J1066=4,14,IF(J1066=3,7,IF(J1066=2,3,1)))))</x:f>
      </x:c>
      <x:c r="M1066" s="171" t="str"/>
      <x:c r="N1066" s="171" t="str"/>
      <x:c r="O1066" s="171" t="str">
        <x:v>Draft — verify in context</x:v>
      </x:c>
      <x:c r="P1066" s="167" t="str">
        <x:v>https://www.oxfordlearnersdictionaries.com/wordlists/oxford3000-5000</x:v>
      </x:c>
    </x:row>
    <x:row r="1067" ht="26" customHeight="1">
      <x:c r="A1067" s="167" t="n">
        <x:v>1066</x:v>
      </x:c>
      <x:c r="B1067" s="167" t="str">
        <x:v>shipping</x:v>
      </x:c>
      <x:c r="C1067" s="167" t="str">
        <x:v>n.</x:v>
      </x:c>
      <x:c r="D1067" s="170" t="str">
        <x:v>доставка</x:v>
      </x:c>
      <x:c r="E1067" s="167" t="str">
        <x:v>No</x:v>
      </x:c>
      <x:c r="F1067" s="167"/>
      <x:c r="G1067" s="167" t="str">
        <x:v>Core</x:v>
      </x:c>
      <x:c r="H1067" s="167" t="str">
        <x:v>General</x:v>
      </x:c>
      <x:c r="I1067" s="167" t="str">
        <x:v>Not Started</x:v>
      </x:c>
      <x:c r="J1067" s="167" t="n">
        <x:v>0</x:v>
      </x:c>
      <x:c r="K1067" s="168"/>
      <x:c r="L1067" s="168" t="str">
        <x:f>IF(OR(I1067="Mastered",K1067=""),"",K1067+IF(J1067&gt;=5,30,IF(J1067=4,14,IF(J1067=3,7,IF(J1067=2,3,1)))))</x:f>
      </x:c>
      <x:c r="M1067" s="171" t="str"/>
      <x:c r="N1067" s="171" t="str"/>
      <x:c r="O1067" s="171" t="str">
        <x:v>Draft — verify in context</x:v>
      </x:c>
      <x:c r="P1067" s="167" t="str">
        <x:v>https://www.oxfordlearnersdictionaries.com/wordlists/oxford3000-5000</x:v>
      </x:c>
    </x:row>
    <x:row r="1068" ht="26" customHeight="1">
      <x:c r="A1068" s="167" t="n">
        <x:v>1067</x:v>
      </x:c>
      <x:c r="B1068" s="167" t="str">
        <x:v>shoot</x:v>
      </x:c>
      <x:c r="C1068" s="167" t="str">
        <x:v>n.</x:v>
      </x:c>
      <x:c r="D1068" s="170" t="str">
        <x:v>стріляти</x:v>
      </x:c>
      <x:c r="E1068" s="167" t="str">
        <x:v>No</x:v>
      </x:c>
      <x:c r="F1068" s="167"/>
      <x:c r="G1068" s="167" t="str">
        <x:v>Core</x:v>
      </x:c>
      <x:c r="H1068" s="167" t="str">
        <x:v>General</x:v>
      </x:c>
      <x:c r="I1068" s="167" t="str">
        <x:v>Not Started</x:v>
      </x:c>
      <x:c r="J1068" s="167" t="n">
        <x:v>0</x:v>
      </x:c>
      <x:c r="K1068" s="168"/>
      <x:c r="L1068" s="168" t="str">
        <x:f>IF(OR(I1068="Mastered",K1068=""),"",K1068+IF(J1068&gt;=5,30,IF(J1068=4,14,IF(J1068=3,7,IF(J1068=2,3,1)))))</x:f>
      </x:c>
      <x:c r="M1068" s="171" t="str"/>
      <x:c r="N1068" s="171" t="str"/>
      <x:c r="O1068" s="171" t="str">
        <x:v>Draft — verify in context</x:v>
      </x:c>
      <x:c r="P1068" s="167" t="str">
        <x:v>https://www.oxfordlearnersdictionaries.com/wordlists/oxford3000-5000</x:v>
      </x:c>
    </x:row>
    <x:row r="1069" ht="26" customHeight="1">
      <x:c r="A1069" s="167" t="n">
        <x:v>1068</x:v>
      </x:c>
      <x:c r="B1069" s="167" t="str">
        <x:v>shrink</x:v>
      </x:c>
      <x:c r="C1069" s="167" t="str">
        <x:v>v.</x:v>
      </x:c>
      <x:c r="D1069" s="170" t="str">
        <x:v>скорочуватися</x:v>
      </x:c>
      <x:c r="E1069" s="167" t="str">
        <x:v>No</x:v>
      </x:c>
      <x:c r="F1069" s="167"/>
      <x:c r="G1069" s="167" t="str">
        <x:v>Core</x:v>
      </x:c>
      <x:c r="H1069" s="167" t="str">
        <x:v>General</x:v>
      </x:c>
      <x:c r="I1069" s="167" t="str">
        <x:v>Not Started</x:v>
      </x:c>
      <x:c r="J1069" s="167" t="n">
        <x:v>0</x:v>
      </x:c>
      <x:c r="K1069" s="168"/>
      <x:c r="L1069" s="168" t="str">
        <x:f>IF(OR(I1069="Mastered",K1069=""),"",K1069+IF(J1069&gt;=5,30,IF(J1069=4,14,IF(J1069=3,7,IF(J1069=2,3,1)))))</x:f>
      </x:c>
      <x:c r="M1069" s="171" t="str"/>
      <x:c r="N1069" s="171" t="str"/>
      <x:c r="O1069" s="171" t="str">
        <x:v>Draft — verify in context</x:v>
      </x:c>
      <x:c r="P1069" s="167" t="str">
        <x:v>https://www.oxfordlearnersdictionaries.com/wordlists/oxford3000-5000</x:v>
      </x:c>
    </x:row>
    <x:row r="1070" ht="26" customHeight="1">
      <x:c r="A1070" s="167" t="n">
        <x:v>1069</x:v>
      </x:c>
      <x:c r="B1070" s="167" t="str">
        <x:v>shrug</x:v>
      </x:c>
      <x:c r="C1070" s="167" t="str">
        <x:v>v.</x:v>
      </x:c>
      <x:c r="D1070" s="170" t="str">
        <x:v>знизати плечима</x:v>
      </x:c>
      <x:c r="E1070" s="167" t="str">
        <x:v>No</x:v>
      </x:c>
      <x:c r="F1070" s="167"/>
      <x:c r="G1070" s="167" t="str">
        <x:v>Core</x:v>
      </x:c>
      <x:c r="H1070" s="167" t="str">
        <x:v>General</x:v>
      </x:c>
      <x:c r="I1070" s="167" t="str">
        <x:v>Not Started</x:v>
      </x:c>
      <x:c r="J1070" s="167" t="n">
        <x:v>0</x:v>
      </x:c>
      <x:c r="K1070" s="168"/>
      <x:c r="L1070" s="168" t="str">
        <x:f>IF(OR(I1070="Mastered",K1070=""),"",K1070+IF(J1070&gt;=5,30,IF(J1070=4,14,IF(J1070=3,7,IF(J1070=2,3,1)))))</x:f>
      </x:c>
      <x:c r="M1070" s="171" t="str"/>
      <x:c r="N1070" s="171" t="str"/>
      <x:c r="O1070" s="171" t="str">
        <x:v>Draft — verify in context</x:v>
      </x:c>
      <x:c r="P1070" s="167" t="str">
        <x:v>https://www.oxfordlearnersdictionaries.com/wordlists/oxford3000-5000</x:v>
      </x:c>
    </x:row>
    <x:row r="1071" ht="26" customHeight="1">
      <x:c r="A1071" s="167" t="n">
        <x:v>1070</x:v>
      </x:c>
      <x:c r="B1071" s="167" t="str">
        <x:v>sigh</x:v>
      </x:c>
      <x:c r="C1071" s="167" t="str">
        <x:v>v., n.</x:v>
      </x:c>
      <x:c r="D1071" s="170" t="str">
        <x:v>зітхати</x:v>
      </x:c>
      <x:c r="E1071" s="167" t="str">
        <x:v>No</x:v>
      </x:c>
      <x:c r="F1071" s="167"/>
      <x:c r="G1071" s="167" t="str">
        <x:v>Core</x:v>
      </x:c>
      <x:c r="H1071" s="167" t="str">
        <x:v>General</x:v>
      </x:c>
      <x:c r="I1071" s="167" t="str">
        <x:v>Not Started</x:v>
      </x:c>
      <x:c r="J1071" s="167" t="n">
        <x:v>0</x:v>
      </x:c>
      <x:c r="K1071" s="168"/>
      <x:c r="L1071" s="168" t="str">
        <x:f>IF(OR(I1071="Mastered",K1071=""),"",K1071+IF(J1071&gt;=5,30,IF(J1071=4,14,IF(J1071=3,7,IF(J1071=2,3,1)))))</x:f>
      </x:c>
      <x:c r="M1071" s="171" t="str"/>
      <x:c r="N1071" s="171" t="str"/>
      <x:c r="O1071" s="171" t="str">
        <x:v>Draft — verify in context</x:v>
      </x:c>
      <x:c r="P1071" s="167" t="str">
        <x:v>https://www.oxfordlearnersdictionaries.com/wordlists/oxford3000-5000</x:v>
      </x:c>
    </x:row>
    <x:row r="1072" ht="26" customHeight="1">
      <x:c r="A1072" s="167" t="n">
        <x:v>1071</x:v>
      </x:c>
      <x:c r="B1072" s="167" t="str">
        <x:v>simulate</x:v>
      </x:c>
      <x:c r="C1072" s="167" t="str">
        <x:v>v.</x:v>
      </x:c>
      <x:c r="D1072" s="170" t="str">
        <x:v>симулювати</x:v>
      </x:c>
      <x:c r="E1072" s="167" t="str">
        <x:v>No</x:v>
      </x:c>
      <x:c r="F1072" s="167"/>
      <x:c r="G1072" s="167" t="str">
        <x:v>Core</x:v>
      </x:c>
      <x:c r="H1072" s="167" t="str">
        <x:v>General</x:v>
      </x:c>
      <x:c r="I1072" s="167" t="str">
        <x:v>Not Started</x:v>
      </x:c>
      <x:c r="J1072" s="167" t="n">
        <x:v>0</x:v>
      </x:c>
      <x:c r="K1072" s="168"/>
      <x:c r="L1072" s="168" t="str">
        <x:f>IF(OR(I1072="Mastered",K1072=""),"",K1072+IF(J1072&gt;=5,30,IF(J1072=4,14,IF(J1072=3,7,IF(J1072=2,3,1)))))</x:f>
      </x:c>
      <x:c r="M1072" s="171" t="str"/>
      <x:c r="N1072" s="171" t="str"/>
      <x:c r="O1072" s="171" t="str">
        <x:v>Draft — verify in context</x:v>
      </x:c>
      <x:c r="P1072" s="167" t="str">
        <x:v>https://www.oxfordlearnersdictionaries.com/wordlists/oxford3000-5000</x:v>
      </x:c>
    </x:row>
    <x:row r="1073" ht="26" customHeight="1">
      <x:c r="A1073" s="167" t="n">
        <x:v>1072</x:v>
      </x:c>
      <x:c r="B1073" s="167" t="str">
        <x:v>simulation</x:v>
      </x:c>
      <x:c r="C1073" s="167" t="str">
        <x:v>n.</x:v>
      </x:c>
      <x:c r="D1073" s="170" t="str">
        <x:v>моделювання</x:v>
      </x:c>
      <x:c r="E1073" s="167" t="str">
        <x:v>Yes</x:v>
      </x:c>
      <x:c r="F1073" s="167" t="n">
        <x:v>7</x:v>
      </x:c>
      <x:c r="G1073" s="167" t="str">
        <x:v>High</x:v>
      </x:c>
      <x:c r="H1073" s="167" t="str">
        <x:v>General</x:v>
      </x:c>
      <x:c r="I1073" s="167" t="str">
        <x:v>Not Started</x:v>
      </x:c>
      <x:c r="J1073" s="167" t="n">
        <x:v>0</x:v>
      </x:c>
      <x:c r="K1073" s="168"/>
      <x:c r="L1073" s="168" t="str">
        <x:f>IF(OR(I1073="Mastered",K1073=""),"",K1073+IF(J1073&gt;=5,30,IF(J1073=4,14,IF(J1073=3,7,IF(J1073=2,3,1)))))</x:f>
      </x:c>
      <x:c r="M1073" s="171" t="str"/>
      <x:c r="N1073" s="171" t="str"/>
      <x:c r="O1073" s="171" t="str">
        <x:v>Draft — verify in context</x:v>
      </x:c>
      <x:c r="P1073" s="167" t="str">
        <x:v>https://www.oxfordlearnersdictionaries.com/wordlists/oxford3000-5000</x:v>
      </x:c>
    </x:row>
    <x:row r="1074" ht="26" customHeight="1">
      <x:c r="A1074" s="167" t="n">
        <x:v>1073</x:v>
      </x:c>
      <x:c r="B1074" s="167" t="str">
        <x:v>simultaneously</x:v>
      </x:c>
      <x:c r="C1074" s="167" t="str">
        <x:v>adv.</x:v>
      </x:c>
      <x:c r="D1074" s="170" t="str">
        <x:v>одночасно</x:v>
      </x:c>
      <x:c r="E1074" s="167" t="str">
        <x:v>No</x:v>
      </x:c>
      <x:c r="F1074" s="167"/>
      <x:c r="G1074" s="167" t="str">
        <x:v>Core</x:v>
      </x:c>
      <x:c r="H1074" s="167" t="str">
        <x:v>General</x:v>
      </x:c>
      <x:c r="I1074" s="167" t="str">
        <x:v>Not Started</x:v>
      </x:c>
      <x:c r="J1074" s="167" t="n">
        <x:v>0</x:v>
      </x:c>
      <x:c r="K1074" s="168"/>
      <x:c r="L1074" s="168" t="str">
        <x:f>IF(OR(I1074="Mastered",K1074=""),"",K1074+IF(J1074&gt;=5,30,IF(J1074=4,14,IF(J1074=3,7,IF(J1074=2,3,1)))))</x:f>
      </x:c>
      <x:c r="M1074" s="171" t="str"/>
      <x:c r="N1074" s="171" t="str"/>
      <x:c r="O1074" s="171" t="str">
        <x:v>Draft — verify in context</x:v>
      </x:c>
      <x:c r="P1074" s="167" t="str">
        <x:v>https://www.oxfordlearnersdictionaries.com/wordlists/oxford3000-5000</x:v>
      </x:c>
    </x:row>
    <x:row r="1075" ht="26" customHeight="1">
      <x:c r="A1075" s="167" t="n">
        <x:v>1074</x:v>
      </x:c>
      <x:c r="B1075" s="167" t="str">
        <x:v>sin</x:v>
      </x:c>
      <x:c r="C1075" s="167" t="str">
        <x:v>n.</x:v>
      </x:c>
      <x:c r="D1075" s="170" t="str">
        <x:v>гріх</x:v>
      </x:c>
      <x:c r="E1075" s="167" t="str">
        <x:v>No</x:v>
      </x:c>
      <x:c r="F1075" s="167"/>
      <x:c r="G1075" s="167" t="str">
        <x:v>Core</x:v>
      </x:c>
      <x:c r="H1075" s="167" t="str">
        <x:v>General</x:v>
      </x:c>
      <x:c r="I1075" s="167" t="str">
        <x:v>Not Started</x:v>
      </x:c>
      <x:c r="J1075" s="167" t="n">
        <x:v>0</x:v>
      </x:c>
      <x:c r="K1075" s="168"/>
      <x:c r="L1075" s="168" t="str">
        <x:f>IF(OR(I1075="Mastered",K1075=""),"",K1075+IF(J1075&gt;=5,30,IF(J1075=4,14,IF(J1075=3,7,IF(J1075=2,3,1)))))</x:f>
      </x:c>
      <x:c r="M1075" s="171" t="str"/>
      <x:c r="N1075" s="171" t="str"/>
      <x:c r="O1075" s="171" t="str">
        <x:v>Draft — verify in context</x:v>
      </x:c>
      <x:c r="P1075" s="167" t="str">
        <x:v>https://www.oxfordlearnersdictionaries.com/wordlists/oxford3000-5000</x:v>
      </x:c>
    </x:row>
    <x:row r="1076" ht="26" customHeight="1">
      <x:c r="A1076" s="167" t="n">
        <x:v>1075</x:v>
      </x:c>
      <x:c r="B1076" s="167" t="str">
        <x:v>situated</x:v>
      </x:c>
      <x:c r="C1076" s="167" t="str">
        <x:v>adj.</x:v>
      </x:c>
      <x:c r="D1076" s="170" t="str">
        <x:v>розташований</x:v>
      </x:c>
      <x:c r="E1076" s="167" t="str">
        <x:v>No</x:v>
      </x:c>
      <x:c r="F1076" s="167"/>
      <x:c r="G1076" s="167" t="str">
        <x:v>Core</x:v>
      </x:c>
      <x:c r="H1076" s="167" t="str">
        <x:v>General</x:v>
      </x:c>
      <x:c r="I1076" s="167" t="str">
        <x:v>Not Started</x:v>
      </x:c>
      <x:c r="J1076" s="167" t="n">
        <x:v>0</x:v>
      </x:c>
      <x:c r="K1076" s="168"/>
      <x:c r="L1076" s="168" t="str">
        <x:f>IF(OR(I1076="Mastered",K1076=""),"",K1076+IF(J1076&gt;=5,30,IF(J1076=4,14,IF(J1076=3,7,IF(J1076=2,3,1)))))</x:f>
      </x:c>
      <x:c r="M1076" s="171" t="str"/>
      <x:c r="N1076" s="171" t="str"/>
      <x:c r="O1076" s="171" t="str">
        <x:v>Draft — verify in context</x:v>
      </x:c>
      <x:c r="P1076" s="167" t="str">
        <x:v>https://www.oxfordlearnersdictionaries.com/wordlists/oxford3000-5000</x:v>
      </x:c>
    </x:row>
    <x:row r="1077" ht="26" customHeight="1">
      <x:c r="A1077" s="167" t="n">
        <x:v>1076</x:v>
      </x:c>
      <x:c r="B1077" s="167" t="str">
        <x:v>sketch</x:v>
      </x:c>
      <x:c r="C1077" s="167" t="str">
        <x:v>n.</x:v>
      </x:c>
      <x:c r="D1077" s="170" t="str">
        <x:v>ескіз</x:v>
      </x:c>
      <x:c r="E1077" s="167" t="str">
        <x:v>No</x:v>
      </x:c>
      <x:c r="F1077" s="167"/>
      <x:c r="G1077" s="167" t="str">
        <x:v>Core</x:v>
      </x:c>
      <x:c r="H1077" s="167" t="str">
        <x:v>General</x:v>
      </x:c>
      <x:c r="I1077" s="167" t="str">
        <x:v>Not Started</x:v>
      </x:c>
      <x:c r="J1077" s="167" t="n">
        <x:v>0</x:v>
      </x:c>
      <x:c r="K1077" s="168"/>
      <x:c r="L1077" s="168" t="str">
        <x:f>IF(OR(I1077="Mastered",K1077=""),"",K1077+IF(J1077&gt;=5,30,IF(J1077=4,14,IF(J1077=3,7,IF(J1077=2,3,1)))))</x:f>
      </x:c>
      <x:c r="M1077" s="171" t="str"/>
      <x:c r="N1077" s="171" t="str"/>
      <x:c r="O1077" s="171" t="str">
        <x:v>Draft — verify in context</x:v>
      </x:c>
      <x:c r="P1077" s="167" t="str">
        <x:v>https://www.oxfordlearnersdictionaries.com/wordlists/oxford3000-5000</x:v>
      </x:c>
    </x:row>
    <x:row r="1078" ht="26" customHeight="1">
      <x:c r="A1078" s="167" t="n">
        <x:v>1077</x:v>
      </x:c>
      <x:c r="B1078" s="167" t="str">
        <x:v>skip</x:v>
      </x:c>
      <x:c r="C1078" s="167" t="str">
        <x:v>v.</x:v>
      </x:c>
      <x:c r="D1078" s="170" t="str">
        <x:v>пропустити</x:v>
      </x:c>
      <x:c r="E1078" s="167" t="str">
        <x:v>No</x:v>
      </x:c>
      <x:c r="F1078" s="167"/>
      <x:c r="G1078" s="167" t="str">
        <x:v>Core</x:v>
      </x:c>
      <x:c r="H1078" s="167" t="str">
        <x:v>General</x:v>
      </x:c>
      <x:c r="I1078" s="167" t="str">
        <x:v>Not Started</x:v>
      </x:c>
      <x:c r="J1078" s="167" t="n">
        <x:v>0</x:v>
      </x:c>
      <x:c r="K1078" s="168"/>
      <x:c r="L1078" s="168" t="str">
        <x:f>IF(OR(I1078="Mastered",K1078=""),"",K1078+IF(J1078&gt;=5,30,IF(J1078=4,14,IF(J1078=3,7,IF(J1078=2,3,1)))))</x:f>
      </x:c>
      <x:c r="M1078" s="171" t="str"/>
      <x:c r="N1078" s="171" t="str"/>
      <x:c r="O1078" s="171" t="str">
        <x:v>Draft — verify in context</x:v>
      </x:c>
      <x:c r="P1078" s="167" t="str">
        <x:v>https://www.oxfordlearnersdictionaries.com/wordlists/oxford3000-5000</x:v>
      </x:c>
    </x:row>
    <x:row r="1079" ht="26" customHeight="1">
      <x:c r="A1079" s="167" t="n">
        <x:v>1078</x:v>
      </x:c>
      <x:c r="B1079" s="167" t="str">
        <x:v>slam</x:v>
      </x:c>
      <x:c r="C1079" s="167" t="str">
        <x:v>v.</x:v>
      </x:c>
      <x:c r="D1079" s="170" t="str">
        <x:v>грюкнути</x:v>
      </x:c>
      <x:c r="E1079" s="167" t="str">
        <x:v>No</x:v>
      </x:c>
      <x:c r="F1079" s="167"/>
      <x:c r="G1079" s="167" t="str">
        <x:v>Core</x:v>
      </x:c>
      <x:c r="H1079" s="167" t="str">
        <x:v>General</x:v>
      </x:c>
      <x:c r="I1079" s="167" t="str">
        <x:v>Not Started</x:v>
      </x:c>
      <x:c r="J1079" s="167" t="n">
        <x:v>0</x:v>
      </x:c>
      <x:c r="K1079" s="168"/>
      <x:c r="L1079" s="168" t="str">
        <x:f>IF(OR(I1079="Mastered",K1079=""),"",K1079+IF(J1079&gt;=5,30,IF(J1079=4,14,IF(J1079=3,7,IF(J1079=2,3,1)))))</x:f>
      </x:c>
      <x:c r="M1079" s="171" t="str"/>
      <x:c r="N1079" s="171" t="str"/>
      <x:c r="O1079" s="171" t="str">
        <x:v>Draft — verify in context</x:v>
      </x:c>
      <x:c r="P1079" s="167" t="str">
        <x:v>https://www.oxfordlearnersdictionaries.com/wordlists/oxford3000-5000</x:v>
      </x:c>
    </x:row>
    <x:row r="1080" ht="26" customHeight="1">
      <x:c r="A1080" s="167" t="n">
        <x:v>1079</x:v>
      </x:c>
      <x:c r="B1080" s="167" t="str">
        <x:v>slap</x:v>
      </x:c>
      <x:c r="C1080" s="167" t="str">
        <x:v>v.</x:v>
      </x:c>
      <x:c r="D1080" s="170" t="str">
        <x:v>ляпас</x:v>
      </x:c>
      <x:c r="E1080" s="167" t="str">
        <x:v>No</x:v>
      </x:c>
      <x:c r="F1080" s="167"/>
      <x:c r="G1080" s="167" t="str">
        <x:v>Core</x:v>
      </x:c>
      <x:c r="H1080" s="167" t="str">
        <x:v>General</x:v>
      </x:c>
      <x:c r="I1080" s="167" t="str">
        <x:v>Not Started</x:v>
      </x:c>
      <x:c r="J1080" s="167" t="n">
        <x:v>0</x:v>
      </x:c>
      <x:c r="K1080" s="168"/>
      <x:c r="L1080" s="168" t="str">
        <x:f>IF(OR(I1080="Mastered",K1080=""),"",K1080+IF(J1080&gt;=5,30,IF(J1080=4,14,IF(J1080=3,7,IF(J1080=2,3,1)))))</x:f>
      </x:c>
      <x:c r="M1080" s="171" t="str"/>
      <x:c r="N1080" s="171" t="str"/>
      <x:c r="O1080" s="171" t="str">
        <x:v>Draft — verify in context</x:v>
      </x:c>
      <x:c r="P1080" s="167" t="str">
        <x:v>https://www.oxfordlearnersdictionaries.com/wordlists/oxford3000-5000</x:v>
      </x:c>
    </x:row>
    <x:row r="1081" ht="26" customHeight="1">
      <x:c r="A1081" s="167" t="n">
        <x:v>1080</x:v>
      </x:c>
      <x:c r="B1081" s="167" t="str">
        <x:v>slash</x:v>
      </x:c>
      <x:c r="C1081" s="167" t="str">
        <x:v>v.</x:v>
      </x:c>
      <x:c r="D1081" s="170" t="str">
        <x:v>слеш</x:v>
      </x:c>
      <x:c r="E1081" s="167" t="str">
        <x:v>No</x:v>
      </x:c>
      <x:c r="F1081" s="167"/>
      <x:c r="G1081" s="167" t="str">
        <x:v>Core</x:v>
      </x:c>
      <x:c r="H1081" s="167" t="str">
        <x:v>General</x:v>
      </x:c>
      <x:c r="I1081" s="167" t="str">
        <x:v>Not Started</x:v>
      </x:c>
      <x:c r="J1081" s="167" t="n">
        <x:v>0</x:v>
      </x:c>
      <x:c r="K1081" s="168"/>
      <x:c r="L1081" s="168" t="str">
        <x:f>IF(OR(I1081="Mastered",K1081=""),"",K1081+IF(J1081&gt;=5,30,IF(J1081=4,14,IF(J1081=3,7,IF(J1081=2,3,1)))))</x:f>
      </x:c>
      <x:c r="M1081" s="171" t="str"/>
      <x:c r="N1081" s="171" t="str"/>
      <x:c r="O1081" s="171" t="str">
        <x:v>Draft — verify in context</x:v>
      </x:c>
      <x:c r="P1081" s="167" t="str">
        <x:v>https://www.oxfordlearnersdictionaries.com/wordlists/oxford3000-5000</x:v>
      </x:c>
    </x:row>
    <x:row r="1082" ht="26" customHeight="1">
      <x:c r="A1082" s="167" t="n">
        <x:v>1081</x:v>
      </x:c>
      <x:c r="B1082" s="167" t="str">
        <x:v>slavery</x:v>
      </x:c>
      <x:c r="C1082" s="167" t="str">
        <x:v>n.</x:v>
      </x:c>
      <x:c r="D1082" s="170" t="str">
        <x:v>рабство</x:v>
      </x:c>
      <x:c r="E1082" s="167" t="str">
        <x:v>No</x:v>
      </x:c>
      <x:c r="F1082" s="167"/>
      <x:c r="G1082" s="167" t="str">
        <x:v>Core</x:v>
      </x:c>
      <x:c r="H1082" s="167" t="str">
        <x:v>General</x:v>
      </x:c>
      <x:c r="I1082" s="167" t="str">
        <x:v>Not Started</x:v>
      </x:c>
      <x:c r="J1082" s="167" t="n">
        <x:v>0</x:v>
      </x:c>
      <x:c r="K1082" s="168"/>
      <x:c r="L1082" s="168" t="str">
        <x:f>IF(OR(I1082="Mastered",K1082=""),"",K1082+IF(J1082&gt;=5,30,IF(J1082=4,14,IF(J1082=3,7,IF(J1082=2,3,1)))))</x:f>
      </x:c>
      <x:c r="M1082" s="171" t="str"/>
      <x:c r="N1082" s="171" t="str"/>
      <x:c r="O1082" s="171" t="str">
        <x:v>Draft — verify in context</x:v>
      </x:c>
      <x:c r="P1082" s="167" t="str">
        <x:v>https://www.oxfordlearnersdictionaries.com/wordlists/oxford3000-5000</x:v>
      </x:c>
    </x:row>
    <x:row r="1083" ht="26" customHeight="1">
      <x:c r="A1083" s="167" t="n">
        <x:v>1082</x:v>
      </x:c>
      <x:c r="B1083" s="167" t="str">
        <x:v>slot</x:v>
      </x:c>
      <x:c r="C1083" s="167" t="str">
        <x:v>n.</x:v>
      </x:c>
      <x:c r="D1083" s="170" t="str">
        <x:v>слот</x:v>
      </x:c>
      <x:c r="E1083" s="167" t="str">
        <x:v>No</x:v>
      </x:c>
      <x:c r="F1083" s="167"/>
      <x:c r="G1083" s="167" t="str">
        <x:v>Core</x:v>
      </x:c>
      <x:c r="H1083" s="167" t="str">
        <x:v>General</x:v>
      </x:c>
      <x:c r="I1083" s="167" t="str">
        <x:v>Not Started</x:v>
      </x:c>
      <x:c r="J1083" s="167" t="n">
        <x:v>0</x:v>
      </x:c>
      <x:c r="K1083" s="168"/>
      <x:c r="L1083" s="168" t="str">
        <x:f>IF(OR(I1083="Mastered",K1083=""),"",K1083+IF(J1083&gt;=5,30,IF(J1083=4,14,IF(J1083=3,7,IF(J1083=2,3,1)))))</x:f>
      </x:c>
      <x:c r="M1083" s="171" t="str"/>
      <x:c r="N1083" s="171" t="str"/>
      <x:c r="O1083" s="171" t="str">
        <x:v>Draft — verify in context</x:v>
      </x:c>
      <x:c r="P1083" s="167" t="str">
        <x:v>https://www.oxfordlearnersdictionaries.com/wordlists/oxford3000-5000</x:v>
      </x:c>
    </x:row>
    <x:row r="1084" ht="26" customHeight="1">
      <x:c r="A1084" s="167" t="n">
        <x:v>1083</x:v>
      </x:c>
      <x:c r="B1084" s="167" t="str">
        <x:v>smash</x:v>
      </x:c>
      <x:c r="C1084" s="167" t="str">
        <x:v>v.</x:v>
      </x:c>
      <x:c r="D1084" s="170" t="str">
        <x:v>розбити</x:v>
      </x:c>
      <x:c r="E1084" s="167" t="str">
        <x:v>No</x:v>
      </x:c>
      <x:c r="F1084" s="167"/>
      <x:c r="G1084" s="167" t="str">
        <x:v>Core</x:v>
      </x:c>
      <x:c r="H1084" s="167" t="str">
        <x:v>General</x:v>
      </x:c>
      <x:c r="I1084" s="167" t="str">
        <x:v>Not Started</x:v>
      </x:c>
      <x:c r="J1084" s="167" t="n">
        <x:v>0</x:v>
      </x:c>
      <x:c r="K1084" s="168"/>
      <x:c r="L1084" s="168" t="str">
        <x:f>IF(OR(I1084="Mastered",K1084=""),"",K1084+IF(J1084&gt;=5,30,IF(J1084=4,14,IF(J1084=3,7,IF(J1084=2,3,1)))))</x:f>
      </x:c>
      <x:c r="M1084" s="171" t="str"/>
      <x:c r="N1084" s="171" t="str"/>
      <x:c r="O1084" s="171" t="str">
        <x:v>Draft — verify in context</x:v>
      </x:c>
      <x:c r="P1084" s="167" t="str">
        <x:v>https://www.oxfordlearnersdictionaries.com/wordlists/oxford3000-5000</x:v>
      </x:c>
    </x:row>
    <x:row r="1085" ht="26" customHeight="1">
      <x:c r="A1085" s="167" t="n">
        <x:v>1084</x:v>
      </x:c>
      <x:c r="B1085" s="167" t="str">
        <x:v>snap</x:v>
      </x:c>
      <x:c r="C1085" s="167" t="str">
        <x:v>v.</x:v>
      </x:c>
      <x:c r="D1085" s="170" t="str">
        <x:v>хапати</x:v>
      </x:c>
      <x:c r="E1085" s="167" t="str">
        <x:v>No</x:v>
      </x:c>
      <x:c r="F1085" s="167"/>
      <x:c r="G1085" s="167" t="str">
        <x:v>Core</x:v>
      </x:c>
      <x:c r="H1085" s="167" t="str">
        <x:v>General</x:v>
      </x:c>
      <x:c r="I1085" s="167" t="str">
        <x:v>Not Started</x:v>
      </x:c>
      <x:c r="J1085" s="167" t="n">
        <x:v>0</x:v>
      </x:c>
      <x:c r="K1085" s="168"/>
      <x:c r="L1085" s="168" t="str">
        <x:f>IF(OR(I1085="Mastered",K1085=""),"",K1085+IF(J1085&gt;=5,30,IF(J1085=4,14,IF(J1085=3,7,IF(J1085=2,3,1)))))</x:f>
      </x:c>
      <x:c r="M1085" s="171" t="str"/>
      <x:c r="N1085" s="171" t="str"/>
      <x:c r="O1085" s="171" t="str">
        <x:v>Draft — verify in context</x:v>
      </x:c>
      <x:c r="P1085" s="167" t="str">
        <x:v>https://www.oxfordlearnersdictionaries.com/wordlists/oxford3000-5000</x:v>
      </x:c>
    </x:row>
    <x:row r="1086" ht="26" customHeight="1">
      <x:c r="A1086" s="167" t="n">
        <x:v>1085</x:v>
      </x:c>
      <x:c r="B1086" s="167" t="str">
        <x:v>soak</x:v>
      </x:c>
      <x:c r="C1086" s="167" t="str">
        <x:v>v.</x:v>
      </x:c>
      <x:c r="D1086" s="170" t="str">
        <x:v>замочити</x:v>
      </x:c>
      <x:c r="E1086" s="167" t="str">
        <x:v>No</x:v>
      </x:c>
      <x:c r="F1086" s="167"/>
      <x:c r="G1086" s="167" t="str">
        <x:v>Core</x:v>
      </x:c>
      <x:c r="H1086" s="167" t="str">
        <x:v>General</x:v>
      </x:c>
      <x:c r="I1086" s="167" t="str">
        <x:v>Not Started</x:v>
      </x:c>
      <x:c r="J1086" s="167" t="n">
        <x:v>0</x:v>
      </x:c>
      <x:c r="K1086" s="168"/>
      <x:c r="L1086" s="168" t="str">
        <x:f>IF(OR(I1086="Mastered",K1086=""),"",K1086+IF(J1086&gt;=5,30,IF(J1086=4,14,IF(J1086=3,7,IF(J1086=2,3,1)))))</x:f>
      </x:c>
      <x:c r="M1086" s="171" t="str"/>
      <x:c r="N1086" s="171" t="str"/>
      <x:c r="O1086" s="171" t="str">
        <x:v>Draft — verify in context</x:v>
      </x:c>
      <x:c r="P1086" s="167" t="str">
        <x:v>https://www.oxfordlearnersdictionaries.com/wordlists/oxford3000-5000</x:v>
      </x:c>
    </x:row>
    <x:row r="1087" ht="26" customHeight="1">
      <x:c r="A1087" s="167" t="n">
        <x:v>1086</x:v>
      </x:c>
      <x:c r="B1087" s="167" t="str">
        <x:v>soar</x:v>
      </x:c>
      <x:c r="C1087" s="167" t="str">
        <x:v>v.</x:v>
      </x:c>
      <x:c r="D1087" s="170" t="str">
        <x:v>парити</x:v>
      </x:c>
      <x:c r="E1087" s="167" t="str">
        <x:v>No</x:v>
      </x:c>
      <x:c r="F1087" s="167"/>
      <x:c r="G1087" s="167" t="str">
        <x:v>Core</x:v>
      </x:c>
      <x:c r="H1087" s="167" t="str">
        <x:v>General</x:v>
      </x:c>
      <x:c r="I1087" s="167" t="str">
        <x:v>Not Started</x:v>
      </x:c>
      <x:c r="J1087" s="167" t="n">
        <x:v>0</x:v>
      </x:c>
      <x:c r="K1087" s="168"/>
      <x:c r="L1087" s="168" t="str">
        <x:f>IF(OR(I1087="Mastered",K1087=""),"",K1087+IF(J1087&gt;=5,30,IF(J1087=4,14,IF(J1087=3,7,IF(J1087=2,3,1)))))</x:f>
      </x:c>
      <x:c r="M1087" s="171" t="str"/>
      <x:c r="N1087" s="171" t="str"/>
      <x:c r="O1087" s="171" t="str">
        <x:v>Draft — verify in context</x:v>
      </x:c>
      <x:c r="P1087" s="167" t="str">
        <x:v>https://www.oxfordlearnersdictionaries.com/wordlists/oxford3000-5000</x:v>
      </x:c>
    </x:row>
    <x:row r="1088" ht="26" customHeight="1">
      <x:c r="A1088" s="167" t="n">
        <x:v>1087</x:v>
      </x:c>
      <x:c r="B1088" s="167" t="str">
        <x:v>socialist</x:v>
      </x:c>
      <x:c r="C1088" s="167" t="str">
        <x:v>adj.</x:v>
      </x:c>
      <x:c r="D1088" s="170" t="str">
        <x:v>соціалістичний</x:v>
      </x:c>
      <x:c r="E1088" s="167" t="str">
        <x:v>No</x:v>
      </x:c>
      <x:c r="F1088" s="167"/>
      <x:c r="G1088" s="167" t="str">
        <x:v>Core</x:v>
      </x:c>
      <x:c r="H1088" s="167" t="str">
        <x:v>General</x:v>
      </x:c>
      <x:c r="I1088" s="167" t="str">
        <x:v>Not Started</x:v>
      </x:c>
      <x:c r="J1088" s="167" t="n">
        <x:v>0</x:v>
      </x:c>
      <x:c r="K1088" s="168"/>
      <x:c r="L1088" s="168" t="str">
        <x:f>IF(OR(I1088="Mastered",K1088=""),"",K1088+IF(J1088&gt;=5,30,IF(J1088=4,14,IF(J1088=3,7,IF(J1088=2,3,1)))))</x:f>
      </x:c>
      <x:c r="M1088" s="171" t="str"/>
      <x:c r="N1088" s="171" t="str"/>
      <x:c r="O1088" s="171" t="str">
        <x:v>Draft — verify in context</x:v>
      </x:c>
      <x:c r="P1088" s="167" t="str">
        <x:v>https://www.oxfordlearnersdictionaries.com/wordlists/oxford3000-5000</x:v>
      </x:c>
    </x:row>
    <x:row r="1089" ht="26" customHeight="1">
      <x:c r="A1089" s="167" t="n">
        <x:v>1088</x:v>
      </x:c>
      <x:c r="B1089" s="167" t="str">
        <x:v>sole</x:v>
      </x:c>
      <x:c r="C1089" s="167" t="str">
        <x:v>adj.</x:v>
      </x:c>
      <x:c r="D1089" s="170" t="str">
        <x:v>підошва</x:v>
      </x:c>
      <x:c r="E1089" s="167" t="str">
        <x:v>No</x:v>
      </x:c>
      <x:c r="F1089" s="167"/>
      <x:c r="G1089" s="167" t="str">
        <x:v>Core</x:v>
      </x:c>
      <x:c r="H1089" s="167" t="str">
        <x:v>General</x:v>
      </x:c>
      <x:c r="I1089" s="167" t="str">
        <x:v>Not Started</x:v>
      </x:c>
      <x:c r="J1089" s="167" t="n">
        <x:v>0</x:v>
      </x:c>
      <x:c r="K1089" s="168"/>
      <x:c r="L1089" s="168" t="str">
        <x:f>IF(OR(I1089="Mastered",K1089=""),"",K1089+IF(J1089&gt;=5,30,IF(J1089=4,14,IF(J1089=3,7,IF(J1089=2,3,1)))))</x:f>
      </x:c>
      <x:c r="M1089" s="171" t="str"/>
      <x:c r="N1089" s="171" t="str"/>
      <x:c r="O1089" s="171" t="str">
        <x:v>Draft — verify in context</x:v>
      </x:c>
      <x:c r="P1089" s="167" t="str">
        <x:v>https://www.oxfordlearnersdictionaries.com/wordlists/oxford3000-5000</x:v>
      </x:c>
    </x:row>
    <x:row r="1090" ht="26" customHeight="1">
      <x:c r="A1090" s="167" t="n">
        <x:v>1089</x:v>
      </x:c>
      <x:c r="B1090" s="167" t="str">
        <x:v>solely</x:v>
      </x:c>
      <x:c r="C1090" s="167" t="str">
        <x:v>adv.</x:v>
      </x:c>
      <x:c r="D1090" s="170" t="str">
        <x:v>виключно</x:v>
      </x:c>
      <x:c r="E1090" s="167" t="str">
        <x:v>Yes</x:v>
      </x:c>
      <x:c r="F1090" s="167" t="n">
        <x:v>7</x:v>
      </x:c>
      <x:c r="G1090" s="167" t="str">
        <x:v>High</x:v>
      </x:c>
      <x:c r="H1090" s="167" t="str">
        <x:v>General</x:v>
      </x:c>
      <x:c r="I1090" s="167" t="str">
        <x:v>Not Started</x:v>
      </x:c>
      <x:c r="J1090" s="167" t="n">
        <x:v>0</x:v>
      </x:c>
      <x:c r="K1090" s="168"/>
      <x:c r="L1090" s="168" t="str">
        <x:f>IF(OR(I1090="Mastered",K1090=""),"",K1090+IF(J1090&gt;=5,30,IF(J1090=4,14,IF(J1090=3,7,IF(J1090=2,3,1)))))</x:f>
      </x:c>
      <x:c r="M1090" s="171" t="str"/>
      <x:c r="N1090" s="171" t="str"/>
      <x:c r="O1090" s="171" t="str">
        <x:v>Draft — verify in context</x:v>
      </x:c>
      <x:c r="P1090" s="167" t="str">
        <x:v>https://www.oxfordlearnersdictionaries.com/wordlists/oxford3000-5000</x:v>
      </x:c>
    </x:row>
    <x:row r="1091" ht="26" customHeight="1">
      <x:c r="A1091" s="167" t="n">
        <x:v>1090</x:v>
      </x:c>
      <x:c r="B1091" s="167" t="str">
        <x:v>solicitor</x:v>
      </x:c>
      <x:c r="C1091" s="167" t="str">
        <x:v>n.</x:v>
      </x:c>
      <x:c r="D1091" s="170" t="str">
        <x:v>адвокат</x:v>
      </x:c>
      <x:c r="E1091" s="167" t="str">
        <x:v>No</x:v>
      </x:c>
      <x:c r="F1091" s="167"/>
      <x:c r="G1091" s="167" t="str">
        <x:v>Core</x:v>
      </x:c>
      <x:c r="H1091" s="167" t="str">
        <x:v>General</x:v>
      </x:c>
      <x:c r="I1091" s="167" t="str">
        <x:v>Not Started</x:v>
      </x:c>
      <x:c r="J1091" s="167" t="n">
        <x:v>0</x:v>
      </x:c>
      <x:c r="K1091" s="168"/>
      <x:c r="L1091" s="168" t="str">
        <x:f>IF(OR(I1091="Mastered",K1091=""),"",K1091+IF(J1091&gt;=5,30,IF(J1091=4,14,IF(J1091=3,7,IF(J1091=2,3,1)))))</x:f>
      </x:c>
      <x:c r="M1091" s="171" t="str"/>
      <x:c r="N1091" s="171" t="str"/>
      <x:c r="O1091" s="171" t="str">
        <x:v>Draft — verify in context</x:v>
      </x:c>
      <x:c r="P1091" s="167" t="str">
        <x:v>https://www.oxfordlearnersdictionaries.com/wordlists/oxford3000-5000</x:v>
      </x:c>
    </x:row>
    <x:row r="1092" ht="26" customHeight="1">
      <x:c r="A1092" s="167" t="n">
        <x:v>1091</x:v>
      </x:c>
      <x:c r="B1092" s="167" t="str">
        <x:v>solidarity</x:v>
      </x:c>
      <x:c r="C1092" s="167" t="str">
        <x:v>n.</x:v>
      </x:c>
      <x:c r="D1092" s="170" t="str">
        <x:v>солідарність</x:v>
      </x:c>
      <x:c r="E1092" s="167" t="str">
        <x:v>No</x:v>
      </x:c>
      <x:c r="F1092" s="167"/>
      <x:c r="G1092" s="167" t="str">
        <x:v>Core</x:v>
      </x:c>
      <x:c r="H1092" s="167" t="str">
        <x:v>General</x:v>
      </x:c>
      <x:c r="I1092" s="167" t="str">
        <x:v>Not Started</x:v>
      </x:c>
      <x:c r="J1092" s="167" t="n">
        <x:v>0</x:v>
      </x:c>
      <x:c r="K1092" s="168"/>
      <x:c r="L1092" s="168" t="str">
        <x:f>IF(OR(I1092="Mastered",K1092=""),"",K1092+IF(J1092&gt;=5,30,IF(J1092=4,14,IF(J1092=3,7,IF(J1092=2,3,1)))))</x:f>
      </x:c>
      <x:c r="M1092" s="171" t="str"/>
      <x:c r="N1092" s="171" t="str"/>
      <x:c r="O1092" s="171" t="str">
        <x:v>Draft — verify in context</x:v>
      </x:c>
      <x:c r="P1092" s="167" t="str">
        <x:v>https://www.oxfordlearnersdictionaries.com/wordlists/oxford3000-5000</x:v>
      </x:c>
    </x:row>
    <x:row r="1093" ht="26" customHeight="1">
      <x:c r="A1093" s="167" t="n">
        <x:v>1092</x:v>
      </x:c>
      <x:c r="B1093" s="167" t="str">
        <x:v>solo</x:v>
      </x:c>
      <x:c r="C1093" s="167" t="str">
        <x:v>adj., n.</x:v>
      </x:c>
      <x:c r="D1093" s="170" t="str">
        <x:v>соло</x:v>
      </x:c>
      <x:c r="E1093" s="167" t="str">
        <x:v>No</x:v>
      </x:c>
      <x:c r="F1093" s="167"/>
      <x:c r="G1093" s="167" t="str">
        <x:v>Core</x:v>
      </x:c>
      <x:c r="H1093" s="167" t="str">
        <x:v>General</x:v>
      </x:c>
      <x:c r="I1093" s="167" t="str">
        <x:v>Not Started</x:v>
      </x:c>
      <x:c r="J1093" s="167" t="n">
        <x:v>0</x:v>
      </x:c>
      <x:c r="K1093" s="168"/>
      <x:c r="L1093" s="168" t="str">
        <x:f>IF(OR(I1093="Mastered",K1093=""),"",K1093+IF(J1093&gt;=5,30,IF(J1093=4,14,IF(J1093=3,7,IF(J1093=2,3,1)))))</x:f>
      </x:c>
      <x:c r="M1093" s="171" t="str"/>
      <x:c r="N1093" s="171" t="str"/>
      <x:c r="O1093" s="171" t="str">
        <x:v>Draft — verify in context</x:v>
      </x:c>
      <x:c r="P1093" s="167" t="str">
        <x:v>https://www.oxfordlearnersdictionaries.com/wordlists/oxford3000-5000</x:v>
      </x:c>
    </x:row>
    <x:row r="1094" ht="26" customHeight="1">
      <x:c r="A1094" s="167" t="n">
        <x:v>1093</x:v>
      </x:c>
      <x:c r="B1094" s="167" t="str">
        <x:v>sound</x:v>
      </x:c>
      <x:c r="C1094" s="167" t="str">
        <x:v>adj.</x:v>
      </x:c>
      <x:c r="D1094" s="170" t="str">
        <x:v>звук</x:v>
      </x:c>
      <x:c r="E1094" s="167" t="str">
        <x:v>No</x:v>
      </x:c>
      <x:c r="F1094" s="167"/>
      <x:c r="G1094" s="167" t="str">
        <x:v>Core</x:v>
      </x:c>
      <x:c r="H1094" s="167" t="str">
        <x:v>General</x:v>
      </x:c>
      <x:c r="I1094" s="167" t="str">
        <x:v>Not Started</x:v>
      </x:c>
      <x:c r="J1094" s="167" t="n">
        <x:v>0</x:v>
      </x:c>
      <x:c r="K1094" s="168"/>
      <x:c r="L1094" s="168" t="str">
        <x:f>IF(OR(I1094="Mastered",K1094=""),"",K1094+IF(J1094&gt;=5,30,IF(J1094=4,14,IF(J1094=3,7,IF(J1094=2,3,1)))))</x:f>
      </x:c>
      <x:c r="M1094" s="171" t="str"/>
      <x:c r="N1094" s="171" t="str"/>
      <x:c r="O1094" s="171" t="str">
        <x:v>Draft — verify in context</x:v>
      </x:c>
      <x:c r="P1094" s="167" t="str">
        <x:v>https://www.oxfordlearnersdictionaries.com/wordlists/oxford3000-5000</x:v>
      </x:c>
    </x:row>
    <x:row r="1095" ht="26" customHeight="1">
      <x:c r="A1095" s="167" t="n">
        <x:v>1094</x:v>
      </x:c>
      <x:c r="B1095" s="167" t="str">
        <x:v>sovereignty</x:v>
      </x:c>
      <x:c r="C1095" s="167" t="str">
        <x:v>n.</x:v>
      </x:c>
      <x:c r="D1095" s="170" t="str">
        <x:v>суверенітет</x:v>
      </x:c>
      <x:c r="E1095" s="167" t="str">
        <x:v>No</x:v>
      </x:c>
      <x:c r="F1095" s="167"/>
      <x:c r="G1095" s="167" t="str">
        <x:v>Core</x:v>
      </x:c>
      <x:c r="H1095" s="167" t="str">
        <x:v>General</x:v>
      </x:c>
      <x:c r="I1095" s="167" t="str">
        <x:v>Not Started</x:v>
      </x:c>
      <x:c r="J1095" s="167" t="n">
        <x:v>0</x:v>
      </x:c>
      <x:c r="K1095" s="168"/>
      <x:c r="L1095" s="168" t="str">
        <x:f>IF(OR(I1095="Mastered",K1095=""),"",K1095+IF(J1095&gt;=5,30,IF(J1095=4,14,IF(J1095=3,7,IF(J1095=2,3,1)))))</x:f>
      </x:c>
      <x:c r="M1095" s="171" t="str"/>
      <x:c r="N1095" s="171" t="str"/>
      <x:c r="O1095" s="171" t="str">
        <x:v>Draft — verify in context</x:v>
      </x:c>
      <x:c r="P1095" s="167" t="str">
        <x:v>https://www.oxfordlearnersdictionaries.com/wordlists/oxford3000-5000</x:v>
      </x:c>
    </x:row>
    <x:row r="1096" ht="26" customHeight="1">
      <x:c r="A1096" s="167" t="n">
        <x:v>1095</x:v>
      </x:c>
      <x:c r="B1096" s="167" t="str">
        <x:v>spam</x:v>
      </x:c>
      <x:c r="C1096" s="167" t="str">
        <x:v>n.</x:v>
      </x:c>
      <x:c r="D1096" s="170" t="str">
        <x:v>спам</x:v>
      </x:c>
      <x:c r="E1096" s="167" t="str">
        <x:v>No</x:v>
      </x:c>
      <x:c r="F1096" s="167"/>
      <x:c r="G1096" s="167" t="str">
        <x:v>Core</x:v>
      </x:c>
      <x:c r="H1096" s="167" t="str">
        <x:v>General</x:v>
      </x:c>
      <x:c r="I1096" s="167" t="str">
        <x:v>Not Started</x:v>
      </x:c>
      <x:c r="J1096" s="167" t="n">
        <x:v>0</x:v>
      </x:c>
      <x:c r="K1096" s="168"/>
      <x:c r="L1096" s="168" t="str">
        <x:f>IF(OR(I1096="Mastered",K1096=""),"",K1096+IF(J1096&gt;=5,30,IF(J1096=4,14,IF(J1096=3,7,IF(J1096=2,3,1)))))</x:f>
      </x:c>
      <x:c r="M1096" s="171" t="str"/>
      <x:c r="N1096" s="171" t="str"/>
      <x:c r="O1096" s="171" t="str">
        <x:v>Draft — verify in context</x:v>
      </x:c>
      <x:c r="P1096" s="167" t="str">
        <x:v>https://www.oxfordlearnersdictionaries.com/wordlists/oxford3000-5000</x:v>
      </x:c>
    </x:row>
    <x:row r="1097" ht="26" customHeight="1">
      <x:c r="A1097" s="167" t="n">
        <x:v>1096</x:v>
      </x:c>
      <x:c r="B1097" s="167" t="str">
        <x:v>span</x:v>
      </x:c>
      <x:c r="C1097" s="167" t="str">
        <x:v>v., n.</x:v>
      </x:c>
      <x:c r="D1097" s="170" t="str">
        <x:v>охоплювати; тривати</x:v>
      </x:c>
      <x:c r="E1097" s="167" t="str">
        <x:v>No</x:v>
      </x:c>
      <x:c r="F1097" s="167"/>
      <x:c r="G1097" s="167" t="str">
        <x:v>Core</x:v>
      </x:c>
      <x:c r="H1097" s="167" t="str">
        <x:v>General</x:v>
      </x:c>
      <x:c r="I1097" s="167" t="str">
        <x:v>Not Started</x:v>
      </x:c>
      <x:c r="J1097" s="167" t="n">
        <x:v>0</x:v>
      </x:c>
      <x:c r="K1097" s="168"/>
      <x:c r="L1097" s="168" t="str">
        <x:f>IF(OR(I1097="Mastered",K1097=""),"",K1097+IF(J1097&gt;=5,30,IF(J1097=4,14,IF(J1097=3,7,IF(J1097=2,3,1)))))</x:f>
      </x:c>
      <x:c r="M1097" s="171" t="str"/>
      <x:c r="N1097" s="171" t="str"/>
      <x:c r="O1097" s="171" t="str">
        <x:v>Draft — verify in context</x:v>
      </x:c>
      <x:c r="P1097" s="167" t="str">
        <x:v>https://www.oxfordlearnersdictionaries.com/wordlists/oxford3000-5000</x:v>
      </x:c>
    </x:row>
    <x:row r="1098" ht="26" customHeight="1">
      <x:c r="A1098" s="167" t="n">
        <x:v>1097</x:v>
      </x:c>
      <x:c r="B1098" s="167" t="str">
        <x:v>spare</x:v>
      </x:c>
      <x:c r="C1098" s="167" t="str">
        <x:v>v.</x:v>
      </x:c>
      <x:c r="D1098" s="170" t="str">
        <x:v>запасний</x:v>
      </x:c>
      <x:c r="E1098" s="167" t="str">
        <x:v>No</x:v>
      </x:c>
      <x:c r="F1098" s="167"/>
      <x:c r="G1098" s="167" t="str">
        <x:v>Core</x:v>
      </x:c>
      <x:c r="H1098" s="167" t="str">
        <x:v>General</x:v>
      </x:c>
      <x:c r="I1098" s="167" t="str">
        <x:v>Not Started</x:v>
      </x:c>
      <x:c r="J1098" s="167" t="n">
        <x:v>0</x:v>
      </x:c>
      <x:c r="K1098" s="168"/>
      <x:c r="L1098" s="168" t="str">
        <x:f>IF(OR(I1098="Mastered",K1098=""),"",K1098+IF(J1098&gt;=5,30,IF(J1098=4,14,IF(J1098=3,7,IF(J1098=2,3,1)))))</x:f>
      </x:c>
      <x:c r="M1098" s="171" t="str"/>
      <x:c r="N1098" s="171" t="str"/>
      <x:c r="O1098" s="171" t="str">
        <x:v>Draft — verify in context</x:v>
      </x:c>
      <x:c r="P1098" s="167" t="str">
        <x:v>https://www.oxfordlearnersdictionaries.com/wordlists/oxford3000-5000</x:v>
      </x:c>
    </x:row>
    <x:row r="1099" ht="26" customHeight="1">
      <x:c r="A1099" s="167" t="n">
        <x:v>1098</x:v>
      </x:c>
      <x:c r="B1099" s="167" t="str">
        <x:v>spark</x:v>
      </x:c>
      <x:c r="C1099" s="167" t="str">
        <x:v>v.</x:v>
      </x:c>
      <x:c r="D1099" s="170" t="str">
        <x:v>іскра</x:v>
      </x:c>
      <x:c r="E1099" s="167" t="str">
        <x:v>No</x:v>
      </x:c>
      <x:c r="F1099" s="167"/>
      <x:c r="G1099" s="167" t="str">
        <x:v>Core</x:v>
      </x:c>
      <x:c r="H1099" s="167" t="str">
        <x:v>General</x:v>
      </x:c>
      <x:c r="I1099" s="167" t="str">
        <x:v>Not Started</x:v>
      </x:c>
      <x:c r="J1099" s="167" t="n">
        <x:v>0</x:v>
      </x:c>
      <x:c r="K1099" s="168"/>
      <x:c r="L1099" s="168" t="str">
        <x:f>IF(OR(I1099="Mastered",K1099=""),"",K1099+IF(J1099&gt;=5,30,IF(J1099=4,14,IF(J1099=3,7,IF(J1099=2,3,1)))))</x:f>
      </x:c>
      <x:c r="M1099" s="171" t="str"/>
      <x:c r="N1099" s="171" t="str"/>
      <x:c r="O1099" s="171" t="str">
        <x:v>Draft — verify in context</x:v>
      </x:c>
      <x:c r="P1099" s="167" t="str">
        <x:v>https://www.oxfordlearnersdictionaries.com/wordlists/oxford3000-5000</x:v>
      </x:c>
    </x:row>
    <x:row r="1100" ht="26" customHeight="1">
      <x:c r="A1100" s="167" t="n">
        <x:v>1099</x:v>
      </x:c>
      <x:c r="B1100" s="167" t="str">
        <x:v>specialized</x:v>
      </x:c>
      <x:c r="C1100" s="167" t="str">
        <x:v>adj.</x:v>
      </x:c>
      <x:c r="D1100" s="170" t="str">
        <x:v>спеціалізований</x:v>
      </x:c>
      <x:c r="E1100" s="167" t="str">
        <x:v>No</x:v>
      </x:c>
      <x:c r="F1100" s="167"/>
      <x:c r="G1100" s="167" t="str">
        <x:v>Core</x:v>
      </x:c>
      <x:c r="H1100" s="167" t="str">
        <x:v>General</x:v>
      </x:c>
      <x:c r="I1100" s="167" t="str">
        <x:v>Not Started</x:v>
      </x:c>
      <x:c r="J1100" s="167" t="n">
        <x:v>0</x:v>
      </x:c>
      <x:c r="K1100" s="168"/>
      <x:c r="L1100" s="168" t="str">
        <x:f>IF(OR(I1100="Mastered",K1100=""),"",K1100+IF(J1100&gt;=5,30,IF(J1100=4,14,IF(J1100=3,7,IF(J1100=2,3,1)))))</x:f>
      </x:c>
      <x:c r="M1100" s="171" t="str"/>
      <x:c r="N1100" s="171" t="str"/>
      <x:c r="O1100" s="171" t="str">
        <x:v>Draft — verify in context</x:v>
      </x:c>
      <x:c r="P1100" s="167" t="str">
        <x:v>https://www.oxfordlearnersdictionaries.com/wordlists/oxford3000-5000</x:v>
      </x:c>
    </x:row>
    <x:row r="1101" ht="26" customHeight="1">
      <x:c r="A1101" s="167" t="n">
        <x:v>1100</x:v>
      </x:c>
      <x:c r="B1101" s="167" t="str">
        <x:v>specification</x:v>
      </x:c>
      <x:c r="C1101" s="167" t="str">
        <x:v>n.</x:v>
      </x:c>
      <x:c r="D1101" s="170" t="str">
        <x:v>специфікація</x:v>
      </x:c>
      <x:c r="E1101" s="167" t="str">
        <x:v>No</x:v>
      </x:c>
      <x:c r="F1101" s="167"/>
      <x:c r="G1101" s="167" t="str">
        <x:v>Core</x:v>
      </x:c>
      <x:c r="H1101" s="167" t="str">
        <x:v>General</x:v>
      </x:c>
      <x:c r="I1101" s="167" t="str">
        <x:v>Not Started</x:v>
      </x:c>
      <x:c r="J1101" s="167" t="n">
        <x:v>0</x:v>
      </x:c>
      <x:c r="K1101" s="168"/>
      <x:c r="L1101" s="168" t="str">
        <x:f>IF(OR(I1101="Mastered",K1101=""),"",K1101+IF(J1101&gt;=5,30,IF(J1101=4,14,IF(J1101=3,7,IF(J1101=2,3,1)))))</x:f>
      </x:c>
      <x:c r="M1101" s="171" t="str"/>
      <x:c r="N1101" s="171" t="str"/>
      <x:c r="O1101" s="171" t="str">
        <x:v>Draft — verify in context</x:v>
      </x:c>
      <x:c r="P1101" s="167" t="str">
        <x:v>https://www.oxfordlearnersdictionaries.com/wordlists/oxford3000-5000</x:v>
      </x:c>
    </x:row>
    <x:row r="1102" ht="26" customHeight="1">
      <x:c r="A1102" s="167" t="n">
        <x:v>1101</x:v>
      </x:c>
      <x:c r="B1102" s="167" t="str">
        <x:v>specimen</x:v>
      </x:c>
      <x:c r="C1102" s="167" t="str">
        <x:v>n.</x:v>
      </x:c>
      <x:c r="D1102" s="170" t="str">
        <x:v>зразок</x:v>
      </x:c>
      <x:c r="E1102" s="167" t="str">
        <x:v>No</x:v>
      </x:c>
      <x:c r="F1102" s="167"/>
      <x:c r="G1102" s="167" t="str">
        <x:v>Core</x:v>
      </x:c>
      <x:c r="H1102" s="167" t="str">
        <x:v>General</x:v>
      </x:c>
      <x:c r="I1102" s="167" t="str">
        <x:v>Not Started</x:v>
      </x:c>
      <x:c r="J1102" s="167" t="n">
        <x:v>0</x:v>
      </x:c>
      <x:c r="K1102" s="168"/>
      <x:c r="L1102" s="168" t="str">
        <x:f>IF(OR(I1102="Mastered",K1102=""),"",K1102+IF(J1102&gt;=5,30,IF(J1102=4,14,IF(J1102=3,7,IF(J1102=2,3,1)))))</x:f>
      </x:c>
      <x:c r="M1102" s="171" t="str"/>
      <x:c r="N1102" s="171" t="str"/>
      <x:c r="O1102" s="171" t="str">
        <x:v>Draft — verify in context</x:v>
      </x:c>
      <x:c r="P1102" s="167" t="str">
        <x:v>https://www.oxfordlearnersdictionaries.com/wordlists/oxford3000-5000</x:v>
      </x:c>
    </x:row>
    <x:row r="1103" ht="26" customHeight="1">
      <x:c r="A1103" s="167" t="n">
        <x:v>1102</x:v>
      </x:c>
      <x:c r="B1103" s="167" t="str">
        <x:v>spectacle</x:v>
      </x:c>
      <x:c r="C1103" s="167" t="str">
        <x:v>n.</x:v>
      </x:c>
      <x:c r="D1103" s="170" t="str">
        <x:v>видовище</x:v>
      </x:c>
      <x:c r="E1103" s="167" t="str">
        <x:v>No</x:v>
      </x:c>
      <x:c r="F1103" s="167"/>
      <x:c r="G1103" s="167" t="str">
        <x:v>Core</x:v>
      </x:c>
      <x:c r="H1103" s="167" t="str">
        <x:v>General</x:v>
      </x:c>
      <x:c r="I1103" s="167" t="str">
        <x:v>Not Started</x:v>
      </x:c>
      <x:c r="J1103" s="167" t="n">
        <x:v>0</x:v>
      </x:c>
      <x:c r="K1103" s="168"/>
      <x:c r="L1103" s="168" t="str">
        <x:f>IF(OR(I1103="Mastered",K1103=""),"",K1103+IF(J1103&gt;=5,30,IF(J1103=4,14,IF(J1103=3,7,IF(J1103=2,3,1)))))</x:f>
      </x:c>
      <x:c r="M1103" s="171" t="str"/>
      <x:c r="N1103" s="171" t="str"/>
      <x:c r="O1103" s="171" t="str">
        <x:v>Draft — verify in context</x:v>
      </x:c>
      <x:c r="P1103" s="167" t="str">
        <x:v>https://www.oxfordlearnersdictionaries.com/wordlists/oxford3000-5000</x:v>
      </x:c>
    </x:row>
    <x:row r="1104" ht="26" customHeight="1">
      <x:c r="A1104" s="167" t="n">
        <x:v>1103</x:v>
      </x:c>
      <x:c r="B1104" s="167" t="str">
        <x:v>spectrum</x:v>
      </x:c>
      <x:c r="C1104" s="167" t="str">
        <x:v>n.</x:v>
      </x:c>
      <x:c r="D1104" s="170" t="str">
        <x:v>спектр</x:v>
      </x:c>
      <x:c r="E1104" s="167" t="str">
        <x:v>No</x:v>
      </x:c>
      <x:c r="F1104" s="167"/>
      <x:c r="G1104" s="167" t="str">
        <x:v>Core</x:v>
      </x:c>
      <x:c r="H1104" s="167" t="str">
        <x:v>General</x:v>
      </x:c>
      <x:c r="I1104" s="167" t="str">
        <x:v>Not Started</x:v>
      </x:c>
      <x:c r="J1104" s="167" t="n">
        <x:v>0</x:v>
      </x:c>
      <x:c r="K1104" s="168"/>
      <x:c r="L1104" s="168" t="str">
        <x:f>IF(OR(I1104="Mastered",K1104=""),"",K1104+IF(J1104&gt;=5,30,IF(J1104=4,14,IF(J1104=3,7,IF(J1104=2,3,1)))))</x:f>
      </x:c>
      <x:c r="M1104" s="171" t="str"/>
      <x:c r="N1104" s="171" t="str"/>
      <x:c r="O1104" s="171" t="str">
        <x:v>Draft — verify in context</x:v>
      </x:c>
      <x:c r="P1104" s="167" t="str">
        <x:v>https://www.oxfordlearnersdictionaries.com/wordlists/oxford3000-5000</x:v>
      </x:c>
    </x:row>
    <x:row r="1105" ht="26" customHeight="1">
      <x:c r="A1105" s="167" t="n">
        <x:v>1104</x:v>
      </x:c>
      <x:c r="B1105" s="167" t="str">
        <x:v>spell</x:v>
      </x:c>
      <x:c r="C1105" s="167" t="str">
        <x:v>n.</x:v>
      </x:c>
      <x:c r="D1105" s="170" t="str">
        <x:v>заклинання</x:v>
      </x:c>
      <x:c r="E1105" s="167" t="str">
        <x:v>No</x:v>
      </x:c>
      <x:c r="F1105" s="167"/>
      <x:c r="G1105" s="167" t="str">
        <x:v>Core</x:v>
      </x:c>
      <x:c r="H1105" s="167" t="str">
        <x:v>General</x:v>
      </x:c>
      <x:c r="I1105" s="167" t="str">
        <x:v>Not Started</x:v>
      </x:c>
      <x:c r="J1105" s="167" t="n">
        <x:v>0</x:v>
      </x:c>
      <x:c r="K1105" s="168"/>
      <x:c r="L1105" s="168" t="str">
        <x:f>IF(OR(I1105="Mastered",K1105=""),"",K1105+IF(J1105&gt;=5,30,IF(J1105=4,14,IF(J1105=3,7,IF(J1105=2,3,1)))))</x:f>
      </x:c>
      <x:c r="M1105" s="171" t="str"/>
      <x:c r="N1105" s="171" t="str"/>
      <x:c r="O1105" s="171" t="str">
        <x:v>Draft — verify in context</x:v>
      </x:c>
      <x:c r="P1105" s="167" t="str">
        <x:v>https://www.oxfordlearnersdictionaries.com/wordlists/oxford3000-5000</x:v>
      </x:c>
    </x:row>
    <x:row r="1106" ht="26" customHeight="1">
      <x:c r="A1106" s="167" t="n">
        <x:v>1105</x:v>
      </x:c>
      <x:c r="B1106" s="167" t="str">
        <x:v>sphere</x:v>
      </x:c>
      <x:c r="C1106" s="167" t="str">
        <x:v>n.</x:v>
      </x:c>
      <x:c r="D1106" s="170" t="str">
        <x:v>сфера</x:v>
      </x:c>
      <x:c r="E1106" s="167" t="str">
        <x:v>Yes</x:v>
      </x:c>
      <x:c r="F1106" s="167" t="n">
        <x:v>9</x:v>
      </x:c>
      <x:c r="G1106" s="167" t="str">
        <x:v>High</x:v>
      </x:c>
      <x:c r="H1106" s="167" t="str">
        <x:v>General</x:v>
      </x:c>
      <x:c r="I1106" s="167" t="str">
        <x:v>Not Started</x:v>
      </x:c>
      <x:c r="J1106" s="167" t="n">
        <x:v>0</x:v>
      </x:c>
      <x:c r="K1106" s="168"/>
      <x:c r="L1106" s="168" t="str">
        <x:f>IF(OR(I1106="Mastered",K1106=""),"",K1106+IF(J1106&gt;=5,30,IF(J1106=4,14,IF(J1106=3,7,IF(J1106=2,3,1)))))</x:f>
      </x:c>
      <x:c r="M1106" s="171" t="str"/>
      <x:c r="N1106" s="171" t="str"/>
      <x:c r="O1106" s="171" t="str">
        <x:v>Draft — verify in context</x:v>
      </x:c>
      <x:c r="P1106" s="167" t="str">
        <x:v>https://www.oxfordlearnersdictionaries.com/wordlists/oxford3000-5000</x:v>
      </x:c>
    </x:row>
    <x:row r="1107" ht="26" customHeight="1">
      <x:c r="A1107" s="167" t="n">
        <x:v>1106</x:v>
      </x:c>
      <x:c r="B1107" s="167" t="str">
        <x:v>spin</x:v>
      </x:c>
      <x:c r="C1107" s="167" t="str">
        <x:v>v., n.</x:v>
      </x:c>
      <x:c r="D1107" s="170" t="str">
        <x:v>спін</x:v>
      </x:c>
      <x:c r="E1107" s="167" t="str">
        <x:v>No</x:v>
      </x:c>
      <x:c r="F1107" s="167"/>
      <x:c r="G1107" s="167" t="str">
        <x:v>Core</x:v>
      </x:c>
      <x:c r="H1107" s="167" t="str">
        <x:v>General</x:v>
      </x:c>
      <x:c r="I1107" s="167" t="str">
        <x:v>Not Started</x:v>
      </x:c>
      <x:c r="J1107" s="167" t="n">
        <x:v>0</x:v>
      </x:c>
      <x:c r="K1107" s="168"/>
      <x:c r="L1107" s="168" t="str">
        <x:f>IF(OR(I1107="Mastered",K1107=""),"",K1107+IF(J1107&gt;=5,30,IF(J1107=4,14,IF(J1107=3,7,IF(J1107=2,3,1)))))</x:f>
      </x:c>
      <x:c r="M1107" s="171" t="str"/>
      <x:c r="N1107" s="171" t="str"/>
      <x:c r="O1107" s="171" t="str">
        <x:v>Draft — verify in context</x:v>
      </x:c>
      <x:c r="P1107" s="167" t="str">
        <x:v>https://www.oxfordlearnersdictionaries.com/wordlists/oxford3000-5000</x:v>
      </x:c>
    </x:row>
    <x:row r="1108" ht="26" customHeight="1">
      <x:c r="A1108" s="167" t="n">
        <x:v>1107</x:v>
      </x:c>
      <x:c r="B1108" s="167" t="str">
        <x:v>spine</x:v>
      </x:c>
      <x:c r="C1108" s="167" t="str">
        <x:v>n.</x:v>
      </x:c>
      <x:c r="D1108" s="170" t="str">
        <x:v>хребет</x:v>
      </x:c>
      <x:c r="E1108" s="167" t="str">
        <x:v>No</x:v>
      </x:c>
      <x:c r="F1108" s="167"/>
      <x:c r="G1108" s="167" t="str">
        <x:v>Core</x:v>
      </x:c>
      <x:c r="H1108" s="167" t="str">
        <x:v>General</x:v>
      </x:c>
      <x:c r="I1108" s="167" t="str">
        <x:v>Not Started</x:v>
      </x:c>
      <x:c r="J1108" s="167" t="n">
        <x:v>0</x:v>
      </x:c>
      <x:c r="K1108" s="168"/>
      <x:c r="L1108" s="168" t="str">
        <x:f>IF(OR(I1108="Mastered",K1108=""),"",K1108+IF(J1108&gt;=5,30,IF(J1108=4,14,IF(J1108=3,7,IF(J1108=2,3,1)))))</x:f>
      </x:c>
      <x:c r="M1108" s="171" t="str"/>
      <x:c r="N1108" s="171" t="str"/>
      <x:c r="O1108" s="171" t="str">
        <x:v>Draft — verify in context</x:v>
      </x:c>
      <x:c r="P1108" s="167" t="str">
        <x:v>https://www.oxfordlearnersdictionaries.com/wordlists/oxford3000-5000</x:v>
      </x:c>
    </x:row>
    <x:row r="1109" ht="26" customHeight="1">
      <x:c r="A1109" s="167" t="n">
        <x:v>1108</x:v>
      </x:c>
      <x:c r="B1109" s="167" t="str">
        <x:v>spotlight</x:v>
      </x:c>
      <x:c r="C1109" s="167" t="str">
        <x:v>n.</x:v>
      </x:c>
      <x:c r="D1109" s="170" t="str">
        <x:v>центр уваги; прожектор</x:v>
      </x:c>
      <x:c r="E1109" s="167" t="str">
        <x:v>No</x:v>
      </x:c>
      <x:c r="F1109" s="167"/>
      <x:c r="G1109" s="167" t="str">
        <x:v>Core</x:v>
      </x:c>
      <x:c r="H1109" s="167" t="str">
        <x:v>General</x:v>
      </x:c>
      <x:c r="I1109" s="167" t="str">
        <x:v>Not Started</x:v>
      </x:c>
      <x:c r="J1109" s="167" t="n">
        <x:v>0</x:v>
      </x:c>
      <x:c r="K1109" s="168"/>
      <x:c r="L1109" s="168" t="str">
        <x:f>IF(OR(I1109="Mastered",K1109=""),"",K1109+IF(J1109&gt;=5,30,IF(J1109=4,14,IF(J1109=3,7,IF(J1109=2,3,1)))))</x:f>
      </x:c>
      <x:c r="M1109" s="171" t="str"/>
      <x:c r="N1109" s="171" t="str"/>
      <x:c r="O1109" s="171" t="str">
        <x:v>Draft — verify in context</x:v>
      </x:c>
      <x:c r="P1109" s="167" t="str">
        <x:v>https://www.oxfordlearnersdictionaries.com/wordlists/oxford3000-5000</x:v>
      </x:c>
    </x:row>
    <x:row r="1110" ht="26" customHeight="1">
      <x:c r="A1110" s="167" t="n">
        <x:v>1109</x:v>
      </x:c>
      <x:c r="B1110" s="167" t="str">
        <x:v>spouse</x:v>
      </x:c>
      <x:c r="C1110" s="167" t="str">
        <x:v>n.</x:v>
      </x:c>
      <x:c r="D1110" s="170" t="str">
        <x:v>дружина</x:v>
      </x:c>
      <x:c r="E1110" s="167" t="str">
        <x:v>No</x:v>
      </x:c>
      <x:c r="F1110" s="167"/>
      <x:c r="G1110" s="167" t="str">
        <x:v>Core</x:v>
      </x:c>
      <x:c r="H1110" s="167" t="str">
        <x:v>General</x:v>
      </x:c>
      <x:c r="I1110" s="167" t="str">
        <x:v>Not Started</x:v>
      </x:c>
      <x:c r="J1110" s="167" t="n">
        <x:v>0</x:v>
      </x:c>
      <x:c r="K1110" s="168"/>
      <x:c r="L1110" s="168" t="str">
        <x:f>IF(OR(I1110="Mastered",K1110=""),"",K1110+IF(J1110&gt;=5,30,IF(J1110=4,14,IF(J1110=3,7,IF(J1110=2,3,1)))))</x:f>
      </x:c>
      <x:c r="M1110" s="171" t="str"/>
      <x:c r="N1110" s="171" t="str"/>
      <x:c r="O1110" s="171" t="str">
        <x:v>Draft — verify in context</x:v>
      </x:c>
      <x:c r="P1110" s="167" t="str">
        <x:v>https://www.oxfordlearnersdictionaries.com/wordlists/oxford3000-5000</x:v>
      </x:c>
    </x:row>
    <x:row r="1111" ht="26" customHeight="1">
      <x:c r="A1111" s="167" t="n">
        <x:v>1110</x:v>
      </x:c>
      <x:c r="B1111" s="167" t="str">
        <x:v>spy</x:v>
      </x:c>
      <x:c r="C1111" s="167" t="str">
        <x:v>n., v.</x:v>
      </x:c>
      <x:c r="D1111" s="170" t="str">
        <x:v>шпигун</x:v>
      </x:c>
      <x:c r="E1111" s="167" t="str">
        <x:v>No</x:v>
      </x:c>
      <x:c r="F1111" s="167"/>
      <x:c r="G1111" s="167" t="str">
        <x:v>Core</x:v>
      </x:c>
      <x:c r="H1111" s="167" t="str">
        <x:v>General</x:v>
      </x:c>
      <x:c r="I1111" s="167" t="str">
        <x:v>Not Started</x:v>
      </x:c>
      <x:c r="J1111" s="167" t="n">
        <x:v>0</x:v>
      </x:c>
      <x:c r="K1111" s="168"/>
      <x:c r="L1111" s="168" t="str">
        <x:f>IF(OR(I1111="Mastered",K1111=""),"",K1111+IF(J1111&gt;=5,30,IF(J1111=4,14,IF(J1111=3,7,IF(J1111=2,3,1)))))</x:f>
      </x:c>
      <x:c r="M1111" s="171" t="str"/>
      <x:c r="N1111" s="171" t="str"/>
      <x:c r="O1111" s="171" t="str">
        <x:v>Draft — verify in context</x:v>
      </x:c>
      <x:c r="P1111" s="167" t="str">
        <x:v>https://www.oxfordlearnersdictionaries.com/wordlists/oxford3000-5000</x:v>
      </x:c>
    </x:row>
    <x:row r="1112" ht="26" customHeight="1">
      <x:c r="A1112" s="167" t="n">
        <x:v>1111</x:v>
      </x:c>
      <x:c r="B1112" s="167" t="str">
        <x:v>squad</x:v>
      </x:c>
      <x:c r="C1112" s="167" t="str">
        <x:v>n.</x:v>
      </x:c>
      <x:c r="D1112" s="170" t="str">
        <x:v>загін</x:v>
      </x:c>
      <x:c r="E1112" s="167" t="str">
        <x:v>No</x:v>
      </x:c>
      <x:c r="F1112" s="167"/>
      <x:c r="G1112" s="167" t="str">
        <x:v>Core</x:v>
      </x:c>
      <x:c r="H1112" s="167" t="str">
        <x:v>General</x:v>
      </x:c>
      <x:c r="I1112" s="167" t="str">
        <x:v>Not Started</x:v>
      </x:c>
      <x:c r="J1112" s="167" t="n">
        <x:v>0</x:v>
      </x:c>
      <x:c r="K1112" s="168"/>
      <x:c r="L1112" s="168" t="str">
        <x:f>IF(OR(I1112="Mastered",K1112=""),"",K1112+IF(J1112&gt;=5,30,IF(J1112=4,14,IF(J1112=3,7,IF(J1112=2,3,1)))))</x:f>
      </x:c>
      <x:c r="M1112" s="171" t="str"/>
      <x:c r="N1112" s="171" t="str"/>
      <x:c r="O1112" s="171" t="str">
        <x:v>Draft — verify in context</x:v>
      </x:c>
      <x:c r="P1112" s="167" t="str">
        <x:v>https://www.oxfordlearnersdictionaries.com/wordlists/oxford3000-5000</x:v>
      </x:c>
    </x:row>
    <x:row r="1113" ht="26" customHeight="1">
      <x:c r="A1113" s="167" t="n">
        <x:v>1112</x:v>
      </x:c>
      <x:c r="B1113" s="167" t="str">
        <x:v>squeeze</x:v>
      </x:c>
      <x:c r="C1113" s="167" t="str">
        <x:v>v.</x:v>
      </x:c>
      <x:c r="D1113" s="170" t="str">
        <x:v>стискати</x:v>
      </x:c>
      <x:c r="E1113" s="167" t="str">
        <x:v>No</x:v>
      </x:c>
      <x:c r="F1113" s="167"/>
      <x:c r="G1113" s="167" t="str">
        <x:v>Core</x:v>
      </x:c>
      <x:c r="H1113" s="167" t="str">
        <x:v>General</x:v>
      </x:c>
      <x:c r="I1113" s="167" t="str">
        <x:v>Not Started</x:v>
      </x:c>
      <x:c r="J1113" s="167" t="n">
        <x:v>0</x:v>
      </x:c>
      <x:c r="K1113" s="168"/>
      <x:c r="L1113" s="168" t="str">
        <x:f>IF(OR(I1113="Mastered",K1113=""),"",K1113+IF(J1113&gt;=5,30,IF(J1113=4,14,IF(J1113=3,7,IF(J1113=2,3,1)))))</x:f>
      </x:c>
      <x:c r="M1113" s="171" t="str"/>
      <x:c r="N1113" s="171" t="str"/>
      <x:c r="O1113" s="171" t="str">
        <x:v>Draft — verify in context</x:v>
      </x:c>
      <x:c r="P1113" s="167" t="str">
        <x:v>https://www.oxfordlearnersdictionaries.com/wordlists/oxford3000-5000</x:v>
      </x:c>
    </x:row>
    <x:row r="1114" ht="26" customHeight="1">
      <x:c r="A1114" s="167" t="n">
        <x:v>1113</x:v>
      </x:c>
      <x:c r="B1114" s="167" t="str">
        <x:v>stab</x:v>
      </x:c>
      <x:c r="C1114" s="167" t="str">
        <x:v>v.</x:v>
      </x:c>
      <x:c r="D1114" s="170" t="str">
        <x:v>удар</x:v>
      </x:c>
      <x:c r="E1114" s="167" t="str">
        <x:v>No</x:v>
      </x:c>
      <x:c r="F1114" s="167"/>
      <x:c r="G1114" s="167" t="str">
        <x:v>Core</x:v>
      </x:c>
      <x:c r="H1114" s="167" t="str">
        <x:v>General</x:v>
      </x:c>
      <x:c r="I1114" s="167" t="str">
        <x:v>Not Started</x:v>
      </x:c>
      <x:c r="J1114" s="167" t="n">
        <x:v>0</x:v>
      </x:c>
      <x:c r="K1114" s="168"/>
      <x:c r="L1114" s="168" t="str">
        <x:f>IF(OR(I1114="Mastered",K1114=""),"",K1114+IF(J1114&gt;=5,30,IF(J1114=4,14,IF(J1114=3,7,IF(J1114=2,3,1)))))</x:f>
      </x:c>
      <x:c r="M1114" s="171" t="str"/>
      <x:c r="N1114" s="171" t="str"/>
      <x:c r="O1114" s="171" t="str">
        <x:v>Draft — verify in context</x:v>
      </x:c>
      <x:c r="P1114" s="167" t="str">
        <x:v>https://www.oxfordlearnersdictionaries.com/wordlists/oxford3000-5000</x:v>
      </x:c>
    </x:row>
    <x:row r="1115" ht="26" customHeight="1">
      <x:c r="A1115" s="167" t="n">
        <x:v>1114</x:v>
      </x:c>
      <x:c r="B1115" s="167" t="str">
        <x:v>stability</x:v>
      </x:c>
      <x:c r="C1115" s="167" t="str">
        <x:v>n.</x:v>
      </x:c>
      <x:c r="D1115" s="170" t="str">
        <x:v>стабільність</x:v>
      </x:c>
      <x:c r="E1115" s="167" t="str">
        <x:v>Yes</x:v>
      </x:c>
      <x:c r="F1115" s="167" t="n">
        <x:v>5</x:v>
      </x:c>
      <x:c r="G1115" s="167" t="str">
        <x:v>High</x:v>
      </x:c>
      <x:c r="H1115" s="167" t="str">
        <x:v>General</x:v>
      </x:c>
      <x:c r="I1115" s="167" t="str">
        <x:v>Not Started</x:v>
      </x:c>
      <x:c r="J1115" s="167" t="n">
        <x:v>0</x:v>
      </x:c>
      <x:c r="K1115" s="168"/>
      <x:c r="L1115" s="168" t="str">
        <x:f>IF(OR(I1115="Mastered",K1115=""),"",K1115+IF(J1115&gt;=5,30,IF(J1115=4,14,IF(J1115=3,7,IF(J1115=2,3,1)))))</x:f>
      </x:c>
      <x:c r="M1115" s="171" t="str"/>
      <x:c r="N1115" s="171" t="str"/>
      <x:c r="O1115" s="171" t="str">
        <x:v>Draft — verify in context</x:v>
      </x:c>
      <x:c r="P1115" s="167" t="str">
        <x:v>https://www.oxfordlearnersdictionaries.com/wordlists/oxford3000-5000</x:v>
      </x:c>
    </x:row>
    <x:row r="1116" ht="26" customHeight="1">
      <x:c r="A1116" s="167" t="n">
        <x:v>1115</x:v>
      </x:c>
      <x:c r="B1116" s="167" t="str">
        <x:v>stabilize</x:v>
      </x:c>
      <x:c r="C1116" s="167" t="str">
        <x:v>v.</x:v>
      </x:c>
      <x:c r="D1116" s="170" t="str">
        <x:v>стабілізувати</x:v>
      </x:c>
      <x:c r="E1116" s="167" t="str">
        <x:v>No</x:v>
      </x:c>
      <x:c r="F1116" s="167"/>
      <x:c r="G1116" s="167" t="str">
        <x:v>Core</x:v>
      </x:c>
      <x:c r="H1116" s="167" t="str">
        <x:v>General</x:v>
      </x:c>
      <x:c r="I1116" s="167" t="str">
        <x:v>Not Started</x:v>
      </x:c>
      <x:c r="J1116" s="167" t="n">
        <x:v>0</x:v>
      </x:c>
      <x:c r="K1116" s="168"/>
      <x:c r="L1116" s="168" t="str">
        <x:f>IF(OR(I1116="Mastered",K1116=""),"",K1116+IF(J1116&gt;=5,30,IF(J1116=4,14,IF(J1116=3,7,IF(J1116=2,3,1)))))</x:f>
      </x:c>
      <x:c r="M1116" s="171" t="str"/>
      <x:c r="N1116" s="171" t="str"/>
      <x:c r="O1116" s="171" t="str">
        <x:v>Draft — verify in context</x:v>
      </x:c>
      <x:c r="P1116" s="167" t="str">
        <x:v>https://www.oxfordlearnersdictionaries.com/wordlists/oxford3000-5000</x:v>
      </x:c>
    </x:row>
    <x:row r="1117" ht="26" customHeight="1">
      <x:c r="A1117" s="167" t="n">
        <x:v>1116</x:v>
      </x:c>
      <x:c r="B1117" s="167" t="str">
        <x:v>stake</x:v>
      </x:c>
      <x:c r="C1117" s="167" t="str">
        <x:v>n.</x:v>
      </x:c>
      <x:c r="D1117" s="170" t="str">
        <x:v>кол</x:v>
      </x:c>
      <x:c r="E1117" s="167" t="str">
        <x:v>No</x:v>
      </x:c>
      <x:c r="F1117" s="167"/>
      <x:c r="G1117" s="167" t="str">
        <x:v>Core</x:v>
      </x:c>
      <x:c r="H1117" s="167" t="str">
        <x:v>General</x:v>
      </x:c>
      <x:c r="I1117" s="167" t="str">
        <x:v>Not Started</x:v>
      </x:c>
      <x:c r="J1117" s="167" t="n">
        <x:v>0</x:v>
      </x:c>
      <x:c r="K1117" s="168"/>
      <x:c r="L1117" s="168" t="str">
        <x:f>IF(OR(I1117="Mastered",K1117=""),"",K1117+IF(J1117&gt;=5,30,IF(J1117=4,14,IF(J1117=3,7,IF(J1117=2,3,1)))))</x:f>
      </x:c>
      <x:c r="M1117" s="171" t="str"/>
      <x:c r="N1117" s="171" t="str"/>
      <x:c r="O1117" s="171" t="str">
        <x:v>Draft — verify in context</x:v>
      </x:c>
      <x:c r="P1117" s="167" t="str">
        <x:v>https://www.oxfordlearnersdictionaries.com/wordlists/oxford3000-5000</x:v>
      </x:c>
    </x:row>
    <x:row r="1118" ht="26" customHeight="1">
      <x:c r="A1118" s="167" t="n">
        <x:v>1117</x:v>
      </x:c>
      <x:c r="B1118" s="167" t="str">
        <x:v>standing</x:v>
      </x:c>
      <x:c r="C1118" s="167" t="str">
        <x:v>adj.</x:v>
      </x:c>
      <x:c r="D1118" s="170" t="str">
        <x:v>стоячи</x:v>
      </x:c>
      <x:c r="E1118" s="167" t="str">
        <x:v>No</x:v>
      </x:c>
      <x:c r="F1118" s="167"/>
      <x:c r="G1118" s="167" t="str">
        <x:v>Core</x:v>
      </x:c>
      <x:c r="H1118" s="167" t="str">
        <x:v>General</x:v>
      </x:c>
      <x:c r="I1118" s="167" t="str">
        <x:v>Not Started</x:v>
      </x:c>
      <x:c r="J1118" s="167" t="n">
        <x:v>0</x:v>
      </x:c>
      <x:c r="K1118" s="168"/>
      <x:c r="L1118" s="168" t="str">
        <x:f>IF(OR(I1118="Mastered",K1118=""),"",K1118+IF(J1118&gt;=5,30,IF(J1118=4,14,IF(J1118=3,7,IF(J1118=2,3,1)))))</x:f>
      </x:c>
      <x:c r="M1118" s="171" t="str"/>
      <x:c r="N1118" s="171" t="str"/>
      <x:c r="O1118" s="171" t="str">
        <x:v>Draft — verify in context</x:v>
      </x:c>
      <x:c r="P1118" s="167" t="str">
        <x:v>https://www.oxfordlearnersdictionaries.com/wordlists/oxford3000-5000</x:v>
      </x:c>
    </x:row>
    <x:row r="1119" ht="26" customHeight="1">
      <x:c r="A1119" s="167" t="n">
        <x:v>1118</x:v>
      </x:c>
      <x:c r="B1119" s="167" t="str">
        <x:v>stark</x:v>
      </x:c>
      <x:c r="C1119" s="167" t="str">
        <x:v>adj.</x:v>
      </x:c>
      <x:c r="D1119" s="170" t="str">
        <x:v>разючий; суворий</x:v>
      </x:c>
      <x:c r="E1119" s="167" t="str">
        <x:v>No</x:v>
      </x:c>
      <x:c r="F1119" s="167"/>
      <x:c r="G1119" s="167" t="str">
        <x:v>Core</x:v>
      </x:c>
      <x:c r="H1119" s="167" t="str">
        <x:v>General</x:v>
      </x:c>
      <x:c r="I1119" s="167" t="str">
        <x:v>Not Started</x:v>
      </x:c>
      <x:c r="J1119" s="167" t="n">
        <x:v>0</x:v>
      </x:c>
      <x:c r="K1119" s="168"/>
      <x:c r="L1119" s="168" t="str">
        <x:f>IF(OR(I1119="Mastered",K1119=""),"",K1119+IF(J1119&gt;=5,30,IF(J1119=4,14,IF(J1119=3,7,IF(J1119=2,3,1)))))</x:f>
      </x:c>
      <x:c r="M1119" s="171" t="str"/>
      <x:c r="N1119" s="171" t="str"/>
      <x:c r="O1119" s="171" t="str">
        <x:v>Draft — verify in context</x:v>
      </x:c>
      <x:c r="P1119" s="167" t="str">
        <x:v>https://www.oxfordlearnersdictionaries.com/wordlists/oxford3000-5000</x:v>
      </x:c>
    </x:row>
    <x:row r="1120" ht="26" customHeight="1">
      <x:c r="A1120" s="167" t="n">
        <x:v>1119</x:v>
      </x:c>
      <x:c r="B1120" s="167" t="str">
        <x:v>statistical</x:v>
      </x:c>
      <x:c r="C1120" s="167" t="str">
        <x:v>adj.</x:v>
      </x:c>
      <x:c r="D1120" s="170" t="str">
        <x:v>статистичний</x:v>
      </x:c>
      <x:c r="E1120" s="167" t="str">
        <x:v>No</x:v>
      </x:c>
      <x:c r="F1120" s="167"/>
      <x:c r="G1120" s="167" t="str">
        <x:v>Core</x:v>
      </x:c>
      <x:c r="H1120" s="167" t="str">
        <x:v>General</x:v>
      </x:c>
      <x:c r="I1120" s="167" t="str">
        <x:v>Not Started</x:v>
      </x:c>
      <x:c r="J1120" s="167" t="n">
        <x:v>0</x:v>
      </x:c>
      <x:c r="K1120" s="168"/>
      <x:c r="L1120" s="168" t="str">
        <x:f>IF(OR(I1120="Mastered",K1120=""),"",K1120+IF(J1120&gt;=5,30,IF(J1120=4,14,IF(J1120=3,7,IF(J1120=2,3,1)))))</x:f>
      </x:c>
      <x:c r="M1120" s="171" t="str"/>
      <x:c r="N1120" s="171" t="str"/>
      <x:c r="O1120" s="171" t="str">
        <x:v>Draft — verify in context</x:v>
      </x:c>
      <x:c r="P1120" s="167" t="str">
        <x:v>https://www.oxfordlearnersdictionaries.com/wordlists/oxford3000-5000</x:v>
      </x:c>
    </x:row>
    <x:row r="1121" ht="26" customHeight="1">
      <x:c r="A1121" s="167" t="n">
        <x:v>1120</x:v>
      </x:c>
      <x:c r="B1121" s="167" t="str">
        <x:v>steer</x:v>
      </x:c>
      <x:c r="C1121" s="167" t="str">
        <x:v>v.</x:v>
      </x:c>
      <x:c r="D1121" s="170" t="str">
        <x:v>керувати</x:v>
      </x:c>
      <x:c r="E1121" s="167" t="str">
        <x:v>No</x:v>
      </x:c>
      <x:c r="F1121" s="167"/>
      <x:c r="G1121" s="167" t="str">
        <x:v>Core</x:v>
      </x:c>
      <x:c r="H1121" s="167" t="str">
        <x:v>General</x:v>
      </x:c>
      <x:c r="I1121" s="167" t="str">
        <x:v>Not Started</x:v>
      </x:c>
      <x:c r="J1121" s="167" t="n">
        <x:v>0</x:v>
      </x:c>
      <x:c r="K1121" s="168"/>
      <x:c r="L1121" s="168" t="str">
        <x:f>IF(OR(I1121="Mastered",K1121=""),"",K1121+IF(J1121&gt;=5,30,IF(J1121=4,14,IF(J1121=3,7,IF(J1121=2,3,1)))))</x:f>
      </x:c>
      <x:c r="M1121" s="171" t="str"/>
      <x:c r="N1121" s="171" t="str"/>
      <x:c r="O1121" s="171" t="str">
        <x:v>Draft — verify in context</x:v>
      </x:c>
      <x:c r="P1121" s="167" t="str">
        <x:v>https://www.oxfordlearnersdictionaries.com/wordlists/oxford3000-5000</x:v>
      </x:c>
    </x:row>
    <x:row r="1122" ht="26" customHeight="1">
      <x:c r="A1122" s="167" t="n">
        <x:v>1121</x:v>
      </x:c>
      <x:c r="B1122" s="167" t="str">
        <x:v>stem</x:v>
      </x:c>
      <x:c r="C1122" s="167" t="str">
        <x:v>n., v.</x:v>
      </x:c>
      <x:c r="D1122" s="170" t="str">
        <x:v>основа</x:v>
      </x:c>
      <x:c r="E1122" s="167" t="str">
        <x:v>No</x:v>
      </x:c>
      <x:c r="F1122" s="167"/>
      <x:c r="G1122" s="167" t="str">
        <x:v>Core</x:v>
      </x:c>
      <x:c r="H1122" s="167" t="str">
        <x:v>General</x:v>
      </x:c>
      <x:c r="I1122" s="167" t="str">
        <x:v>Not Started</x:v>
      </x:c>
      <x:c r="J1122" s="167" t="n">
        <x:v>0</x:v>
      </x:c>
      <x:c r="K1122" s="168"/>
      <x:c r="L1122" s="168" t="str">
        <x:f>IF(OR(I1122="Mastered",K1122=""),"",K1122+IF(J1122&gt;=5,30,IF(J1122=4,14,IF(J1122=3,7,IF(J1122=2,3,1)))))</x:f>
      </x:c>
      <x:c r="M1122" s="171" t="str"/>
      <x:c r="N1122" s="171" t="str"/>
      <x:c r="O1122" s="171" t="str">
        <x:v>Draft — verify in context</x:v>
      </x:c>
      <x:c r="P1122" s="167" t="str">
        <x:v>https://www.oxfordlearnersdictionaries.com/wordlists/oxford3000-5000</x:v>
      </x:c>
    </x:row>
    <x:row r="1123" ht="26" customHeight="1">
      <x:c r="A1123" s="167" t="n">
        <x:v>1122</x:v>
      </x:c>
      <x:c r="B1123" s="167" t="str">
        <x:v>stereotype</x:v>
      </x:c>
      <x:c r="C1123" s="167" t="str">
        <x:v>n.</x:v>
      </x:c>
      <x:c r="D1123" s="170" t="str">
        <x:v>стереотип</x:v>
      </x:c>
      <x:c r="E1123" s="167" t="str">
        <x:v>No</x:v>
      </x:c>
      <x:c r="F1123" s="167"/>
      <x:c r="G1123" s="167" t="str">
        <x:v>Core</x:v>
      </x:c>
      <x:c r="H1123" s="167" t="str">
        <x:v>General</x:v>
      </x:c>
      <x:c r="I1123" s="167" t="str">
        <x:v>Not Started</x:v>
      </x:c>
      <x:c r="J1123" s="167" t="n">
        <x:v>0</x:v>
      </x:c>
      <x:c r="K1123" s="168"/>
      <x:c r="L1123" s="168" t="str">
        <x:f>IF(OR(I1123="Mastered",K1123=""),"",K1123+IF(J1123&gt;=5,30,IF(J1123=4,14,IF(J1123=3,7,IF(J1123=2,3,1)))))</x:f>
      </x:c>
      <x:c r="M1123" s="171" t="str"/>
      <x:c r="N1123" s="171" t="str"/>
      <x:c r="O1123" s="171" t="str">
        <x:v>Draft — verify in context</x:v>
      </x:c>
      <x:c r="P1123" s="167" t="str">
        <x:v>https://www.oxfordlearnersdictionaries.com/wordlists/oxford3000-5000</x:v>
      </x:c>
    </x:row>
    <x:row r="1124" ht="26" customHeight="1">
      <x:c r="A1124" s="167" t="n">
        <x:v>1123</x:v>
      </x:c>
      <x:c r="B1124" s="167" t="str">
        <x:v>stimulus</x:v>
      </x:c>
      <x:c r="C1124" s="167" t="str">
        <x:v>n.</x:v>
      </x:c>
      <x:c r="D1124" s="170" t="str">
        <x:v>стимул</x:v>
      </x:c>
      <x:c r="E1124" s="167" t="str">
        <x:v>No</x:v>
      </x:c>
      <x:c r="F1124" s="167"/>
      <x:c r="G1124" s="167" t="str">
        <x:v>Core</x:v>
      </x:c>
      <x:c r="H1124" s="167" t="str">
        <x:v>General</x:v>
      </x:c>
      <x:c r="I1124" s="167" t="str">
        <x:v>Not Started</x:v>
      </x:c>
      <x:c r="J1124" s="167" t="n">
        <x:v>0</x:v>
      </x:c>
      <x:c r="K1124" s="168"/>
      <x:c r="L1124" s="168" t="str">
        <x:f>IF(OR(I1124="Mastered",K1124=""),"",K1124+IF(J1124&gt;=5,30,IF(J1124=4,14,IF(J1124=3,7,IF(J1124=2,3,1)))))</x:f>
      </x:c>
      <x:c r="M1124" s="171" t="str"/>
      <x:c r="N1124" s="171" t="str"/>
      <x:c r="O1124" s="171" t="str">
        <x:v>Draft — verify in context</x:v>
      </x:c>
      <x:c r="P1124" s="167" t="str">
        <x:v>https://www.oxfordlearnersdictionaries.com/wordlists/oxford3000-5000</x:v>
      </x:c>
    </x:row>
    <x:row r="1125" ht="26" customHeight="1">
      <x:c r="A1125" s="167" t="n">
        <x:v>1124</x:v>
      </x:c>
      <x:c r="B1125" s="167" t="str">
        <x:v>stir</x:v>
      </x:c>
      <x:c r="C1125" s="167" t="str">
        <x:v>v.</x:v>
      </x:c>
      <x:c r="D1125" s="170" t="str">
        <x:v>ворушити</x:v>
      </x:c>
      <x:c r="E1125" s="167" t="str">
        <x:v>No</x:v>
      </x:c>
      <x:c r="F1125" s="167"/>
      <x:c r="G1125" s="167" t="str">
        <x:v>Core</x:v>
      </x:c>
      <x:c r="H1125" s="167" t="str">
        <x:v>General</x:v>
      </x:c>
      <x:c r="I1125" s="167" t="str">
        <x:v>Not Started</x:v>
      </x:c>
      <x:c r="J1125" s="167" t="n">
        <x:v>0</x:v>
      </x:c>
      <x:c r="K1125" s="168"/>
      <x:c r="L1125" s="168" t="str">
        <x:f>IF(OR(I1125="Mastered",K1125=""),"",K1125+IF(J1125&gt;=5,30,IF(J1125=4,14,IF(J1125=3,7,IF(J1125=2,3,1)))))</x:f>
      </x:c>
      <x:c r="M1125" s="171" t="str"/>
      <x:c r="N1125" s="171" t="str"/>
      <x:c r="O1125" s="171" t="str">
        <x:v>Draft — verify in context</x:v>
      </x:c>
      <x:c r="P1125" s="167" t="str">
        <x:v>https://www.oxfordlearnersdictionaries.com/wordlists/oxford3000-5000</x:v>
      </x:c>
    </x:row>
    <x:row r="1126" ht="26" customHeight="1">
      <x:c r="A1126" s="167" t="n">
        <x:v>1125</x:v>
      </x:c>
      <x:c r="B1126" s="167" t="str">
        <x:v>storage</x:v>
      </x:c>
      <x:c r="C1126" s="167" t="str">
        <x:v>n.</x:v>
      </x:c>
      <x:c r="D1126" s="170" t="str">
        <x:v>зберігання</x:v>
      </x:c>
      <x:c r="E1126" s="167" t="str">
        <x:v>No</x:v>
      </x:c>
      <x:c r="F1126" s="167"/>
      <x:c r="G1126" s="167" t="str">
        <x:v>Core</x:v>
      </x:c>
      <x:c r="H1126" s="167" t="str">
        <x:v>General</x:v>
      </x:c>
      <x:c r="I1126" s="167" t="str">
        <x:v>Not Started</x:v>
      </x:c>
      <x:c r="J1126" s="167" t="n">
        <x:v>0</x:v>
      </x:c>
      <x:c r="K1126" s="168"/>
      <x:c r="L1126" s="168" t="str">
        <x:f>IF(OR(I1126="Mastered",K1126=""),"",K1126+IF(J1126&gt;=5,30,IF(J1126=4,14,IF(J1126=3,7,IF(J1126=2,3,1)))))</x:f>
      </x:c>
      <x:c r="M1126" s="171" t="str"/>
      <x:c r="N1126" s="171" t="str"/>
      <x:c r="O1126" s="171" t="str">
        <x:v>Draft — verify in context</x:v>
      </x:c>
      <x:c r="P1126" s="167" t="str">
        <x:v>https://www.oxfordlearnersdictionaries.com/wordlists/oxford3000-5000</x:v>
      </x:c>
    </x:row>
    <x:row r="1127" ht="26" customHeight="1">
      <x:c r="A1127" s="167" t="n">
        <x:v>1126</x:v>
      </x:c>
      <x:c r="B1127" s="167" t="str">
        <x:v>straightforward</x:v>
      </x:c>
      <x:c r="C1127" s="167" t="str">
        <x:v>adj.</x:v>
      </x:c>
      <x:c r="D1127" s="170" t="str">
        <x:v>прямолінійний</x:v>
      </x:c>
      <x:c r="E1127" s="167" t="str">
        <x:v>Yes</x:v>
      </x:c>
      <x:c r="F1127" s="167" t="n">
        <x:v>10</x:v>
      </x:c>
      <x:c r="G1127" s="167" t="str">
        <x:v>High</x:v>
      </x:c>
      <x:c r="H1127" s="167" t="str">
        <x:v>General</x:v>
      </x:c>
      <x:c r="I1127" s="167" t="str">
        <x:v>Not Started</x:v>
      </x:c>
      <x:c r="J1127" s="167" t="n">
        <x:v>0</x:v>
      </x:c>
      <x:c r="K1127" s="168"/>
      <x:c r="L1127" s="168" t="str">
        <x:f>IF(OR(I1127="Mastered",K1127=""),"",K1127+IF(J1127&gt;=5,30,IF(J1127=4,14,IF(J1127=3,7,IF(J1127=2,3,1)))))</x:f>
      </x:c>
      <x:c r="M1127" s="171" t="str"/>
      <x:c r="N1127" s="171" t="str"/>
      <x:c r="O1127" s="171" t="str">
        <x:v>Draft — verify in context</x:v>
      </x:c>
      <x:c r="P1127" s="167" t="str">
        <x:v>https://www.oxfordlearnersdictionaries.com/wordlists/oxford3000-5000</x:v>
      </x:c>
    </x:row>
    <x:row r="1128" ht="26" customHeight="1">
      <x:c r="A1128" s="167" t="n">
        <x:v>1127</x:v>
      </x:c>
      <x:c r="B1128" s="167" t="str">
        <x:v>strain</x:v>
      </x:c>
      <x:c r="C1128" s="167" t="str">
        <x:v>n.</x:v>
      </x:c>
      <x:c r="D1128" s="170" t="str">
        <x:v>штам</x:v>
      </x:c>
      <x:c r="E1128" s="167" t="str">
        <x:v>No</x:v>
      </x:c>
      <x:c r="F1128" s="167"/>
      <x:c r="G1128" s="167" t="str">
        <x:v>Core</x:v>
      </x:c>
      <x:c r="H1128" s="167" t="str">
        <x:v>General</x:v>
      </x:c>
      <x:c r="I1128" s="167" t="str">
        <x:v>Not Started</x:v>
      </x:c>
      <x:c r="J1128" s="167" t="n">
        <x:v>0</x:v>
      </x:c>
      <x:c r="K1128" s="168"/>
      <x:c r="L1128" s="168" t="str">
        <x:f>IF(OR(I1128="Mastered",K1128=""),"",K1128+IF(J1128&gt;=5,30,IF(J1128=4,14,IF(J1128=3,7,IF(J1128=2,3,1)))))</x:f>
      </x:c>
      <x:c r="M1128" s="171" t="str"/>
      <x:c r="N1128" s="171" t="str"/>
      <x:c r="O1128" s="171" t="str">
        <x:v>Draft — verify in context</x:v>
      </x:c>
      <x:c r="P1128" s="167" t="str">
        <x:v>https://www.oxfordlearnersdictionaries.com/wordlists/oxford3000-5000</x:v>
      </x:c>
    </x:row>
    <x:row r="1129" ht="26" customHeight="1">
      <x:c r="A1129" s="167" t="n">
        <x:v>1128</x:v>
      </x:c>
      <x:c r="B1129" s="167" t="str">
        <x:v>strand</x:v>
      </x:c>
      <x:c r="C1129" s="167" t="str">
        <x:v>n.</x:v>
      </x:c>
      <x:c r="D1129" s="170" t="str">
        <x:v>пасмо; нитка; окремий компонент</x:v>
      </x:c>
      <x:c r="E1129" s="167" t="str">
        <x:v>No</x:v>
      </x:c>
      <x:c r="F1129" s="167"/>
      <x:c r="G1129" s="167" t="str">
        <x:v>Core</x:v>
      </x:c>
      <x:c r="H1129" s="167" t="str">
        <x:v>General</x:v>
      </x:c>
      <x:c r="I1129" s="167" t="str">
        <x:v>Not Started</x:v>
      </x:c>
      <x:c r="J1129" s="167" t="n">
        <x:v>0</x:v>
      </x:c>
      <x:c r="K1129" s="168"/>
      <x:c r="L1129" s="168" t="str">
        <x:f>IF(OR(I1129="Mastered",K1129=""),"",K1129+IF(J1129&gt;=5,30,IF(J1129=4,14,IF(J1129=3,7,IF(J1129=2,3,1)))))</x:f>
      </x:c>
      <x:c r="M1129" s="171" t="str"/>
      <x:c r="N1129" s="171" t="str"/>
      <x:c r="O1129" s="171" t="str">
        <x:v>Draft — verify in context</x:v>
      </x:c>
      <x:c r="P1129" s="167" t="str">
        <x:v>https://www.oxfordlearnersdictionaries.com/wordlists/oxford3000-5000</x:v>
      </x:c>
    </x:row>
    <x:row r="1130" ht="26" customHeight="1">
      <x:c r="A1130" s="167" t="n">
        <x:v>1129</x:v>
      </x:c>
      <x:c r="B1130" s="167" t="str">
        <x:v>strategic</x:v>
      </x:c>
      <x:c r="C1130" s="167" t="str">
        <x:v>adj.</x:v>
      </x:c>
      <x:c r="D1130" s="170" t="str">
        <x:v>стратегічний</x:v>
      </x:c>
      <x:c r="E1130" s="167" t="str">
        <x:v>No</x:v>
      </x:c>
      <x:c r="F1130" s="167"/>
      <x:c r="G1130" s="167" t="str">
        <x:v>Core</x:v>
      </x:c>
      <x:c r="H1130" s="167" t="str">
        <x:v>General</x:v>
      </x:c>
      <x:c r="I1130" s="167" t="str">
        <x:v>Not Started</x:v>
      </x:c>
      <x:c r="J1130" s="167" t="n">
        <x:v>0</x:v>
      </x:c>
      <x:c r="K1130" s="168"/>
      <x:c r="L1130" s="168" t="str">
        <x:f>IF(OR(I1130="Mastered",K1130=""),"",K1130+IF(J1130&gt;=5,30,IF(J1130=4,14,IF(J1130=3,7,IF(J1130=2,3,1)))))</x:f>
      </x:c>
      <x:c r="M1130" s="171" t="str"/>
      <x:c r="N1130" s="171" t="str"/>
      <x:c r="O1130" s="171" t="str">
        <x:v>Draft — verify in context</x:v>
      </x:c>
      <x:c r="P1130" s="167" t="str">
        <x:v>https://www.oxfordlearnersdictionaries.com/wordlists/oxford3000-5000</x:v>
      </x:c>
    </x:row>
    <x:row r="1131" ht="26" customHeight="1">
      <x:c r="A1131" s="167" t="n">
        <x:v>1130</x:v>
      </x:c>
      <x:c r="B1131" s="167" t="str">
        <x:v>striking</x:v>
      </x:c>
      <x:c r="C1131" s="167" t="str">
        <x:v>adj.</x:v>
      </x:c>
      <x:c r="D1131" s="170" t="str">
        <x:v>разючий</x:v>
      </x:c>
      <x:c r="E1131" s="167" t="str">
        <x:v>No</x:v>
      </x:c>
      <x:c r="F1131" s="167"/>
      <x:c r="G1131" s="167" t="str">
        <x:v>Core</x:v>
      </x:c>
      <x:c r="H1131" s="167" t="str">
        <x:v>General</x:v>
      </x:c>
      <x:c r="I1131" s="167" t="str">
        <x:v>Not Started</x:v>
      </x:c>
      <x:c r="J1131" s="167" t="n">
        <x:v>0</x:v>
      </x:c>
      <x:c r="K1131" s="168"/>
      <x:c r="L1131" s="168" t="str">
        <x:f>IF(OR(I1131="Mastered",K1131=""),"",K1131+IF(J1131&gt;=5,30,IF(J1131=4,14,IF(J1131=3,7,IF(J1131=2,3,1)))))</x:f>
      </x:c>
      <x:c r="M1131" s="171" t="str"/>
      <x:c r="N1131" s="171" t="str"/>
      <x:c r="O1131" s="171" t="str">
        <x:v>Draft — verify in context</x:v>
      </x:c>
      <x:c r="P1131" s="167" t="str">
        <x:v>https://www.oxfordlearnersdictionaries.com/wordlists/oxford3000-5000</x:v>
      </x:c>
    </x:row>
    <x:row r="1132" ht="26" customHeight="1">
      <x:c r="A1132" s="167" t="n">
        <x:v>1131</x:v>
      </x:c>
      <x:c r="B1132" s="167" t="str">
        <x:v>strip (long narrow piece)</x:v>
      </x:c>
      <x:c r="C1132" s="167" t="str">
        <x:v>n.</x:v>
      </x:c>
      <x:c r="D1132" s="170" t="str">
        <x:v>смужка (довгий вузький шматок)</x:v>
      </x:c>
      <x:c r="E1132" s="167" t="str">
        <x:v>No</x:v>
      </x:c>
      <x:c r="F1132" s="167"/>
      <x:c r="G1132" s="167" t="str">
        <x:v>Core</x:v>
      </x:c>
      <x:c r="H1132" s="167" t="str">
        <x:v>General</x:v>
      </x:c>
      <x:c r="I1132" s="167" t="str">
        <x:v>Not Started</x:v>
      </x:c>
      <x:c r="J1132" s="167" t="n">
        <x:v>0</x:v>
      </x:c>
      <x:c r="K1132" s="168"/>
      <x:c r="L1132" s="168" t="str">
        <x:f>IF(OR(I1132="Mastered",K1132=""),"",K1132+IF(J1132&gt;=5,30,IF(J1132=4,14,IF(J1132=3,7,IF(J1132=2,3,1)))))</x:f>
      </x:c>
      <x:c r="M1132" s="171" t="str"/>
      <x:c r="N1132" s="171" t="str"/>
      <x:c r="O1132" s="171" t="str">
        <x:v>Draft — verify in context</x:v>
      </x:c>
      <x:c r="P1132" s="167" t="str">
        <x:v>https://www.oxfordlearnersdictionaries.com/wordlists/oxford3000-5000</x:v>
      </x:c>
    </x:row>
    <x:row r="1133" ht="26" customHeight="1">
      <x:c r="A1133" s="167" t="n">
        <x:v>1132</x:v>
      </x:c>
      <x:c r="B1133" s="167" t="str">
        <x:v>strip (remove clothes/a layer)</x:v>
      </x:c>
      <x:c r="C1133" s="167" t="str">
        <x:v>v.</x:v>
      </x:c>
      <x:c r="D1133" s="170" t="str">
        <x:v>роздягатися (зняти одяг/шар)</x:v>
      </x:c>
      <x:c r="E1133" s="167" t="str">
        <x:v>No</x:v>
      </x:c>
      <x:c r="F1133" s="167"/>
      <x:c r="G1133" s="167" t="str">
        <x:v>Core</x:v>
      </x:c>
      <x:c r="H1133" s="167" t="str">
        <x:v>General</x:v>
      </x:c>
      <x:c r="I1133" s="167" t="str">
        <x:v>Not Started</x:v>
      </x:c>
      <x:c r="J1133" s="167" t="n">
        <x:v>0</x:v>
      </x:c>
      <x:c r="K1133" s="168"/>
      <x:c r="L1133" s="168" t="str">
        <x:f>IF(OR(I1133="Mastered",K1133=""),"",K1133+IF(J1133&gt;=5,30,IF(J1133=4,14,IF(J1133=3,7,IF(J1133=2,3,1)))))</x:f>
      </x:c>
      <x:c r="M1133" s="171" t="str"/>
      <x:c r="N1133" s="171" t="str"/>
      <x:c r="O1133" s="171" t="str">
        <x:v>Draft — verify in context</x:v>
      </x:c>
      <x:c r="P1133" s="167" t="str">
        <x:v>https://www.oxfordlearnersdictionaries.com/wordlists/oxford3000-5000</x:v>
      </x:c>
    </x:row>
    <x:row r="1134" ht="26" customHeight="1">
      <x:c r="A1134" s="167" t="n">
        <x:v>1133</x:v>
      </x:c>
      <x:c r="B1134" s="167" t="str">
        <x:v>strive</x:v>
      </x:c>
      <x:c r="C1134" s="167" t="str">
        <x:v>v.</x:v>
      </x:c>
      <x:c r="D1134" s="170" t="str">
        <x:v>прагнути</x:v>
      </x:c>
      <x:c r="E1134" s="167" t="str">
        <x:v>No</x:v>
      </x:c>
      <x:c r="F1134" s="167"/>
      <x:c r="G1134" s="167" t="str">
        <x:v>Core</x:v>
      </x:c>
      <x:c r="H1134" s="167" t="str">
        <x:v>General</x:v>
      </x:c>
      <x:c r="I1134" s="167" t="str">
        <x:v>Not Started</x:v>
      </x:c>
      <x:c r="J1134" s="167" t="n">
        <x:v>0</x:v>
      </x:c>
      <x:c r="K1134" s="168"/>
      <x:c r="L1134" s="168" t="str">
        <x:f>IF(OR(I1134="Mastered",K1134=""),"",K1134+IF(J1134&gt;=5,30,IF(J1134=4,14,IF(J1134=3,7,IF(J1134=2,3,1)))))</x:f>
      </x:c>
      <x:c r="M1134" s="171" t="str"/>
      <x:c r="N1134" s="171" t="str"/>
      <x:c r="O1134" s="171" t="str">
        <x:v>Draft — verify in context</x:v>
      </x:c>
      <x:c r="P1134" s="167" t="str">
        <x:v>https://www.oxfordlearnersdictionaries.com/wordlists/oxford3000-5000</x:v>
      </x:c>
    </x:row>
    <x:row r="1135" ht="26" customHeight="1">
      <x:c r="A1135" s="167" t="n">
        <x:v>1134</x:v>
      </x:c>
      <x:c r="B1135" s="167" t="str">
        <x:v>structural</x:v>
      </x:c>
      <x:c r="C1135" s="167" t="str">
        <x:v>adj.</x:v>
      </x:c>
      <x:c r="D1135" s="170" t="str">
        <x:v>структурний</x:v>
      </x:c>
      <x:c r="E1135" s="167" t="str">
        <x:v>No</x:v>
      </x:c>
      <x:c r="F1135" s="167"/>
      <x:c r="G1135" s="167" t="str">
        <x:v>Core</x:v>
      </x:c>
      <x:c r="H1135" s="167" t="str">
        <x:v>General</x:v>
      </x:c>
      <x:c r="I1135" s="167" t="str">
        <x:v>Not Started</x:v>
      </x:c>
      <x:c r="J1135" s="167" t="n">
        <x:v>0</x:v>
      </x:c>
      <x:c r="K1135" s="168"/>
      <x:c r="L1135" s="168" t="str">
        <x:f>IF(OR(I1135="Mastered",K1135=""),"",K1135+IF(J1135&gt;=5,30,IF(J1135=4,14,IF(J1135=3,7,IF(J1135=2,3,1)))))</x:f>
      </x:c>
      <x:c r="M1135" s="171" t="str"/>
      <x:c r="N1135" s="171" t="str"/>
      <x:c r="O1135" s="171" t="str">
        <x:v>Draft — verify in context</x:v>
      </x:c>
      <x:c r="P1135" s="167" t="str">
        <x:v>https://www.oxfordlearnersdictionaries.com/wordlists/oxford3000-5000</x:v>
      </x:c>
    </x:row>
    <x:row r="1136" ht="26" customHeight="1">
      <x:c r="A1136" s="167" t="n">
        <x:v>1135</x:v>
      </x:c>
      <x:c r="B1136" s="167" t="str">
        <x:v>stumble</x:v>
      </x:c>
      <x:c r="C1136" s="167" t="str">
        <x:v>v.</x:v>
      </x:c>
      <x:c r="D1136" s="170" t="str">
        <x:v>спотикатися</x:v>
      </x:c>
      <x:c r="E1136" s="167" t="str">
        <x:v>No</x:v>
      </x:c>
      <x:c r="F1136" s="167"/>
      <x:c r="G1136" s="167" t="str">
        <x:v>Core</x:v>
      </x:c>
      <x:c r="H1136" s="167" t="str">
        <x:v>General</x:v>
      </x:c>
      <x:c r="I1136" s="167" t="str">
        <x:v>Not Started</x:v>
      </x:c>
      <x:c r="J1136" s="167" t="n">
        <x:v>0</x:v>
      </x:c>
      <x:c r="K1136" s="168"/>
      <x:c r="L1136" s="168" t="str">
        <x:f>IF(OR(I1136="Mastered",K1136=""),"",K1136+IF(J1136&gt;=5,30,IF(J1136=4,14,IF(J1136=3,7,IF(J1136=2,3,1)))))</x:f>
      </x:c>
      <x:c r="M1136" s="171" t="str"/>
      <x:c r="N1136" s="171" t="str"/>
      <x:c r="O1136" s="171" t="str">
        <x:v>Draft — verify in context</x:v>
      </x:c>
      <x:c r="P1136" s="167" t="str">
        <x:v>https://www.oxfordlearnersdictionaries.com/wordlists/oxford3000-5000</x:v>
      </x:c>
    </x:row>
    <x:row r="1137" ht="26" customHeight="1">
      <x:c r="A1137" s="167" t="n">
        <x:v>1136</x:v>
      </x:c>
      <x:c r="B1137" s="167" t="str">
        <x:v>stun</x:v>
      </x:c>
      <x:c r="C1137" s="167" t="str">
        <x:v>v.</x:v>
      </x:c>
      <x:c r="D1137" s="170" t="str">
        <x:v>оглушити</x:v>
      </x:c>
      <x:c r="E1137" s="167" t="str">
        <x:v>No</x:v>
      </x:c>
      <x:c r="F1137" s="167"/>
      <x:c r="G1137" s="167" t="str">
        <x:v>Core</x:v>
      </x:c>
      <x:c r="H1137" s="167" t="str">
        <x:v>General</x:v>
      </x:c>
      <x:c r="I1137" s="167" t="str">
        <x:v>Not Started</x:v>
      </x:c>
      <x:c r="J1137" s="167" t="n">
        <x:v>0</x:v>
      </x:c>
      <x:c r="K1137" s="168"/>
      <x:c r="L1137" s="168" t="str">
        <x:f>IF(OR(I1137="Mastered",K1137=""),"",K1137+IF(J1137&gt;=5,30,IF(J1137=4,14,IF(J1137=3,7,IF(J1137=2,3,1)))))</x:f>
      </x:c>
      <x:c r="M1137" s="171" t="str"/>
      <x:c r="N1137" s="171" t="str"/>
      <x:c r="O1137" s="171" t="str">
        <x:v>Draft — verify in context</x:v>
      </x:c>
      <x:c r="P1137" s="167" t="str">
        <x:v>https://www.oxfordlearnersdictionaries.com/wordlists/oxford3000-5000</x:v>
      </x:c>
    </x:row>
    <x:row r="1138" ht="26" customHeight="1">
      <x:c r="A1138" s="167" t="n">
        <x:v>1137</x:v>
      </x:c>
      <x:c r="B1138" s="167" t="str">
        <x:v>submission</x:v>
      </x:c>
      <x:c r="C1138" s="167" t="str">
        <x:v>n.</x:v>
      </x:c>
      <x:c r="D1138" s="170" t="str">
        <x:v>подання</x:v>
      </x:c>
      <x:c r="E1138" s="167" t="str">
        <x:v>No</x:v>
      </x:c>
      <x:c r="F1138" s="167"/>
      <x:c r="G1138" s="167" t="str">
        <x:v>Core</x:v>
      </x:c>
      <x:c r="H1138" s="167" t="str">
        <x:v>General</x:v>
      </x:c>
      <x:c r="I1138" s="167" t="str">
        <x:v>Not Started</x:v>
      </x:c>
      <x:c r="J1138" s="167" t="n">
        <x:v>0</x:v>
      </x:c>
      <x:c r="K1138" s="168"/>
      <x:c r="L1138" s="168" t="str">
        <x:f>IF(OR(I1138="Mastered",K1138=""),"",K1138+IF(J1138&gt;=5,30,IF(J1138=4,14,IF(J1138=3,7,IF(J1138=2,3,1)))))</x:f>
      </x:c>
      <x:c r="M1138" s="171" t="str"/>
      <x:c r="N1138" s="171" t="str"/>
      <x:c r="O1138" s="171" t="str">
        <x:v>Draft — verify in context</x:v>
      </x:c>
      <x:c r="P1138" s="167" t="str">
        <x:v>https://www.oxfordlearnersdictionaries.com/wordlists/oxford3000-5000</x:v>
      </x:c>
    </x:row>
    <x:row r="1139" ht="26" customHeight="1">
      <x:c r="A1139" s="167" t="n">
        <x:v>1138</x:v>
      </x:c>
      <x:c r="B1139" s="167" t="str">
        <x:v>subscriber</x:v>
      </x:c>
      <x:c r="C1139" s="167" t="str">
        <x:v>n.</x:v>
      </x:c>
      <x:c r="D1139" s="170" t="str">
        <x:v>абонент</x:v>
      </x:c>
      <x:c r="E1139" s="167" t="str">
        <x:v>No</x:v>
      </x:c>
      <x:c r="F1139" s="167"/>
      <x:c r="G1139" s="167" t="str">
        <x:v>Core</x:v>
      </x:c>
      <x:c r="H1139" s="167" t="str">
        <x:v>General</x:v>
      </x:c>
      <x:c r="I1139" s="167" t="str">
        <x:v>Not Started</x:v>
      </x:c>
      <x:c r="J1139" s="167" t="n">
        <x:v>0</x:v>
      </x:c>
      <x:c r="K1139" s="168"/>
      <x:c r="L1139" s="168" t="str">
        <x:f>IF(OR(I1139="Mastered",K1139=""),"",K1139+IF(J1139&gt;=5,30,IF(J1139=4,14,IF(J1139=3,7,IF(J1139=2,3,1)))))</x:f>
      </x:c>
      <x:c r="M1139" s="171" t="str"/>
      <x:c r="N1139" s="171" t="str"/>
      <x:c r="O1139" s="171" t="str">
        <x:v>Draft — verify in context</x:v>
      </x:c>
      <x:c r="P1139" s="167" t="str">
        <x:v>https://www.oxfordlearnersdictionaries.com/wordlists/oxford3000-5000</x:v>
      </x:c>
    </x:row>
    <x:row r="1140" ht="26" customHeight="1">
      <x:c r="A1140" s="167" t="n">
        <x:v>1139</x:v>
      </x:c>
      <x:c r="B1140" s="167" t="str">
        <x:v>subscription</x:v>
      </x:c>
      <x:c r="C1140" s="167" t="str">
        <x:v>n.</x:v>
      </x:c>
      <x:c r="D1140" s="170" t="str">
        <x:v>підписка</x:v>
      </x:c>
      <x:c r="E1140" s="167" t="str">
        <x:v>No</x:v>
      </x:c>
      <x:c r="F1140" s="167"/>
      <x:c r="G1140" s="167" t="str">
        <x:v>Core</x:v>
      </x:c>
      <x:c r="H1140" s="167" t="str">
        <x:v>General</x:v>
      </x:c>
      <x:c r="I1140" s="167" t="str">
        <x:v>Not Started</x:v>
      </x:c>
      <x:c r="J1140" s="167" t="n">
        <x:v>0</x:v>
      </x:c>
      <x:c r="K1140" s="168"/>
      <x:c r="L1140" s="168" t="str">
        <x:f>IF(OR(I1140="Mastered",K1140=""),"",K1140+IF(J1140&gt;=5,30,IF(J1140=4,14,IF(J1140=3,7,IF(J1140=2,3,1)))))</x:f>
      </x:c>
      <x:c r="M1140" s="171" t="str"/>
      <x:c r="N1140" s="171" t="str"/>
      <x:c r="O1140" s="171" t="str">
        <x:v>Draft — verify in context</x:v>
      </x:c>
      <x:c r="P1140" s="167" t="str">
        <x:v>https://www.oxfordlearnersdictionaries.com/wordlists/oxford3000-5000</x:v>
      </x:c>
    </x:row>
    <x:row r="1141" ht="26" customHeight="1">
      <x:c r="A1141" s="167" t="n">
        <x:v>1140</x:v>
      </x:c>
      <x:c r="B1141" s="167" t="str">
        <x:v>subsidy</x:v>
      </x:c>
      <x:c r="C1141" s="167" t="str">
        <x:v>n.</x:v>
      </x:c>
      <x:c r="D1141" s="170" t="str">
        <x:v>субсидія</x:v>
      </x:c>
      <x:c r="E1141" s="167" t="str">
        <x:v>No</x:v>
      </x:c>
      <x:c r="F1141" s="167"/>
      <x:c r="G1141" s="167" t="str">
        <x:v>Core</x:v>
      </x:c>
      <x:c r="H1141" s="167" t="str">
        <x:v>General</x:v>
      </x:c>
      <x:c r="I1141" s="167" t="str">
        <x:v>Not Started</x:v>
      </x:c>
      <x:c r="J1141" s="167" t="n">
        <x:v>0</x:v>
      </x:c>
      <x:c r="K1141" s="168"/>
      <x:c r="L1141" s="168" t="str">
        <x:f>IF(OR(I1141="Mastered",K1141=""),"",K1141+IF(J1141&gt;=5,30,IF(J1141=4,14,IF(J1141=3,7,IF(J1141=2,3,1)))))</x:f>
      </x:c>
      <x:c r="M1141" s="171" t="str"/>
      <x:c r="N1141" s="171" t="str"/>
      <x:c r="O1141" s="171" t="str">
        <x:v>Draft — verify in context</x:v>
      </x:c>
      <x:c r="P1141" s="167" t="str">
        <x:v>https://www.oxfordlearnersdictionaries.com/wordlists/oxford3000-5000</x:v>
      </x:c>
    </x:row>
    <x:row r="1142" ht="26" customHeight="1">
      <x:c r="A1142" s="167" t="n">
        <x:v>1141</x:v>
      </x:c>
      <x:c r="B1142" s="167" t="str">
        <x:v>substantial</x:v>
      </x:c>
      <x:c r="C1142" s="167" t="str">
        <x:v>adj.</x:v>
      </x:c>
      <x:c r="D1142" s="170" t="str">
        <x:v>істотний</x:v>
      </x:c>
      <x:c r="E1142" s="167" t="str">
        <x:v>No</x:v>
      </x:c>
      <x:c r="F1142" s="167"/>
      <x:c r="G1142" s="167" t="str">
        <x:v>Core</x:v>
      </x:c>
      <x:c r="H1142" s="167" t="str">
        <x:v>General</x:v>
      </x:c>
      <x:c r="I1142" s="167" t="str">
        <x:v>Not Started</x:v>
      </x:c>
      <x:c r="J1142" s="167" t="n">
        <x:v>0</x:v>
      </x:c>
      <x:c r="K1142" s="168"/>
      <x:c r="L1142" s="168" t="str">
        <x:f>IF(OR(I1142="Mastered",K1142=""),"",K1142+IF(J1142&gt;=5,30,IF(J1142=4,14,IF(J1142=3,7,IF(J1142=2,3,1)))))</x:f>
      </x:c>
      <x:c r="M1142" s="171" t="str"/>
      <x:c r="N1142" s="171" t="str"/>
      <x:c r="O1142" s="171" t="str">
        <x:v>Draft — verify in context</x:v>
      </x:c>
      <x:c r="P1142" s="167" t="str">
        <x:v>https://www.oxfordlearnersdictionaries.com/wordlists/oxford3000-5000</x:v>
      </x:c>
    </x:row>
    <x:row r="1143" ht="26" customHeight="1">
      <x:c r="A1143" s="167" t="n">
        <x:v>1142</x:v>
      </x:c>
      <x:c r="B1143" s="167" t="str">
        <x:v>substantially</x:v>
      </x:c>
      <x:c r="C1143" s="167" t="str">
        <x:v>adv.</x:v>
      </x:c>
      <x:c r="D1143" s="170" t="str">
        <x:v>істотно</x:v>
      </x:c>
      <x:c r="E1143" s="167" t="str">
        <x:v>No</x:v>
      </x:c>
      <x:c r="F1143" s="167"/>
      <x:c r="G1143" s="167" t="str">
        <x:v>Core</x:v>
      </x:c>
      <x:c r="H1143" s="167" t="str">
        <x:v>General</x:v>
      </x:c>
      <x:c r="I1143" s="167" t="str">
        <x:v>Not Started</x:v>
      </x:c>
      <x:c r="J1143" s="167" t="n">
        <x:v>0</x:v>
      </x:c>
      <x:c r="K1143" s="168"/>
      <x:c r="L1143" s="168" t="str">
        <x:f>IF(OR(I1143="Mastered",K1143=""),"",K1143+IF(J1143&gt;=5,30,IF(J1143=4,14,IF(J1143=3,7,IF(J1143=2,3,1)))))</x:f>
      </x:c>
      <x:c r="M1143" s="171" t="str"/>
      <x:c r="N1143" s="171" t="str"/>
      <x:c r="O1143" s="171" t="str">
        <x:v>Draft — verify in context</x:v>
      </x:c>
      <x:c r="P1143" s="167" t="str">
        <x:v>https://www.oxfordlearnersdictionaries.com/wordlists/oxford3000-5000</x:v>
      </x:c>
    </x:row>
    <x:row r="1144" ht="26" customHeight="1">
      <x:c r="A1144" s="167" t="n">
        <x:v>1143</x:v>
      </x:c>
      <x:c r="B1144" s="167" t="str">
        <x:v>substitute</x:v>
      </x:c>
      <x:c r="C1144" s="167" t="str">
        <x:v>n., v.</x:v>
      </x:c>
      <x:c r="D1144" s="170" t="str">
        <x:v>замінник</x:v>
      </x:c>
      <x:c r="E1144" s="167" t="str">
        <x:v>No</x:v>
      </x:c>
      <x:c r="F1144" s="167"/>
      <x:c r="G1144" s="167" t="str">
        <x:v>Core</x:v>
      </x:c>
      <x:c r="H1144" s="167" t="str">
        <x:v>General</x:v>
      </x:c>
      <x:c r="I1144" s="167" t="str">
        <x:v>Not Started</x:v>
      </x:c>
      <x:c r="J1144" s="167" t="n">
        <x:v>0</x:v>
      </x:c>
      <x:c r="K1144" s="168"/>
      <x:c r="L1144" s="168" t="str">
        <x:f>IF(OR(I1144="Mastered",K1144=""),"",K1144+IF(J1144&gt;=5,30,IF(J1144=4,14,IF(J1144=3,7,IF(J1144=2,3,1)))))</x:f>
      </x:c>
      <x:c r="M1144" s="171" t="str"/>
      <x:c r="N1144" s="171" t="str"/>
      <x:c r="O1144" s="171" t="str">
        <x:v>Draft — verify in context</x:v>
      </x:c>
      <x:c r="P1144" s="167" t="str">
        <x:v>https://www.oxfordlearnersdictionaries.com/wordlists/oxford3000-5000</x:v>
      </x:c>
    </x:row>
    <x:row r="1145" ht="26" customHeight="1">
      <x:c r="A1145" s="167" t="n">
        <x:v>1144</x:v>
      </x:c>
      <x:c r="B1145" s="167" t="str">
        <x:v>substitution</x:v>
      </x:c>
      <x:c r="C1145" s="167" t="str">
        <x:v>n.</x:v>
      </x:c>
      <x:c r="D1145" s="170" t="str">
        <x:v>заміна</x:v>
      </x:c>
      <x:c r="E1145" s="167" t="str">
        <x:v>Yes</x:v>
      </x:c>
      <x:c r="F1145" s="167" t="n">
        <x:v>5</x:v>
      </x:c>
      <x:c r="G1145" s="167" t="str">
        <x:v>High</x:v>
      </x:c>
      <x:c r="H1145" s="167" t="str">
        <x:v>General</x:v>
      </x:c>
      <x:c r="I1145" s="167" t="str">
        <x:v>Not Started</x:v>
      </x:c>
      <x:c r="J1145" s="167" t="n">
        <x:v>0</x:v>
      </x:c>
      <x:c r="K1145" s="168"/>
      <x:c r="L1145" s="168" t="str">
        <x:f>IF(OR(I1145="Mastered",K1145=""),"",K1145+IF(J1145&gt;=5,30,IF(J1145=4,14,IF(J1145=3,7,IF(J1145=2,3,1)))))</x:f>
      </x:c>
      <x:c r="M1145" s="171" t="str"/>
      <x:c r="N1145" s="171" t="str"/>
      <x:c r="O1145" s="171" t="str">
        <x:v>Draft — verify in context</x:v>
      </x:c>
      <x:c r="P1145" s="167" t="str">
        <x:v>https://www.oxfordlearnersdictionaries.com/wordlists/oxford3000-5000</x:v>
      </x:c>
    </x:row>
    <x:row r="1146" ht="26" customHeight="1">
      <x:c r="A1146" s="167" t="n">
        <x:v>1145</x:v>
      </x:c>
      <x:c r="B1146" s="167" t="str">
        <x:v>subtle</x:v>
      </x:c>
      <x:c r="C1146" s="167" t="str">
        <x:v>adj.</x:v>
      </x:c>
      <x:c r="D1146" s="170" t="str">
        <x:v>тонкий</x:v>
      </x:c>
      <x:c r="E1146" s="167" t="str">
        <x:v>No</x:v>
      </x:c>
      <x:c r="F1146" s="167"/>
      <x:c r="G1146" s="167" t="str">
        <x:v>Core</x:v>
      </x:c>
      <x:c r="H1146" s="167" t="str">
        <x:v>General</x:v>
      </x:c>
      <x:c r="I1146" s="167" t="str">
        <x:v>Not Started</x:v>
      </x:c>
      <x:c r="J1146" s="167" t="n">
        <x:v>0</x:v>
      </x:c>
      <x:c r="K1146" s="168"/>
      <x:c r="L1146" s="168" t="str">
        <x:f>IF(OR(I1146="Mastered",K1146=""),"",K1146+IF(J1146&gt;=5,30,IF(J1146=4,14,IF(J1146=3,7,IF(J1146=2,3,1)))))</x:f>
      </x:c>
      <x:c r="M1146" s="171" t="str"/>
      <x:c r="N1146" s="171" t="str"/>
      <x:c r="O1146" s="171" t="str">
        <x:v>Draft — verify in context</x:v>
      </x:c>
      <x:c r="P1146" s="167" t="str">
        <x:v>https://www.oxfordlearnersdictionaries.com/wordlists/oxford3000-5000</x:v>
      </x:c>
    </x:row>
    <x:row r="1147" ht="26" customHeight="1">
      <x:c r="A1147" s="167" t="n">
        <x:v>1146</x:v>
      </x:c>
      <x:c r="B1147" s="167" t="str">
        <x:v>suburban</x:v>
      </x:c>
      <x:c r="C1147" s="167" t="str">
        <x:v>adj.</x:v>
      </x:c>
      <x:c r="D1147" s="170" t="str">
        <x:v>приміський</x:v>
      </x:c>
      <x:c r="E1147" s="167" t="str">
        <x:v>No</x:v>
      </x:c>
      <x:c r="F1147" s="167"/>
      <x:c r="G1147" s="167" t="str">
        <x:v>Core</x:v>
      </x:c>
      <x:c r="H1147" s="167" t="str">
        <x:v>General</x:v>
      </x:c>
      <x:c r="I1147" s="167" t="str">
        <x:v>Not Started</x:v>
      </x:c>
      <x:c r="J1147" s="167" t="n">
        <x:v>0</x:v>
      </x:c>
      <x:c r="K1147" s="168"/>
      <x:c r="L1147" s="168" t="str">
        <x:f>IF(OR(I1147="Mastered",K1147=""),"",K1147+IF(J1147&gt;=5,30,IF(J1147=4,14,IF(J1147=3,7,IF(J1147=2,3,1)))))</x:f>
      </x:c>
      <x:c r="M1147" s="171" t="str"/>
      <x:c r="N1147" s="171" t="str"/>
      <x:c r="O1147" s="171" t="str">
        <x:v>Draft — verify in context</x:v>
      </x:c>
      <x:c r="P1147" s="167" t="str">
        <x:v>https://www.oxfordlearnersdictionaries.com/wordlists/oxford3000-5000</x:v>
      </x:c>
    </x:row>
    <x:row r="1148" ht="26" customHeight="1">
      <x:c r="A1148" s="167" t="n">
        <x:v>1147</x:v>
      </x:c>
      <x:c r="B1148" s="167" t="str">
        <x:v>succession</x:v>
      </x:c>
      <x:c r="C1148" s="167" t="str">
        <x:v>n.</x:v>
      </x:c>
      <x:c r="D1148" s="170" t="str">
        <x:v>правонаступництво</x:v>
      </x:c>
      <x:c r="E1148" s="167" t="str">
        <x:v>No</x:v>
      </x:c>
      <x:c r="F1148" s="167"/>
      <x:c r="G1148" s="167" t="str">
        <x:v>Core</x:v>
      </x:c>
      <x:c r="H1148" s="167" t="str">
        <x:v>General</x:v>
      </x:c>
      <x:c r="I1148" s="167" t="str">
        <x:v>Not Started</x:v>
      </x:c>
      <x:c r="J1148" s="167" t="n">
        <x:v>0</x:v>
      </x:c>
      <x:c r="K1148" s="168"/>
      <x:c r="L1148" s="168" t="str">
        <x:f>IF(OR(I1148="Mastered",K1148=""),"",K1148+IF(J1148&gt;=5,30,IF(J1148=4,14,IF(J1148=3,7,IF(J1148=2,3,1)))))</x:f>
      </x:c>
      <x:c r="M1148" s="171" t="str"/>
      <x:c r="N1148" s="171" t="str"/>
      <x:c r="O1148" s="171" t="str">
        <x:v>Draft — verify in context</x:v>
      </x:c>
      <x:c r="P1148" s="167" t="str">
        <x:v>https://www.oxfordlearnersdictionaries.com/wordlists/oxford3000-5000</x:v>
      </x:c>
    </x:row>
    <x:row r="1149" ht="26" customHeight="1">
      <x:c r="A1149" s="167" t="n">
        <x:v>1148</x:v>
      </x:c>
      <x:c r="B1149" s="167" t="str">
        <x:v>successive</x:v>
      </x:c>
      <x:c r="C1149" s="167" t="str">
        <x:v>adj.</x:v>
      </x:c>
      <x:c r="D1149" s="170" t="str">
        <x:v>послідовний</x:v>
      </x:c>
      <x:c r="E1149" s="167" t="str">
        <x:v>Yes</x:v>
      </x:c>
      <x:c r="F1149" s="167" t="n">
        <x:v>7</x:v>
      </x:c>
      <x:c r="G1149" s="167" t="str">
        <x:v>High</x:v>
      </x:c>
      <x:c r="H1149" s="167" t="str">
        <x:v>General</x:v>
      </x:c>
      <x:c r="I1149" s="167" t="str">
        <x:v>Not Started</x:v>
      </x:c>
      <x:c r="J1149" s="167" t="n">
        <x:v>0</x:v>
      </x:c>
      <x:c r="K1149" s="168"/>
      <x:c r="L1149" s="168" t="str">
        <x:f>IF(OR(I1149="Mastered",K1149=""),"",K1149+IF(J1149&gt;=5,30,IF(J1149=4,14,IF(J1149=3,7,IF(J1149=2,3,1)))))</x:f>
      </x:c>
      <x:c r="M1149" s="171" t="str"/>
      <x:c r="N1149" s="171" t="str"/>
      <x:c r="O1149" s="171" t="str">
        <x:v>Draft — verify in context</x:v>
      </x:c>
      <x:c r="P1149" s="167" t="str">
        <x:v>https://www.oxfordlearnersdictionaries.com/wordlists/oxford3000-5000</x:v>
      </x:c>
    </x:row>
    <x:row r="1150" ht="26" customHeight="1">
      <x:c r="A1150" s="167" t="n">
        <x:v>1149</x:v>
      </x:c>
      <x:c r="B1150" s="167" t="str">
        <x:v>successor</x:v>
      </x:c>
      <x:c r="C1150" s="167" t="str">
        <x:v>n.</x:v>
      </x:c>
      <x:c r="D1150" s="170" t="str">
        <x:v>наступник</x:v>
      </x:c>
      <x:c r="E1150" s="167" t="str">
        <x:v>No</x:v>
      </x:c>
      <x:c r="F1150" s="167"/>
      <x:c r="G1150" s="167" t="str">
        <x:v>Core</x:v>
      </x:c>
      <x:c r="H1150" s="167" t="str">
        <x:v>General</x:v>
      </x:c>
      <x:c r="I1150" s="167" t="str">
        <x:v>Not Started</x:v>
      </x:c>
      <x:c r="J1150" s="167" t="n">
        <x:v>0</x:v>
      </x:c>
      <x:c r="K1150" s="168"/>
      <x:c r="L1150" s="168" t="str">
        <x:f>IF(OR(I1150="Mastered",K1150=""),"",K1150+IF(J1150&gt;=5,30,IF(J1150=4,14,IF(J1150=3,7,IF(J1150=2,3,1)))))</x:f>
      </x:c>
      <x:c r="M1150" s="171" t="str"/>
      <x:c r="N1150" s="171" t="str"/>
      <x:c r="O1150" s="171" t="str">
        <x:v>Draft — verify in context</x:v>
      </x:c>
      <x:c r="P1150" s="167" t="str">
        <x:v>https://www.oxfordlearnersdictionaries.com/wordlists/oxford3000-5000</x:v>
      </x:c>
    </x:row>
    <x:row r="1151" ht="26" customHeight="1">
      <x:c r="A1151" s="167" t="n">
        <x:v>1150</x:v>
      </x:c>
      <x:c r="B1151" s="167" t="str">
        <x:v>suck</x:v>
      </x:c>
      <x:c r="C1151" s="167" t="str">
        <x:v>v.</x:v>
      </x:c>
      <x:c r="D1151" s="170" t="str">
        <x:v>смоктати</x:v>
      </x:c>
      <x:c r="E1151" s="167" t="str">
        <x:v>No</x:v>
      </x:c>
      <x:c r="F1151" s="167"/>
      <x:c r="G1151" s="167" t="str">
        <x:v>Core</x:v>
      </x:c>
      <x:c r="H1151" s="167" t="str">
        <x:v>General</x:v>
      </x:c>
      <x:c r="I1151" s="167" t="str">
        <x:v>Not Started</x:v>
      </x:c>
      <x:c r="J1151" s="167" t="n">
        <x:v>0</x:v>
      </x:c>
      <x:c r="K1151" s="168"/>
      <x:c r="L1151" s="168" t="str">
        <x:f>IF(OR(I1151="Mastered",K1151=""),"",K1151+IF(J1151&gt;=5,30,IF(J1151=4,14,IF(J1151=3,7,IF(J1151=2,3,1)))))</x:f>
      </x:c>
      <x:c r="M1151" s="171" t="str"/>
      <x:c r="N1151" s="171" t="str"/>
      <x:c r="O1151" s="171" t="str">
        <x:v>Draft — verify in context</x:v>
      </x:c>
      <x:c r="P1151" s="167" t="str">
        <x:v>https://www.oxfordlearnersdictionaries.com/wordlists/oxford3000-5000</x:v>
      </x:c>
    </x:row>
    <x:row r="1152" ht="26" customHeight="1">
      <x:c r="A1152" s="167" t="n">
        <x:v>1151</x:v>
      </x:c>
      <x:c r="B1152" s="167" t="str">
        <x:v>sue</x:v>
      </x:c>
      <x:c r="C1152" s="167" t="str">
        <x:v>v.</x:v>
      </x:c>
      <x:c r="D1152" s="170" t="str">
        <x:v>судитися</x:v>
      </x:c>
      <x:c r="E1152" s="167" t="str">
        <x:v>No</x:v>
      </x:c>
      <x:c r="F1152" s="167"/>
      <x:c r="G1152" s="167" t="str">
        <x:v>Core</x:v>
      </x:c>
      <x:c r="H1152" s="167" t="str">
        <x:v>General</x:v>
      </x:c>
      <x:c r="I1152" s="167" t="str">
        <x:v>Not Started</x:v>
      </x:c>
      <x:c r="J1152" s="167" t="n">
        <x:v>0</x:v>
      </x:c>
      <x:c r="K1152" s="168"/>
      <x:c r="L1152" s="168" t="str">
        <x:f>IF(OR(I1152="Mastered",K1152=""),"",K1152+IF(J1152&gt;=5,30,IF(J1152=4,14,IF(J1152=3,7,IF(J1152=2,3,1)))))</x:f>
      </x:c>
      <x:c r="M1152" s="171" t="str"/>
      <x:c r="N1152" s="171" t="str"/>
      <x:c r="O1152" s="171" t="str">
        <x:v>Draft — verify in context</x:v>
      </x:c>
      <x:c r="P1152" s="167" t="str">
        <x:v>https://www.oxfordlearnersdictionaries.com/wordlists/oxford3000-5000</x:v>
      </x:c>
    </x:row>
    <x:row r="1153" ht="26" customHeight="1">
      <x:c r="A1153" s="167" t="n">
        <x:v>1152</x:v>
      </x:c>
      <x:c r="B1153" s="167" t="str">
        <x:v>suicide</x:v>
      </x:c>
      <x:c r="C1153" s="167" t="str">
        <x:v>n.</x:v>
      </x:c>
      <x:c r="D1153" s="170" t="str">
        <x:v>самогубство</x:v>
      </x:c>
      <x:c r="E1153" s="167" t="str">
        <x:v>No</x:v>
      </x:c>
      <x:c r="F1153" s="167"/>
      <x:c r="G1153" s="167" t="str">
        <x:v>Core</x:v>
      </x:c>
      <x:c r="H1153" s="167" t="str">
        <x:v>General</x:v>
      </x:c>
      <x:c r="I1153" s="167" t="str">
        <x:v>Not Started</x:v>
      </x:c>
      <x:c r="J1153" s="167" t="n">
        <x:v>0</x:v>
      </x:c>
      <x:c r="K1153" s="168"/>
      <x:c r="L1153" s="168" t="str">
        <x:f>IF(OR(I1153="Mastered",K1153=""),"",K1153+IF(J1153&gt;=5,30,IF(J1153=4,14,IF(J1153=3,7,IF(J1153=2,3,1)))))</x:f>
      </x:c>
      <x:c r="M1153" s="171" t="str"/>
      <x:c r="N1153" s="171" t="str"/>
      <x:c r="O1153" s="171" t="str">
        <x:v>Draft — verify in context</x:v>
      </x:c>
      <x:c r="P1153" s="167" t="str">
        <x:v>https://www.oxfordlearnersdictionaries.com/wordlists/oxford3000-5000</x:v>
      </x:c>
    </x:row>
    <x:row r="1154" ht="26" customHeight="1">
      <x:c r="A1154" s="167" t="n">
        <x:v>1153</x:v>
      </x:c>
      <x:c r="B1154" s="167" t="str">
        <x:v>suite</x:v>
      </x:c>
      <x:c r="C1154" s="167" t="str">
        <x:v>n.</x:v>
      </x:c>
      <x:c r="D1154" s="170" t="str">
        <x:v>люкс</x:v>
      </x:c>
      <x:c r="E1154" s="167" t="str">
        <x:v>No</x:v>
      </x:c>
      <x:c r="F1154" s="167"/>
      <x:c r="G1154" s="167" t="str">
        <x:v>Core</x:v>
      </x:c>
      <x:c r="H1154" s="167" t="str">
        <x:v>General</x:v>
      </x:c>
      <x:c r="I1154" s="167" t="str">
        <x:v>Not Started</x:v>
      </x:c>
      <x:c r="J1154" s="167" t="n">
        <x:v>0</x:v>
      </x:c>
      <x:c r="K1154" s="168"/>
      <x:c r="L1154" s="168" t="str">
        <x:f>IF(OR(I1154="Mastered",K1154=""),"",K1154+IF(J1154&gt;=5,30,IF(J1154=4,14,IF(J1154=3,7,IF(J1154=2,3,1)))))</x:f>
      </x:c>
      <x:c r="M1154" s="171" t="str"/>
      <x:c r="N1154" s="171" t="str"/>
      <x:c r="O1154" s="171" t="str">
        <x:v>Draft — verify in context</x:v>
      </x:c>
      <x:c r="P1154" s="167" t="str">
        <x:v>https://www.oxfordlearnersdictionaries.com/wordlists/oxford3000-5000</x:v>
      </x:c>
    </x:row>
    <x:row r="1155" ht="26" customHeight="1">
      <x:c r="A1155" s="167" t="n">
        <x:v>1154</x:v>
      </x:c>
      <x:c r="B1155" s="167" t="str">
        <x:v>summit</x:v>
      </x:c>
      <x:c r="C1155" s="167" t="str">
        <x:v>n.</x:v>
      </x:c>
      <x:c r="D1155" s="170" t="str">
        <x:v>вершина</x:v>
      </x:c>
      <x:c r="E1155" s="167" t="str">
        <x:v>No</x:v>
      </x:c>
      <x:c r="F1155" s="167"/>
      <x:c r="G1155" s="167" t="str">
        <x:v>Core</x:v>
      </x:c>
      <x:c r="H1155" s="167" t="str">
        <x:v>General</x:v>
      </x:c>
      <x:c r="I1155" s="167" t="str">
        <x:v>Not Started</x:v>
      </x:c>
      <x:c r="J1155" s="167" t="n">
        <x:v>0</x:v>
      </x:c>
      <x:c r="K1155" s="168"/>
      <x:c r="L1155" s="168" t="str">
        <x:f>IF(OR(I1155="Mastered",K1155=""),"",K1155+IF(J1155&gt;=5,30,IF(J1155=4,14,IF(J1155=3,7,IF(J1155=2,3,1)))))</x:f>
      </x:c>
      <x:c r="M1155" s="171" t="str"/>
      <x:c r="N1155" s="171" t="str"/>
      <x:c r="O1155" s="171" t="str">
        <x:v>Draft — verify in context</x:v>
      </x:c>
      <x:c r="P1155" s="167" t="str">
        <x:v>https://www.oxfordlearnersdictionaries.com/wordlists/oxford3000-5000</x:v>
      </x:c>
    </x:row>
    <x:row r="1156" ht="26" customHeight="1">
      <x:c r="A1156" s="167" t="n">
        <x:v>1155</x:v>
      </x:c>
      <x:c r="B1156" s="167" t="str">
        <x:v>superb</x:v>
      </x:c>
      <x:c r="C1156" s="167" t="str">
        <x:v>adj.</x:v>
      </x:c>
      <x:c r="D1156" s="170" t="str">
        <x:v>чудовий</x:v>
      </x:c>
      <x:c r="E1156" s="167" t="str">
        <x:v>No</x:v>
      </x:c>
      <x:c r="F1156" s="167"/>
      <x:c r="G1156" s="167" t="str">
        <x:v>Core</x:v>
      </x:c>
      <x:c r="H1156" s="167" t="str">
        <x:v>General</x:v>
      </x:c>
      <x:c r="I1156" s="167" t="str">
        <x:v>Not Started</x:v>
      </x:c>
      <x:c r="J1156" s="167" t="n">
        <x:v>0</x:v>
      </x:c>
      <x:c r="K1156" s="168"/>
      <x:c r="L1156" s="168" t="str">
        <x:f>IF(OR(I1156="Mastered",K1156=""),"",K1156+IF(J1156&gt;=5,30,IF(J1156=4,14,IF(J1156=3,7,IF(J1156=2,3,1)))))</x:f>
      </x:c>
      <x:c r="M1156" s="171" t="str"/>
      <x:c r="N1156" s="171" t="str"/>
      <x:c r="O1156" s="171" t="str">
        <x:v>Draft — verify in context</x:v>
      </x:c>
      <x:c r="P1156" s="167" t="str">
        <x:v>https://www.oxfordlearnersdictionaries.com/wordlists/oxford3000-5000</x:v>
      </x:c>
    </x:row>
    <x:row r="1157" ht="26" customHeight="1">
      <x:c r="A1157" s="167" t="n">
        <x:v>1156</x:v>
      </x:c>
      <x:c r="B1157" s="167" t="str">
        <x:v>superior</x:v>
      </x:c>
      <x:c r="C1157" s="167" t="str">
        <x:v>adj.</x:v>
      </x:c>
      <x:c r="D1157" s="170" t="str">
        <x:v>вищий</x:v>
      </x:c>
      <x:c r="E1157" s="167" t="str">
        <x:v>No</x:v>
      </x:c>
      <x:c r="F1157" s="167"/>
      <x:c r="G1157" s="167" t="str">
        <x:v>Core</x:v>
      </x:c>
      <x:c r="H1157" s="167" t="str">
        <x:v>General</x:v>
      </x:c>
      <x:c r="I1157" s="167" t="str">
        <x:v>Not Started</x:v>
      </x:c>
      <x:c r="J1157" s="167" t="n">
        <x:v>0</x:v>
      </x:c>
      <x:c r="K1157" s="168"/>
      <x:c r="L1157" s="168" t="str">
        <x:f>IF(OR(I1157="Mastered",K1157=""),"",K1157+IF(J1157&gt;=5,30,IF(J1157=4,14,IF(J1157=3,7,IF(J1157=2,3,1)))))</x:f>
      </x:c>
      <x:c r="M1157" s="171" t="str"/>
      <x:c r="N1157" s="171" t="str"/>
      <x:c r="O1157" s="171" t="str">
        <x:v>Draft — verify in context</x:v>
      </x:c>
      <x:c r="P1157" s="167" t="str">
        <x:v>https://www.oxfordlearnersdictionaries.com/wordlists/oxford3000-5000</x:v>
      </x:c>
    </x:row>
    <x:row r="1158" ht="26" customHeight="1">
      <x:c r="A1158" s="167" t="n">
        <x:v>1157</x:v>
      </x:c>
      <x:c r="B1158" s="167" t="str">
        <x:v>supervise</x:v>
      </x:c>
      <x:c r="C1158" s="167" t="str">
        <x:v>v.</x:v>
      </x:c>
      <x:c r="D1158" s="170" t="str">
        <x:v>контролювати</x:v>
      </x:c>
      <x:c r="E1158" s="167" t="str">
        <x:v>No</x:v>
      </x:c>
      <x:c r="F1158" s="167"/>
      <x:c r="G1158" s="167" t="str">
        <x:v>Core</x:v>
      </x:c>
      <x:c r="H1158" s="167" t="str">
        <x:v>General</x:v>
      </x:c>
      <x:c r="I1158" s="167" t="str">
        <x:v>Not Started</x:v>
      </x:c>
      <x:c r="J1158" s="167" t="n">
        <x:v>0</x:v>
      </x:c>
      <x:c r="K1158" s="168"/>
      <x:c r="L1158" s="168" t="str">
        <x:f>IF(OR(I1158="Mastered",K1158=""),"",K1158+IF(J1158&gt;=5,30,IF(J1158=4,14,IF(J1158=3,7,IF(J1158=2,3,1)))))</x:f>
      </x:c>
      <x:c r="M1158" s="171" t="str"/>
      <x:c r="N1158" s="171" t="str"/>
      <x:c r="O1158" s="171" t="str">
        <x:v>Draft — verify in context</x:v>
      </x:c>
      <x:c r="P1158" s="167" t="str">
        <x:v>https://www.oxfordlearnersdictionaries.com/wordlists/oxford3000-5000</x:v>
      </x:c>
    </x:row>
    <x:row r="1159" ht="26" customHeight="1">
      <x:c r="A1159" s="167" t="n">
        <x:v>1158</x:v>
      </x:c>
      <x:c r="B1159" s="167" t="str">
        <x:v>supervision</x:v>
      </x:c>
      <x:c r="C1159" s="167" t="str">
        <x:v>n.</x:v>
      </x:c>
      <x:c r="D1159" s="170" t="str">
        <x:v>нагляд</x:v>
      </x:c>
      <x:c r="E1159" s="167" t="str">
        <x:v>No</x:v>
      </x:c>
      <x:c r="F1159" s="167"/>
      <x:c r="G1159" s="167" t="str">
        <x:v>Core</x:v>
      </x:c>
      <x:c r="H1159" s="167" t="str">
        <x:v>General</x:v>
      </x:c>
      <x:c r="I1159" s="167" t="str">
        <x:v>Not Started</x:v>
      </x:c>
      <x:c r="J1159" s="167" t="n">
        <x:v>0</x:v>
      </x:c>
      <x:c r="K1159" s="168"/>
      <x:c r="L1159" s="168" t="str">
        <x:f>IF(OR(I1159="Mastered",K1159=""),"",K1159+IF(J1159&gt;=5,30,IF(J1159=4,14,IF(J1159=3,7,IF(J1159=2,3,1)))))</x:f>
      </x:c>
      <x:c r="M1159" s="171" t="str"/>
      <x:c r="N1159" s="171" t="str"/>
      <x:c r="O1159" s="171" t="str">
        <x:v>Draft — verify in context</x:v>
      </x:c>
      <x:c r="P1159" s="167" t="str">
        <x:v>https://www.oxfordlearnersdictionaries.com/wordlists/oxford3000-5000</x:v>
      </x:c>
    </x:row>
    <x:row r="1160" ht="26" customHeight="1">
      <x:c r="A1160" s="167" t="n">
        <x:v>1159</x:v>
      </x:c>
      <x:c r="B1160" s="167" t="str">
        <x:v>supervisor</x:v>
      </x:c>
      <x:c r="C1160" s="167" t="str">
        <x:v>n.</x:v>
      </x:c>
      <x:c r="D1160" s="170" t="str">
        <x:v>наглядач</x:v>
      </x:c>
      <x:c r="E1160" s="167" t="str">
        <x:v>No</x:v>
      </x:c>
      <x:c r="F1160" s="167"/>
      <x:c r="G1160" s="167" t="str">
        <x:v>Core</x:v>
      </x:c>
      <x:c r="H1160" s="167" t="str">
        <x:v>General</x:v>
      </x:c>
      <x:c r="I1160" s="167" t="str">
        <x:v>Not Started</x:v>
      </x:c>
      <x:c r="J1160" s="167" t="n">
        <x:v>0</x:v>
      </x:c>
      <x:c r="K1160" s="168"/>
      <x:c r="L1160" s="168" t="str">
        <x:f>IF(OR(I1160="Mastered",K1160=""),"",K1160+IF(J1160&gt;=5,30,IF(J1160=4,14,IF(J1160=3,7,IF(J1160=2,3,1)))))</x:f>
      </x:c>
      <x:c r="M1160" s="171" t="str"/>
      <x:c r="N1160" s="171" t="str"/>
      <x:c r="O1160" s="171" t="str">
        <x:v>Draft — verify in context</x:v>
      </x:c>
      <x:c r="P1160" s="167" t="str">
        <x:v>https://www.oxfordlearnersdictionaries.com/wordlists/oxford3000-5000</x:v>
      </x:c>
    </x:row>
    <x:row r="1161" ht="26" customHeight="1">
      <x:c r="A1161" s="167" t="n">
        <x:v>1160</x:v>
      </x:c>
      <x:c r="B1161" s="167" t="str">
        <x:v>supplement</x:v>
      </x:c>
      <x:c r="C1161" s="167" t="str">
        <x:v>n., v.</x:v>
      </x:c>
      <x:c r="D1161" s="170" t="str">
        <x:v>додаток</x:v>
      </x:c>
      <x:c r="E1161" s="167" t="str">
        <x:v>No</x:v>
      </x:c>
      <x:c r="F1161" s="167"/>
      <x:c r="G1161" s="167" t="str">
        <x:v>Core</x:v>
      </x:c>
      <x:c r="H1161" s="167" t="str">
        <x:v>General</x:v>
      </x:c>
      <x:c r="I1161" s="167" t="str">
        <x:v>Not Started</x:v>
      </x:c>
      <x:c r="J1161" s="167" t="n">
        <x:v>0</x:v>
      </x:c>
      <x:c r="K1161" s="168"/>
      <x:c r="L1161" s="168" t="str">
        <x:f>IF(OR(I1161="Mastered",K1161=""),"",K1161+IF(J1161&gt;=5,30,IF(J1161=4,14,IF(J1161=3,7,IF(J1161=2,3,1)))))</x:f>
      </x:c>
      <x:c r="M1161" s="171" t="str"/>
      <x:c r="N1161" s="171" t="str"/>
      <x:c r="O1161" s="171" t="str">
        <x:v>Draft — verify in context</x:v>
      </x:c>
      <x:c r="P1161" s="167" t="str">
        <x:v>https://www.oxfordlearnersdictionaries.com/wordlists/oxford3000-5000</x:v>
      </x:c>
    </x:row>
    <x:row r="1162" ht="26" customHeight="1">
      <x:c r="A1162" s="167" t="n">
        <x:v>1161</x:v>
      </x:c>
      <x:c r="B1162" s="167" t="str">
        <x:v>supportive</x:v>
      </x:c>
      <x:c r="C1162" s="167" t="str">
        <x:v>adj.</x:v>
      </x:c>
      <x:c r="D1162" s="170" t="str">
        <x:v>підтримує</x:v>
      </x:c>
      <x:c r="E1162" s="167" t="str">
        <x:v>No</x:v>
      </x:c>
      <x:c r="F1162" s="167"/>
      <x:c r="G1162" s="167" t="str">
        <x:v>Core</x:v>
      </x:c>
      <x:c r="H1162" s="167" t="str">
        <x:v>General</x:v>
      </x:c>
      <x:c r="I1162" s="167" t="str">
        <x:v>Not Started</x:v>
      </x:c>
      <x:c r="J1162" s="167" t="n">
        <x:v>0</x:v>
      </x:c>
      <x:c r="K1162" s="168"/>
      <x:c r="L1162" s="168" t="str">
        <x:f>IF(OR(I1162="Mastered",K1162=""),"",K1162+IF(J1162&gt;=5,30,IF(J1162=4,14,IF(J1162=3,7,IF(J1162=2,3,1)))))</x:f>
      </x:c>
      <x:c r="M1162" s="171" t="str"/>
      <x:c r="N1162" s="171" t="str"/>
      <x:c r="O1162" s="171" t="str">
        <x:v>Draft — verify in context</x:v>
      </x:c>
      <x:c r="P1162" s="167" t="str">
        <x:v>https://www.oxfordlearnersdictionaries.com/wordlists/oxford3000-5000</x:v>
      </x:c>
    </x:row>
    <x:row r="1163" ht="26" customHeight="1">
      <x:c r="A1163" s="167" t="n">
        <x:v>1162</x:v>
      </x:c>
      <x:c r="B1163" s="167" t="str">
        <x:v>supposedly</x:v>
      </x:c>
      <x:c r="C1163" s="167" t="str">
        <x:v>adv.</x:v>
      </x:c>
      <x:c r="D1163" s="170" t="str">
        <x:v>нібито</x:v>
      </x:c>
      <x:c r="E1163" s="167" t="str">
        <x:v>No</x:v>
      </x:c>
      <x:c r="F1163" s="167"/>
      <x:c r="G1163" s="167" t="str">
        <x:v>Core</x:v>
      </x:c>
      <x:c r="H1163" s="167" t="str">
        <x:v>General</x:v>
      </x:c>
      <x:c r="I1163" s="167" t="str">
        <x:v>Not Started</x:v>
      </x:c>
      <x:c r="J1163" s="167" t="n">
        <x:v>0</x:v>
      </x:c>
      <x:c r="K1163" s="168"/>
      <x:c r="L1163" s="168" t="str">
        <x:f>IF(OR(I1163="Mastered",K1163=""),"",K1163+IF(J1163&gt;=5,30,IF(J1163=4,14,IF(J1163=3,7,IF(J1163=2,3,1)))))</x:f>
      </x:c>
      <x:c r="M1163" s="171" t="str"/>
      <x:c r="N1163" s="171" t="str"/>
      <x:c r="O1163" s="171" t="str">
        <x:v>Draft — verify in context</x:v>
      </x:c>
      <x:c r="P1163" s="167" t="str">
        <x:v>https://www.oxfordlearnersdictionaries.com/wordlists/oxford3000-5000</x:v>
      </x:c>
    </x:row>
    <x:row r="1164" ht="26" customHeight="1">
      <x:c r="A1164" s="167" t="n">
        <x:v>1163</x:v>
      </x:c>
      <x:c r="B1164" s="167" t="str">
        <x:v>suppress</x:v>
      </x:c>
      <x:c r="C1164" s="167" t="str">
        <x:v>v.</x:v>
      </x:c>
      <x:c r="D1164" s="170" t="str">
        <x:v>придушити</x:v>
      </x:c>
      <x:c r="E1164" s="167" t="str">
        <x:v>No</x:v>
      </x:c>
      <x:c r="F1164" s="167"/>
      <x:c r="G1164" s="167" t="str">
        <x:v>Core</x:v>
      </x:c>
      <x:c r="H1164" s="167" t="str">
        <x:v>General</x:v>
      </x:c>
      <x:c r="I1164" s="167" t="str">
        <x:v>Not Started</x:v>
      </x:c>
      <x:c r="J1164" s="167" t="n">
        <x:v>0</x:v>
      </x:c>
      <x:c r="K1164" s="168"/>
      <x:c r="L1164" s="168" t="str">
        <x:f>IF(OR(I1164="Mastered",K1164=""),"",K1164+IF(J1164&gt;=5,30,IF(J1164=4,14,IF(J1164=3,7,IF(J1164=2,3,1)))))</x:f>
      </x:c>
      <x:c r="M1164" s="171" t="str"/>
      <x:c r="N1164" s="171" t="str"/>
      <x:c r="O1164" s="171" t="str">
        <x:v>Draft — verify in context</x:v>
      </x:c>
      <x:c r="P1164" s="167" t="str">
        <x:v>https://www.oxfordlearnersdictionaries.com/wordlists/oxford3000-5000</x:v>
      </x:c>
    </x:row>
    <x:row r="1165" ht="26" customHeight="1">
      <x:c r="A1165" s="167" t="n">
        <x:v>1164</x:v>
      </x:c>
      <x:c r="B1165" s="167" t="str">
        <x:v>supreme</x:v>
      </x:c>
      <x:c r="C1165" s="167" t="str">
        <x:v>adj.</x:v>
      </x:c>
      <x:c r="D1165" s="170" t="str">
        <x:v>вищий</x:v>
      </x:c>
      <x:c r="E1165" s="167" t="str">
        <x:v>No</x:v>
      </x:c>
      <x:c r="F1165" s="167"/>
      <x:c r="G1165" s="167" t="str">
        <x:v>Core</x:v>
      </x:c>
      <x:c r="H1165" s="167" t="str">
        <x:v>General</x:v>
      </x:c>
      <x:c r="I1165" s="167" t="str">
        <x:v>Not Started</x:v>
      </x:c>
      <x:c r="J1165" s="167" t="n">
        <x:v>0</x:v>
      </x:c>
      <x:c r="K1165" s="168"/>
      <x:c r="L1165" s="168" t="str">
        <x:f>IF(OR(I1165="Mastered",K1165=""),"",K1165+IF(J1165&gt;=5,30,IF(J1165=4,14,IF(J1165=3,7,IF(J1165=2,3,1)))))</x:f>
      </x:c>
      <x:c r="M1165" s="171" t="str"/>
      <x:c r="N1165" s="171" t="str"/>
      <x:c r="O1165" s="171" t="str">
        <x:v>Draft — verify in context</x:v>
      </x:c>
      <x:c r="P1165" s="167" t="str">
        <x:v>https://www.oxfordlearnersdictionaries.com/wordlists/oxford3000-5000</x:v>
      </x:c>
    </x:row>
    <x:row r="1166" ht="26" customHeight="1">
      <x:c r="A1166" s="167" t="n">
        <x:v>1165</x:v>
      </x:c>
      <x:c r="B1166" s="167" t="str">
        <x:v>surge</x:v>
      </x:c>
      <x:c r="C1166" s="167" t="str">
        <x:v>n., v.</x:v>
      </x:c>
      <x:c r="D1166" s="170" t="str">
        <x:v>хвиля</x:v>
      </x:c>
      <x:c r="E1166" s="167" t="str">
        <x:v>No</x:v>
      </x:c>
      <x:c r="F1166" s="167"/>
      <x:c r="G1166" s="167" t="str">
        <x:v>Core</x:v>
      </x:c>
      <x:c r="H1166" s="167" t="str">
        <x:v>General</x:v>
      </x:c>
      <x:c r="I1166" s="167" t="str">
        <x:v>Not Started</x:v>
      </x:c>
      <x:c r="J1166" s="167" t="n">
        <x:v>0</x:v>
      </x:c>
      <x:c r="K1166" s="168"/>
      <x:c r="L1166" s="168" t="str">
        <x:f>IF(OR(I1166="Mastered",K1166=""),"",K1166+IF(J1166&gt;=5,30,IF(J1166=4,14,IF(J1166=3,7,IF(J1166=2,3,1)))))</x:f>
      </x:c>
      <x:c r="M1166" s="171" t="str"/>
      <x:c r="N1166" s="171" t="str"/>
      <x:c r="O1166" s="171" t="str">
        <x:v>Draft — verify in context</x:v>
      </x:c>
      <x:c r="P1166" s="167" t="str">
        <x:v>https://www.oxfordlearnersdictionaries.com/wordlists/oxford3000-5000</x:v>
      </x:c>
    </x:row>
    <x:row r="1167" ht="26" customHeight="1">
      <x:c r="A1167" s="167" t="n">
        <x:v>1166</x:v>
      </x:c>
      <x:c r="B1167" s="167" t="str">
        <x:v>surgical</x:v>
      </x:c>
      <x:c r="C1167" s="167" t="str">
        <x:v>adj.</x:v>
      </x:c>
      <x:c r="D1167" s="170" t="str">
        <x:v>хірургічний</x:v>
      </x:c>
      <x:c r="E1167" s="167" t="str">
        <x:v>No</x:v>
      </x:c>
      <x:c r="F1167" s="167"/>
      <x:c r="G1167" s="167" t="str">
        <x:v>Core</x:v>
      </x:c>
      <x:c r="H1167" s="167" t="str">
        <x:v>General</x:v>
      </x:c>
      <x:c r="I1167" s="167" t="str">
        <x:v>Not Started</x:v>
      </x:c>
      <x:c r="J1167" s="167" t="n">
        <x:v>0</x:v>
      </x:c>
      <x:c r="K1167" s="168"/>
      <x:c r="L1167" s="168" t="str">
        <x:f>IF(OR(I1167="Mastered",K1167=""),"",K1167+IF(J1167&gt;=5,30,IF(J1167=4,14,IF(J1167=3,7,IF(J1167=2,3,1)))))</x:f>
      </x:c>
      <x:c r="M1167" s="171" t="str"/>
      <x:c r="N1167" s="171" t="str"/>
      <x:c r="O1167" s="171" t="str">
        <x:v>Draft — verify in context</x:v>
      </x:c>
      <x:c r="P1167" s="167" t="str">
        <x:v>https://www.oxfordlearnersdictionaries.com/wordlists/oxford3000-5000</x:v>
      </x:c>
    </x:row>
    <x:row r="1168" ht="26" customHeight="1">
      <x:c r="A1168" s="167" t="n">
        <x:v>1167</x:v>
      </x:c>
      <x:c r="B1168" s="167" t="str">
        <x:v>surplus</x:v>
      </x:c>
      <x:c r="C1168" s="167" t="str">
        <x:v>n.</x:v>
      </x:c>
      <x:c r="D1168" s="170" t="str">
        <x:v>надлишок</x:v>
      </x:c>
      <x:c r="E1168" s="167" t="str">
        <x:v>No</x:v>
      </x:c>
      <x:c r="F1168" s="167"/>
      <x:c r="G1168" s="167" t="str">
        <x:v>Core</x:v>
      </x:c>
      <x:c r="H1168" s="167" t="str">
        <x:v>General</x:v>
      </x:c>
      <x:c r="I1168" s="167" t="str">
        <x:v>Not Started</x:v>
      </x:c>
      <x:c r="J1168" s="167" t="n">
        <x:v>0</x:v>
      </x:c>
      <x:c r="K1168" s="168"/>
      <x:c r="L1168" s="168" t="str">
        <x:f>IF(OR(I1168="Mastered",K1168=""),"",K1168+IF(J1168&gt;=5,30,IF(J1168=4,14,IF(J1168=3,7,IF(J1168=2,3,1)))))</x:f>
      </x:c>
      <x:c r="M1168" s="171" t="str"/>
      <x:c r="N1168" s="171" t="str"/>
      <x:c r="O1168" s="171" t="str">
        <x:v>Draft — verify in context</x:v>
      </x:c>
      <x:c r="P1168" s="167" t="str">
        <x:v>https://www.oxfordlearnersdictionaries.com/wordlists/oxford3000-5000</x:v>
      </x:c>
    </x:row>
    <x:row r="1169" ht="26" customHeight="1">
      <x:c r="A1169" s="167" t="n">
        <x:v>1168</x:v>
      </x:c>
      <x:c r="B1169" s="167" t="str">
        <x:v>surrender</x:v>
      </x:c>
      <x:c r="C1169" s="167" t="str">
        <x:v>v.</x:v>
      </x:c>
      <x:c r="D1169" s="170" t="str">
        <x:v>здатися</x:v>
      </x:c>
      <x:c r="E1169" s="167" t="str">
        <x:v>No</x:v>
      </x:c>
      <x:c r="F1169" s="167"/>
      <x:c r="G1169" s="167" t="str">
        <x:v>Core</x:v>
      </x:c>
      <x:c r="H1169" s="167" t="str">
        <x:v>General</x:v>
      </x:c>
      <x:c r="I1169" s="167" t="str">
        <x:v>Not Started</x:v>
      </x:c>
      <x:c r="J1169" s="167" t="n">
        <x:v>0</x:v>
      </x:c>
      <x:c r="K1169" s="168"/>
      <x:c r="L1169" s="168" t="str">
        <x:f>IF(OR(I1169="Mastered",K1169=""),"",K1169+IF(J1169&gt;=5,30,IF(J1169=4,14,IF(J1169=3,7,IF(J1169=2,3,1)))))</x:f>
      </x:c>
      <x:c r="M1169" s="171" t="str"/>
      <x:c r="N1169" s="171" t="str"/>
      <x:c r="O1169" s="171" t="str">
        <x:v>Draft — verify in context</x:v>
      </x:c>
      <x:c r="P1169" s="167" t="str">
        <x:v>https://www.oxfordlearnersdictionaries.com/wordlists/oxford3000-5000</x:v>
      </x:c>
    </x:row>
    <x:row r="1170" ht="26" customHeight="1">
      <x:c r="A1170" s="167" t="n">
        <x:v>1169</x:v>
      </x:c>
      <x:c r="B1170" s="167" t="str">
        <x:v>surveillance</x:v>
      </x:c>
      <x:c r="C1170" s="167" t="str">
        <x:v>n.</x:v>
      </x:c>
      <x:c r="D1170" s="170" t="str">
        <x:v>спостереження</x:v>
      </x:c>
      <x:c r="E1170" s="167" t="str">
        <x:v>No</x:v>
      </x:c>
      <x:c r="F1170" s="167"/>
      <x:c r="G1170" s="167" t="str">
        <x:v>Core</x:v>
      </x:c>
      <x:c r="H1170" s="167" t="str">
        <x:v>General</x:v>
      </x:c>
      <x:c r="I1170" s="167" t="str">
        <x:v>Not Started</x:v>
      </x:c>
      <x:c r="J1170" s="167" t="n">
        <x:v>0</x:v>
      </x:c>
      <x:c r="K1170" s="168"/>
      <x:c r="L1170" s="168" t="str">
        <x:f>IF(OR(I1170="Mastered",K1170=""),"",K1170+IF(J1170&gt;=5,30,IF(J1170=4,14,IF(J1170=3,7,IF(J1170=2,3,1)))))</x:f>
      </x:c>
      <x:c r="M1170" s="171" t="str"/>
      <x:c r="N1170" s="171" t="str"/>
      <x:c r="O1170" s="171" t="str">
        <x:v>Draft — verify in context</x:v>
      </x:c>
      <x:c r="P1170" s="167" t="str">
        <x:v>https://www.oxfordlearnersdictionaries.com/wordlists/oxford3000-5000</x:v>
      </x:c>
    </x:row>
    <x:row r="1171" ht="26" customHeight="1">
      <x:c r="A1171" s="167" t="n">
        <x:v>1170</x:v>
      </x:c>
      <x:c r="B1171" s="167" t="str">
        <x:v>suspension</x:v>
      </x:c>
      <x:c r="C1171" s="167" t="str">
        <x:v>n.</x:v>
      </x:c>
      <x:c r="D1171" s="170" t="str">
        <x:v>підвіска</x:v>
      </x:c>
      <x:c r="E1171" s="167" t="str">
        <x:v>No</x:v>
      </x:c>
      <x:c r="F1171" s="167"/>
      <x:c r="G1171" s="167" t="str">
        <x:v>Core</x:v>
      </x:c>
      <x:c r="H1171" s="167" t="str">
        <x:v>General</x:v>
      </x:c>
      <x:c r="I1171" s="167" t="str">
        <x:v>Not Started</x:v>
      </x:c>
      <x:c r="J1171" s="167" t="n">
        <x:v>0</x:v>
      </x:c>
      <x:c r="K1171" s="168"/>
      <x:c r="L1171" s="168" t="str">
        <x:f>IF(OR(I1171="Mastered",K1171=""),"",K1171+IF(J1171&gt;=5,30,IF(J1171=4,14,IF(J1171=3,7,IF(J1171=2,3,1)))))</x:f>
      </x:c>
      <x:c r="M1171" s="171" t="str"/>
      <x:c r="N1171" s="171" t="str"/>
      <x:c r="O1171" s="171" t="str">
        <x:v>Draft — verify in context</x:v>
      </x:c>
      <x:c r="P1171" s="167" t="str">
        <x:v>https://www.oxfordlearnersdictionaries.com/wordlists/oxford3000-5000</x:v>
      </x:c>
    </x:row>
    <x:row r="1172" ht="26" customHeight="1">
      <x:c r="A1172" s="167" t="n">
        <x:v>1171</x:v>
      </x:c>
      <x:c r="B1172" s="167" t="str">
        <x:v>suspicion</x:v>
      </x:c>
      <x:c r="C1172" s="167" t="str">
        <x:v>n.</x:v>
      </x:c>
      <x:c r="D1172" s="170" t="str">
        <x:v>підозра</x:v>
      </x:c>
      <x:c r="E1172" s="167" t="str">
        <x:v>No</x:v>
      </x:c>
      <x:c r="F1172" s="167"/>
      <x:c r="G1172" s="167" t="str">
        <x:v>Core</x:v>
      </x:c>
      <x:c r="H1172" s="167" t="str">
        <x:v>General</x:v>
      </x:c>
      <x:c r="I1172" s="167" t="str">
        <x:v>Not Started</x:v>
      </x:c>
      <x:c r="J1172" s="167" t="n">
        <x:v>0</x:v>
      </x:c>
      <x:c r="K1172" s="168"/>
      <x:c r="L1172" s="168" t="str">
        <x:f>IF(OR(I1172="Mastered",K1172=""),"",K1172+IF(J1172&gt;=5,30,IF(J1172=4,14,IF(J1172=3,7,IF(J1172=2,3,1)))))</x:f>
      </x:c>
      <x:c r="M1172" s="171" t="str"/>
      <x:c r="N1172" s="171" t="str"/>
      <x:c r="O1172" s="171" t="str">
        <x:v>Draft — verify in context</x:v>
      </x:c>
      <x:c r="P1172" s="167" t="str">
        <x:v>https://www.oxfordlearnersdictionaries.com/wordlists/oxford3000-5000</x:v>
      </x:c>
    </x:row>
    <x:row r="1173" ht="26" customHeight="1">
      <x:c r="A1173" s="167" t="n">
        <x:v>1172</x:v>
      </x:c>
      <x:c r="B1173" s="167" t="str">
        <x:v>suspicious</x:v>
      </x:c>
      <x:c r="C1173" s="167" t="str">
        <x:v>adj.</x:v>
      </x:c>
      <x:c r="D1173" s="170" t="str">
        <x:v>підозрілий</x:v>
      </x:c>
      <x:c r="E1173" s="167" t="str">
        <x:v>No</x:v>
      </x:c>
      <x:c r="F1173" s="167"/>
      <x:c r="G1173" s="167" t="str">
        <x:v>Core</x:v>
      </x:c>
      <x:c r="H1173" s="167" t="str">
        <x:v>General</x:v>
      </x:c>
      <x:c r="I1173" s="167" t="str">
        <x:v>Not Started</x:v>
      </x:c>
      <x:c r="J1173" s="167" t="n">
        <x:v>0</x:v>
      </x:c>
      <x:c r="K1173" s="168"/>
      <x:c r="L1173" s="168" t="str">
        <x:f>IF(OR(I1173="Mastered",K1173=""),"",K1173+IF(J1173&gt;=5,30,IF(J1173=4,14,IF(J1173=3,7,IF(J1173=2,3,1)))))</x:f>
      </x:c>
      <x:c r="M1173" s="171" t="str"/>
      <x:c r="N1173" s="171" t="str"/>
      <x:c r="O1173" s="171" t="str">
        <x:v>Draft — verify in context</x:v>
      </x:c>
      <x:c r="P1173" s="167" t="str">
        <x:v>https://www.oxfordlearnersdictionaries.com/wordlists/oxford3000-5000</x:v>
      </x:c>
    </x:row>
    <x:row r="1174" ht="26" customHeight="1">
      <x:c r="A1174" s="167" t="n">
        <x:v>1173</x:v>
      </x:c>
      <x:c r="B1174" s="167" t="str">
        <x:v>sustain</x:v>
      </x:c>
      <x:c r="C1174" s="167" t="str">
        <x:v>v.</x:v>
      </x:c>
      <x:c r="D1174" s="170" t="str">
        <x:v>підтримувати</x:v>
      </x:c>
      <x:c r="E1174" s="167" t="str">
        <x:v>No</x:v>
      </x:c>
      <x:c r="F1174" s="167"/>
      <x:c r="G1174" s="167" t="str">
        <x:v>Core</x:v>
      </x:c>
      <x:c r="H1174" s="167" t="str">
        <x:v>General</x:v>
      </x:c>
      <x:c r="I1174" s="167" t="str">
        <x:v>Not Started</x:v>
      </x:c>
      <x:c r="J1174" s="167" t="n">
        <x:v>0</x:v>
      </x:c>
      <x:c r="K1174" s="168"/>
      <x:c r="L1174" s="168" t="str">
        <x:f>IF(OR(I1174="Mastered",K1174=""),"",K1174+IF(J1174&gt;=5,30,IF(J1174=4,14,IF(J1174=3,7,IF(J1174=2,3,1)))))</x:f>
      </x:c>
      <x:c r="M1174" s="171" t="str"/>
      <x:c r="N1174" s="171" t="str"/>
      <x:c r="O1174" s="171" t="str">
        <x:v>Draft — verify in context</x:v>
      </x:c>
      <x:c r="P1174" s="167" t="str">
        <x:v>https://www.oxfordlearnersdictionaries.com/wordlists/oxford3000-5000</x:v>
      </x:c>
    </x:row>
    <x:row r="1175" ht="26" customHeight="1">
      <x:c r="A1175" s="167" t="n">
        <x:v>1174</x:v>
      </x:c>
      <x:c r="B1175" s="167" t="str">
        <x:v>swing</x:v>
      </x:c>
      <x:c r="C1175" s="167" t="str">
        <x:v>v., n.</x:v>
      </x:c>
      <x:c r="D1175" s="170" t="str">
        <x:v>гойдалка</x:v>
      </x:c>
      <x:c r="E1175" s="167" t="str">
        <x:v>No</x:v>
      </x:c>
      <x:c r="F1175" s="167"/>
      <x:c r="G1175" s="167" t="str">
        <x:v>Core</x:v>
      </x:c>
      <x:c r="H1175" s="167" t="str">
        <x:v>General</x:v>
      </x:c>
      <x:c r="I1175" s="167" t="str">
        <x:v>Not Started</x:v>
      </x:c>
      <x:c r="J1175" s="167" t="n">
        <x:v>0</x:v>
      </x:c>
      <x:c r="K1175" s="168"/>
      <x:c r="L1175" s="168" t="str">
        <x:f>IF(OR(I1175="Mastered",K1175=""),"",K1175+IF(J1175&gt;=5,30,IF(J1175=4,14,IF(J1175=3,7,IF(J1175=2,3,1)))))</x:f>
      </x:c>
      <x:c r="M1175" s="171" t="str"/>
      <x:c r="N1175" s="171" t="str"/>
      <x:c r="O1175" s="171" t="str">
        <x:v>Draft — verify in context</x:v>
      </x:c>
      <x:c r="P1175" s="167" t="str">
        <x:v>https://www.oxfordlearnersdictionaries.com/wordlists/oxford3000-5000</x:v>
      </x:c>
    </x:row>
    <x:row r="1176" ht="26" customHeight="1">
      <x:c r="A1176" s="167" t="n">
        <x:v>1175</x:v>
      </x:c>
      <x:c r="B1176" s="167" t="str">
        <x:v>sword</x:v>
      </x:c>
      <x:c r="C1176" s="167" t="str">
        <x:v>n.</x:v>
      </x:c>
      <x:c r="D1176" s="170" t="str">
        <x:v>меч</x:v>
      </x:c>
      <x:c r="E1176" s="167" t="str">
        <x:v>No</x:v>
      </x:c>
      <x:c r="F1176" s="167"/>
      <x:c r="G1176" s="167" t="str">
        <x:v>Core</x:v>
      </x:c>
      <x:c r="H1176" s="167" t="str">
        <x:v>General</x:v>
      </x:c>
      <x:c r="I1176" s="167" t="str">
        <x:v>Not Started</x:v>
      </x:c>
      <x:c r="J1176" s="167" t="n">
        <x:v>0</x:v>
      </x:c>
      <x:c r="K1176" s="168"/>
      <x:c r="L1176" s="168" t="str">
        <x:f>IF(OR(I1176="Mastered",K1176=""),"",K1176+IF(J1176&gt;=5,30,IF(J1176=4,14,IF(J1176=3,7,IF(J1176=2,3,1)))))</x:f>
      </x:c>
      <x:c r="M1176" s="171" t="str"/>
      <x:c r="N1176" s="171" t="str"/>
      <x:c r="O1176" s="171" t="str">
        <x:v>Draft — verify in context</x:v>
      </x:c>
      <x:c r="P1176" s="167" t="str">
        <x:v>https://www.oxfordlearnersdictionaries.com/wordlists/oxford3000-5000</x:v>
      </x:c>
    </x:row>
    <x:row r="1177" ht="26" customHeight="1">
      <x:c r="A1177" s="167" t="n">
        <x:v>1176</x:v>
      </x:c>
      <x:c r="B1177" s="167" t="str">
        <x:v>symbolic</x:v>
      </x:c>
      <x:c r="C1177" s="167" t="str">
        <x:v>adj.</x:v>
      </x:c>
      <x:c r="D1177" s="170" t="str">
        <x:v>символічний</x:v>
      </x:c>
      <x:c r="E1177" s="167" t="str">
        <x:v>Yes</x:v>
      </x:c>
      <x:c r="F1177" s="167" t="n">
        <x:v>5</x:v>
      </x:c>
      <x:c r="G1177" s="167" t="str">
        <x:v>High</x:v>
      </x:c>
      <x:c r="H1177" s="167" t="str">
        <x:v>General</x:v>
      </x:c>
      <x:c r="I1177" s="167" t="str">
        <x:v>Not Started</x:v>
      </x:c>
      <x:c r="J1177" s="167" t="n">
        <x:v>0</x:v>
      </x:c>
      <x:c r="K1177" s="168"/>
      <x:c r="L1177" s="168" t="str">
        <x:f>IF(OR(I1177="Mastered",K1177=""),"",K1177+IF(J1177&gt;=5,30,IF(J1177=4,14,IF(J1177=3,7,IF(J1177=2,3,1)))))</x:f>
      </x:c>
      <x:c r="M1177" s="171" t="str"/>
      <x:c r="N1177" s="171" t="str"/>
      <x:c r="O1177" s="171" t="str">
        <x:v>Draft — verify in context</x:v>
      </x:c>
      <x:c r="P1177" s="167" t="str">
        <x:v>https://www.oxfordlearnersdictionaries.com/wordlists/oxford3000-5000</x:v>
      </x:c>
    </x:row>
    <x:row r="1178" ht="26" customHeight="1">
      <x:c r="A1178" s="167" t="n">
        <x:v>1177</x:v>
      </x:c>
      <x:c r="B1178" s="167" t="str">
        <x:v>syndrome</x:v>
      </x:c>
      <x:c r="C1178" s="167" t="str">
        <x:v>n.</x:v>
      </x:c>
      <x:c r="D1178" s="170" t="str">
        <x:v>синдром</x:v>
      </x:c>
      <x:c r="E1178" s="167" t="str">
        <x:v>No</x:v>
      </x:c>
      <x:c r="F1178" s="167"/>
      <x:c r="G1178" s="167" t="str">
        <x:v>Core</x:v>
      </x:c>
      <x:c r="H1178" s="167" t="str">
        <x:v>General</x:v>
      </x:c>
      <x:c r="I1178" s="167" t="str">
        <x:v>Not Started</x:v>
      </x:c>
      <x:c r="J1178" s="167" t="n">
        <x:v>0</x:v>
      </x:c>
      <x:c r="K1178" s="168"/>
      <x:c r="L1178" s="168" t="str">
        <x:f>IF(OR(I1178="Mastered",K1178=""),"",K1178+IF(J1178&gt;=5,30,IF(J1178=4,14,IF(J1178=3,7,IF(J1178=2,3,1)))))</x:f>
      </x:c>
      <x:c r="M1178" s="171" t="str"/>
      <x:c r="N1178" s="171" t="str"/>
      <x:c r="O1178" s="171" t="str">
        <x:v>Draft — verify in context</x:v>
      </x:c>
      <x:c r="P1178" s="167" t="str">
        <x:v>https://www.oxfordlearnersdictionaries.com/wordlists/oxford3000-5000</x:v>
      </x:c>
    </x:row>
    <x:row r="1179" ht="26" customHeight="1">
      <x:c r="A1179" s="167" t="n">
        <x:v>1178</x:v>
      </x:c>
      <x:c r="B1179" s="167" t="str">
        <x:v>synthesis</x:v>
      </x:c>
      <x:c r="C1179" s="167" t="str">
        <x:v>n.</x:v>
      </x:c>
      <x:c r="D1179" s="170" t="str">
        <x:v>синтез</x:v>
      </x:c>
      <x:c r="E1179" s="167" t="str">
        <x:v>No</x:v>
      </x:c>
      <x:c r="F1179" s="167"/>
      <x:c r="G1179" s="167" t="str">
        <x:v>Core</x:v>
      </x:c>
      <x:c r="H1179" s="167" t="str">
        <x:v>General</x:v>
      </x:c>
      <x:c r="I1179" s="167" t="str">
        <x:v>Not Started</x:v>
      </x:c>
      <x:c r="J1179" s="167" t="n">
        <x:v>0</x:v>
      </x:c>
      <x:c r="K1179" s="168"/>
      <x:c r="L1179" s="168" t="str">
        <x:f>IF(OR(I1179="Mastered",K1179=""),"",K1179+IF(J1179&gt;=5,30,IF(J1179=4,14,IF(J1179=3,7,IF(J1179=2,3,1)))))</x:f>
      </x:c>
      <x:c r="M1179" s="171" t="str"/>
      <x:c r="N1179" s="171" t="str"/>
      <x:c r="O1179" s="171" t="str">
        <x:v>Draft — verify in context</x:v>
      </x:c>
      <x:c r="P1179" s="167" t="str">
        <x:v>https://www.oxfordlearnersdictionaries.com/wordlists/oxford3000-5000</x:v>
      </x:c>
    </x:row>
    <x:row r="1180" ht="26" customHeight="1">
      <x:c r="A1180" s="167" t="n">
        <x:v>1179</x:v>
      </x:c>
      <x:c r="B1180" s="167" t="str">
        <x:v>systematic</x:v>
      </x:c>
      <x:c r="C1180" s="167" t="str">
        <x:v>adj.</x:v>
      </x:c>
      <x:c r="D1180" s="170" t="str">
        <x:v>систематичний</x:v>
      </x:c>
      <x:c r="E1180" s="167" t="str">
        <x:v>No</x:v>
      </x:c>
      <x:c r="F1180" s="167"/>
      <x:c r="G1180" s="167" t="str">
        <x:v>Core</x:v>
      </x:c>
      <x:c r="H1180" s="167" t="str">
        <x:v>General</x:v>
      </x:c>
      <x:c r="I1180" s="167" t="str">
        <x:v>Not Started</x:v>
      </x:c>
      <x:c r="J1180" s="167" t="n">
        <x:v>0</x:v>
      </x:c>
      <x:c r="K1180" s="168"/>
      <x:c r="L1180" s="168" t="str">
        <x:f>IF(OR(I1180="Mastered",K1180=""),"",K1180+IF(J1180&gt;=5,30,IF(J1180=4,14,IF(J1180=3,7,IF(J1180=2,3,1)))))</x:f>
      </x:c>
      <x:c r="M1180" s="171" t="str"/>
      <x:c r="N1180" s="171" t="str"/>
      <x:c r="O1180" s="171" t="str">
        <x:v>Draft — verify in context</x:v>
      </x:c>
      <x:c r="P1180" s="167" t="str">
        <x:v>https://www.oxfordlearnersdictionaries.com/wordlists/oxford3000-5000</x:v>
      </x:c>
    </x:row>
    <x:row r="1181" ht="26" customHeight="1">
      <x:c r="A1181" s="167" t="n">
        <x:v>1180</x:v>
      </x:c>
      <x:c r="B1181" s="167" t="str">
        <x:v>tackle</x:v>
      </x:c>
      <x:c r="C1181" s="167" t="str">
        <x:v>n.</x:v>
      </x:c>
      <x:c r="D1181" s="170" t="str">
        <x:v>снасть</x:v>
      </x:c>
      <x:c r="E1181" s="167" t="str">
        <x:v>No</x:v>
      </x:c>
      <x:c r="F1181" s="167"/>
      <x:c r="G1181" s="167" t="str">
        <x:v>Core</x:v>
      </x:c>
      <x:c r="H1181" s="167" t="str">
        <x:v>General</x:v>
      </x:c>
      <x:c r="I1181" s="167" t="str">
        <x:v>Not Started</x:v>
      </x:c>
      <x:c r="J1181" s="167" t="n">
        <x:v>0</x:v>
      </x:c>
      <x:c r="K1181" s="168"/>
      <x:c r="L1181" s="168" t="str">
        <x:f>IF(OR(I1181="Mastered",K1181=""),"",K1181+IF(J1181&gt;=5,30,IF(J1181=4,14,IF(J1181=3,7,IF(J1181=2,3,1)))))</x:f>
      </x:c>
      <x:c r="M1181" s="171" t="str"/>
      <x:c r="N1181" s="171" t="str"/>
      <x:c r="O1181" s="171" t="str">
        <x:v>Draft — verify in context</x:v>
      </x:c>
      <x:c r="P1181" s="167" t="str">
        <x:v>https://www.oxfordlearnersdictionaries.com/wordlists/oxford3000-5000</x:v>
      </x:c>
    </x:row>
    <x:row r="1182" ht="26" customHeight="1">
      <x:c r="A1182" s="167" t="n">
        <x:v>1181</x:v>
      </x:c>
      <x:c r="B1182" s="167" t="str">
        <x:v>tactic</x:v>
      </x:c>
      <x:c r="C1182" s="167" t="str">
        <x:v>n.</x:v>
      </x:c>
      <x:c r="D1182" s="170" t="str">
        <x:v>тактика</x:v>
      </x:c>
      <x:c r="E1182" s="167" t="str">
        <x:v>No</x:v>
      </x:c>
      <x:c r="F1182" s="167"/>
      <x:c r="G1182" s="167" t="str">
        <x:v>Core</x:v>
      </x:c>
      <x:c r="H1182" s="167" t="str">
        <x:v>General</x:v>
      </x:c>
      <x:c r="I1182" s="167" t="str">
        <x:v>Not Started</x:v>
      </x:c>
      <x:c r="J1182" s="167" t="n">
        <x:v>0</x:v>
      </x:c>
      <x:c r="K1182" s="168"/>
      <x:c r="L1182" s="168" t="str">
        <x:f>IF(OR(I1182="Mastered",K1182=""),"",K1182+IF(J1182&gt;=5,30,IF(J1182=4,14,IF(J1182=3,7,IF(J1182=2,3,1)))))</x:f>
      </x:c>
      <x:c r="M1182" s="171" t="str"/>
      <x:c r="N1182" s="171" t="str"/>
      <x:c r="O1182" s="171" t="str">
        <x:v>Draft — verify in context</x:v>
      </x:c>
      <x:c r="P1182" s="167" t="str">
        <x:v>https://www.oxfordlearnersdictionaries.com/wordlists/oxford3000-5000</x:v>
      </x:c>
    </x:row>
    <x:row r="1183" ht="26" customHeight="1">
      <x:c r="A1183" s="167" t="n">
        <x:v>1182</x:v>
      </x:c>
      <x:c r="B1183" s="167" t="str">
        <x:v>tactical</x:v>
      </x:c>
      <x:c r="C1183" s="167" t="str">
        <x:v>adj.</x:v>
      </x:c>
      <x:c r="D1183" s="170" t="str">
        <x:v>тактичний</x:v>
      </x:c>
      <x:c r="E1183" s="167" t="str">
        <x:v>No</x:v>
      </x:c>
      <x:c r="F1183" s="167"/>
      <x:c r="G1183" s="167" t="str">
        <x:v>Core</x:v>
      </x:c>
      <x:c r="H1183" s="167" t="str">
        <x:v>General</x:v>
      </x:c>
      <x:c r="I1183" s="167" t="str">
        <x:v>Not Started</x:v>
      </x:c>
      <x:c r="J1183" s="167" t="n">
        <x:v>0</x:v>
      </x:c>
      <x:c r="K1183" s="168"/>
      <x:c r="L1183" s="168" t="str">
        <x:f>IF(OR(I1183="Mastered",K1183=""),"",K1183+IF(J1183&gt;=5,30,IF(J1183=4,14,IF(J1183=3,7,IF(J1183=2,3,1)))))</x:f>
      </x:c>
      <x:c r="M1183" s="171" t="str"/>
      <x:c r="N1183" s="171" t="str"/>
      <x:c r="O1183" s="171" t="str">
        <x:v>Draft — verify in context</x:v>
      </x:c>
      <x:c r="P1183" s="167" t="str">
        <x:v>https://www.oxfordlearnersdictionaries.com/wordlists/oxford3000-5000</x:v>
      </x:c>
    </x:row>
    <x:row r="1184" ht="26" customHeight="1">
      <x:c r="A1184" s="167" t="n">
        <x:v>1183</x:v>
      </x:c>
      <x:c r="B1184" s="167" t="str">
        <x:v>taxpayer</x:v>
      </x:c>
      <x:c r="C1184" s="167" t="str">
        <x:v>n.</x:v>
      </x:c>
      <x:c r="D1184" s="170" t="str">
        <x:v>платник податків</x:v>
      </x:c>
      <x:c r="E1184" s="167" t="str">
        <x:v>No</x:v>
      </x:c>
      <x:c r="F1184" s="167"/>
      <x:c r="G1184" s="167" t="str">
        <x:v>Core</x:v>
      </x:c>
      <x:c r="H1184" s="167" t="str">
        <x:v>General</x:v>
      </x:c>
      <x:c r="I1184" s="167" t="str">
        <x:v>Not Started</x:v>
      </x:c>
      <x:c r="J1184" s="167" t="n">
        <x:v>0</x:v>
      </x:c>
      <x:c r="K1184" s="168"/>
      <x:c r="L1184" s="168" t="str">
        <x:f>IF(OR(I1184="Mastered",K1184=""),"",K1184+IF(J1184&gt;=5,30,IF(J1184=4,14,IF(J1184=3,7,IF(J1184=2,3,1)))))</x:f>
      </x:c>
      <x:c r="M1184" s="171" t="str"/>
      <x:c r="N1184" s="171" t="str"/>
      <x:c r="O1184" s="171" t="str">
        <x:v>Draft — verify in context</x:v>
      </x:c>
      <x:c r="P1184" s="167" t="str">
        <x:v>https://www.oxfordlearnersdictionaries.com/wordlists/oxford3000-5000</x:v>
      </x:c>
    </x:row>
    <x:row r="1185" ht="26" customHeight="1">
      <x:c r="A1185" s="167" t="n">
        <x:v>1184</x:v>
      </x:c>
      <x:c r="B1185" s="167" t="str">
        <x:v>tempt</x:v>
      </x:c>
      <x:c r="C1185" s="167" t="str">
        <x:v>v.</x:v>
      </x:c>
      <x:c r="D1185" s="170" t="str">
        <x:v>спокусити</x:v>
      </x:c>
      <x:c r="E1185" s="167" t="str">
        <x:v>No</x:v>
      </x:c>
      <x:c r="F1185" s="167"/>
      <x:c r="G1185" s="167" t="str">
        <x:v>Core</x:v>
      </x:c>
      <x:c r="H1185" s="167" t="str">
        <x:v>General</x:v>
      </x:c>
      <x:c r="I1185" s="167" t="str">
        <x:v>Not Started</x:v>
      </x:c>
      <x:c r="J1185" s="167" t="n">
        <x:v>0</x:v>
      </x:c>
      <x:c r="K1185" s="168"/>
      <x:c r="L1185" s="168" t="str">
        <x:f>IF(OR(I1185="Mastered",K1185=""),"",K1185+IF(J1185&gt;=5,30,IF(J1185=4,14,IF(J1185=3,7,IF(J1185=2,3,1)))))</x:f>
      </x:c>
      <x:c r="M1185" s="171" t="str"/>
      <x:c r="N1185" s="171" t="str"/>
      <x:c r="O1185" s="171" t="str">
        <x:v>Draft — verify in context</x:v>
      </x:c>
      <x:c r="P1185" s="167" t="str">
        <x:v>https://www.oxfordlearnersdictionaries.com/wordlists/oxford3000-5000</x:v>
      </x:c>
    </x:row>
    <x:row r="1186" ht="26" customHeight="1">
      <x:c r="A1186" s="167" t="n">
        <x:v>1185</x:v>
      </x:c>
      <x:c r="B1186" s="167" t="str">
        <x:v>tenant</x:v>
      </x:c>
      <x:c r="C1186" s="167" t="str">
        <x:v>n.</x:v>
      </x:c>
      <x:c r="D1186" s="170" t="str">
        <x:v>орендар</x:v>
      </x:c>
      <x:c r="E1186" s="167" t="str">
        <x:v>No</x:v>
      </x:c>
      <x:c r="F1186" s="167"/>
      <x:c r="G1186" s="167" t="str">
        <x:v>Core</x:v>
      </x:c>
      <x:c r="H1186" s="167" t="str">
        <x:v>General</x:v>
      </x:c>
      <x:c r="I1186" s="167" t="str">
        <x:v>Not Started</x:v>
      </x:c>
      <x:c r="J1186" s="167" t="n">
        <x:v>0</x:v>
      </x:c>
      <x:c r="K1186" s="168"/>
      <x:c r="L1186" s="168" t="str">
        <x:f>IF(OR(I1186="Mastered",K1186=""),"",K1186+IF(J1186&gt;=5,30,IF(J1186=4,14,IF(J1186=3,7,IF(J1186=2,3,1)))))</x:f>
      </x:c>
      <x:c r="M1186" s="171" t="str"/>
      <x:c r="N1186" s="171" t="str"/>
      <x:c r="O1186" s="171" t="str">
        <x:v>Draft — verify in context</x:v>
      </x:c>
      <x:c r="P1186" s="167" t="str">
        <x:v>https://www.oxfordlearnersdictionaries.com/wordlists/oxford3000-5000</x:v>
      </x:c>
    </x:row>
    <x:row r="1187" ht="26" customHeight="1">
      <x:c r="A1187" s="167" t="n">
        <x:v>1186</x:v>
      </x:c>
      <x:c r="B1187" s="167" t="str">
        <x:v>tender</x:v>
      </x:c>
      <x:c r="C1187" s="167" t="str">
        <x:v>adj.</x:v>
      </x:c>
      <x:c r="D1187" s="170" t="str">
        <x:v>ніжний</x:v>
      </x:c>
      <x:c r="E1187" s="167" t="str">
        <x:v>No</x:v>
      </x:c>
      <x:c r="F1187" s="167"/>
      <x:c r="G1187" s="167" t="str">
        <x:v>Core</x:v>
      </x:c>
      <x:c r="H1187" s="167" t="str">
        <x:v>General</x:v>
      </x:c>
      <x:c r="I1187" s="167" t="str">
        <x:v>Not Started</x:v>
      </x:c>
      <x:c r="J1187" s="167" t="n">
        <x:v>0</x:v>
      </x:c>
      <x:c r="K1187" s="168"/>
      <x:c r="L1187" s="168" t="str">
        <x:f>IF(OR(I1187="Mastered",K1187=""),"",K1187+IF(J1187&gt;=5,30,IF(J1187=4,14,IF(J1187=3,7,IF(J1187=2,3,1)))))</x:f>
      </x:c>
      <x:c r="M1187" s="171" t="str"/>
      <x:c r="N1187" s="171" t="str"/>
      <x:c r="O1187" s="171" t="str">
        <x:v>Draft — verify in context</x:v>
      </x:c>
      <x:c r="P1187" s="167" t="str">
        <x:v>https://www.oxfordlearnersdictionaries.com/wordlists/oxford3000-5000</x:v>
      </x:c>
    </x:row>
    <x:row r="1188" ht="26" customHeight="1">
      <x:c r="A1188" s="167" t="n">
        <x:v>1187</x:v>
      </x:c>
      <x:c r="B1188" s="167" t="str">
        <x:v>tenure</x:v>
      </x:c>
      <x:c r="C1188" s="167" t="str">
        <x:v>n.</x:v>
      </x:c>
      <x:c r="D1188" s="170" t="str">
        <x:v>володіння</x:v>
      </x:c>
      <x:c r="E1188" s="167" t="str">
        <x:v>No</x:v>
      </x:c>
      <x:c r="F1188" s="167"/>
      <x:c r="G1188" s="167" t="str">
        <x:v>Core</x:v>
      </x:c>
      <x:c r="H1188" s="167" t="str">
        <x:v>General</x:v>
      </x:c>
      <x:c r="I1188" s="167" t="str">
        <x:v>Not Started</x:v>
      </x:c>
      <x:c r="J1188" s="167" t="n">
        <x:v>0</x:v>
      </x:c>
      <x:c r="K1188" s="168"/>
      <x:c r="L1188" s="168" t="str">
        <x:f>IF(OR(I1188="Mastered",K1188=""),"",K1188+IF(J1188&gt;=5,30,IF(J1188=4,14,IF(J1188=3,7,IF(J1188=2,3,1)))))</x:f>
      </x:c>
      <x:c r="M1188" s="171" t="str"/>
      <x:c r="N1188" s="171" t="str"/>
      <x:c r="O1188" s="171" t="str">
        <x:v>Draft — verify in context</x:v>
      </x:c>
      <x:c r="P1188" s="167" t="str">
        <x:v>https://www.oxfordlearnersdictionaries.com/wordlists/oxford3000-5000</x:v>
      </x:c>
    </x:row>
    <x:row r="1189" ht="26" customHeight="1">
      <x:c r="A1189" s="167" t="n">
        <x:v>1188</x:v>
      </x:c>
      <x:c r="B1189" s="167" t="str">
        <x:v>terminal</x:v>
      </x:c>
      <x:c r="C1189" s="167" t="str">
        <x:v>adj.</x:v>
      </x:c>
      <x:c r="D1189" s="170" t="str">
        <x:v>кінцевий</x:v>
      </x:c>
      <x:c r="E1189" s="167" t="str">
        <x:v>No</x:v>
      </x:c>
      <x:c r="F1189" s="167"/>
      <x:c r="G1189" s="167" t="str">
        <x:v>Core</x:v>
      </x:c>
      <x:c r="H1189" s="167" t="str">
        <x:v>General</x:v>
      </x:c>
      <x:c r="I1189" s="167" t="str">
        <x:v>Not Started</x:v>
      </x:c>
      <x:c r="J1189" s="167" t="n">
        <x:v>0</x:v>
      </x:c>
      <x:c r="K1189" s="168"/>
      <x:c r="L1189" s="168" t="str">
        <x:f>IF(OR(I1189="Mastered",K1189=""),"",K1189+IF(J1189&gt;=5,30,IF(J1189=4,14,IF(J1189=3,7,IF(J1189=2,3,1)))))</x:f>
      </x:c>
      <x:c r="M1189" s="171" t="str"/>
      <x:c r="N1189" s="171" t="str"/>
      <x:c r="O1189" s="171" t="str">
        <x:v>Draft — verify in context</x:v>
      </x:c>
      <x:c r="P1189" s="167" t="str">
        <x:v>https://www.oxfordlearnersdictionaries.com/wordlists/oxford3000-5000</x:v>
      </x:c>
    </x:row>
    <x:row r="1190" ht="26" customHeight="1">
      <x:c r="A1190" s="167" t="n">
        <x:v>1189</x:v>
      </x:c>
      <x:c r="B1190" s="167" t="str">
        <x:v>terminate</x:v>
      </x:c>
      <x:c r="C1190" s="167" t="str">
        <x:v>v.</x:v>
      </x:c>
      <x:c r="D1190" s="170" t="str">
        <x:v>припинити</x:v>
      </x:c>
      <x:c r="E1190" s="167" t="str">
        <x:v>No</x:v>
      </x:c>
      <x:c r="F1190" s="167"/>
      <x:c r="G1190" s="167" t="str">
        <x:v>Core</x:v>
      </x:c>
      <x:c r="H1190" s="167" t="str">
        <x:v>General</x:v>
      </x:c>
      <x:c r="I1190" s="167" t="str">
        <x:v>Not Started</x:v>
      </x:c>
      <x:c r="J1190" s="167" t="n">
        <x:v>0</x:v>
      </x:c>
      <x:c r="K1190" s="168"/>
      <x:c r="L1190" s="168" t="str">
        <x:f>IF(OR(I1190="Mastered",K1190=""),"",K1190+IF(J1190&gt;=5,30,IF(J1190=4,14,IF(J1190=3,7,IF(J1190=2,3,1)))))</x:f>
      </x:c>
      <x:c r="M1190" s="171" t="str"/>
      <x:c r="N1190" s="171" t="str"/>
      <x:c r="O1190" s="171" t="str">
        <x:v>Draft — verify in context</x:v>
      </x:c>
      <x:c r="P1190" s="167" t="str">
        <x:v>https://www.oxfordlearnersdictionaries.com/wordlists/oxford3000-5000</x:v>
      </x:c>
    </x:row>
    <x:row r="1191" ht="26" customHeight="1">
      <x:c r="A1191" s="167" t="n">
        <x:v>1190</x:v>
      </x:c>
      <x:c r="B1191" s="167" t="str">
        <x:v>terrain</x:v>
      </x:c>
      <x:c r="C1191" s="167" t="str">
        <x:v>n.</x:v>
      </x:c>
      <x:c r="D1191" s="170" t="str">
        <x:v>місцевість; рельєф</x:v>
      </x:c>
      <x:c r="E1191" s="167" t="str">
        <x:v>No</x:v>
      </x:c>
      <x:c r="F1191" s="167"/>
      <x:c r="G1191" s="167" t="str">
        <x:v>Core</x:v>
      </x:c>
      <x:c r="H1191" s="167" t="str">
        <x:v>General</x:v>
      </x:c>
      <x:c r="I1191" s="167" t="str">
        <x:v>Not Started</x:v>
      </x:c>
      <x:c r="J1191" s="167" t="n">
        <x:v>0</x:v>
      </x:c>
      <x:c r="K1191" s="168"/>
      <x:c r="L1191" s="168" t="str">
        <x:f>IF(OR(I1191="Mastered",K1191=""),"",K1191+IF(J1191&gt;=5,30,IF(J1191=4,14,IF(J1191=3,7,IF(J1191=2,3,1)))))</x:f>
      </x:c>
      <x:c r="M1191" s="171" t="str"/>
      <x:c r="N1191" s="171" t="str"/>
      <x:c r="O1191" s="171" t="str">
        <x:v>Draft — verify in context</x:v>
      </x:c>
      <x:c r="P1191" s="167" t="str">
        <x:v>https://www.oxfordlearnersdictionaries.com/wordlists/oxford3000-5000</x:v>
      </x:c>
    </x:row>
    <x:row r="1192" ht="26" customHeight="1">
      <x:c r="A1192" s="167" t="n">
        <x:v>1191</x:v>
      </x:c>
      <x:c r="B1192" s="167" t="str">
        <x:v>terrific</x:v>
      </x:c>
      <x:c r="C1192" s="167" t="str">
        <x:v>adj.</x:v>
      </x:c>
      <x:c r="D1192" s="170" t="str">
        <x:v>чудовий</x:v>
      </x:c>
      <x:c r="E1192" s="167" t="str">
        <x:v>No</x:v>
      </x:c>
      <x:c r="F1192" s="167"/>
      <x:c r="G1192" s="167" t="str">
        <x:v>Core</x:v>
      </x:c>
      <x:c r="H1192" s="167" t="str">
        <x:v>General</x:v>
      </x:c>
      <x:c r="I1192" s="167" t="str">
        <x:v>Not Started</x:v>
      </x:c>
      <x:c r="J1192" s="167" t="n">
        <x:v>0</x:v>
      </x:c>
      <x:c r="K1192" s="168"/>
      <x:c r="L1192" s="168" t="str">
        <x:f>IF(OR(I1192="Mastered",K1192=""),"",K1192+IF(J1192&gt;=5,30,IF(J1192=4,14,IF(J1192=3,7,IF(J1192=2,3,1)))))</x:f>
      </x:c>
      <x:c r="M1192" s="171" t="str"/>
      <x:c r="N1192" s="171" t="str"/>
      <x:c r="O1192" s="171" t="str">
        <x:v>Draft — verify in context</x:v>
      </x:c>
      <x:c r="P1192" s="167" t="str">
        <x:v>https://www.oxfordlearnersdictionaries.com/wordlists/oxford3000-5000</x:v>
      </x:c>
    </x:row>
    <x:row r="1193" ht="26" customHeight="1">
      <x:c r="A1193" s="167" t="n">
        <x:v>1192</x:v>
      </x:c>
      <x:c r="B1193" s="167" t="str">
        <x:v>testify</x:v>
      </x:c>
      <x:c r="C1193" s="167" t="str">
        <x:v>v.</x:v>
      </x:c>
      <x:c r="D1193" s="170" t="str">
        <x:v>свідчити</x:v>
      </x:c>
      <x:c r="E1193" s="167" t="str">
        <x:v>No</x:v>
      </x:c>
      <x:c r="F1193" s="167"/>
      <x:c r="G1193" s="167" t="str">
        <x:v>Core</x:v>
      </x:c>
      <x:c r="H1193" s="167" t="str">
        <x:v>General</x:v>
      </x:c>
      <x:c r="I1193" s="167" t="str">
        <x:v>Not Started</x:v>
      </x:c>
      <x:c r="J1193" s="167" t="n">
        <x:v>0</x:v>
      </x:c>
      <x:c r="K1193" s="168"/>
      <x:c r="L1193" s="168" t="str">
        <x:f>IF(OR(I1193="Mastered",K1193=""),"",K1193+IF(J1193&gt;=5,30,IF(J1193=4,14,IF(J1193=3,7,IF(J1193=2,3,1)))))</x:f>
      </x:c>
      <x:c r="M1193" s="171" t="str"/>
      <x:c r="N1193" s="171" t="str"/>
      <x:c r="O1193" s="171" t="str">
        <x:v>Draft — verify in context</x:v>
      </x:c>
      <x:c r="P1193" s="167" t="str">
        <x:v>https://www.oxfordlearnersdictionaries.com/wordlists/oxford3000-5000</x:v>
      </x:c>
    </x:row>
    <x:row r="1194" ht="26" customHeight="1">
      <x:c r="A1194" s="167" t="n">
        <x:v>1193</x:v>
      </x:c>
      <x:c r="B1194" s="167" t="str">
        <x:v>testimony</x:v>
      </x:c>
      <x:c r="C1194" s="167" t="str">
        <x:v>n.</x:v>
      </x:c>
      <x:c r="D1194" s="170" t="str">
        <x:v>свідчення</x:v>
      </x:c>
      <x:c r="E1194" s="167" t="str">
        <x:v>No</x:v>
      </x:c>
      <x:c r="F1194" s="167"/>
      <x:c r="G1194" s="167" t="str">
        <x:v>Core</x:v>
      </x:c>
      <x:c r="H1194" s="167" t="str">
        <x:v>General</x:v>
      </x:c>
      <x:c r="I1194" s="167" t="str">
        <x:v>Not Started</x:v>
      </x:c>
      <x:c r="J1194" s="167" t="n">
        <x:v>0</x:v>
      </x:c>
      <x:c r="K1194" s="168"/>
      <x:c r="L1194" s="168" t="str">
        <x:f>IF(OR(I1194="Mastered",K1194=""),"",K1194+IF(J1194&gt;=5,30,IF(J1194=4,14,IF(J1194=3,7,IF(J1194=2,3,1)))))</x:f>
      </x:c>
      <x:c r="M1194" s="171" t="str"/>
      <x:c r="N1194" s="171" t="str"/>
      <x:c r="O1194" s="171" t="str">
        <x:v>Draft — verify in context</x:v>
      </x:c>
      <x:c r="P1194" s="167" t="str">
        <x:v>https://www.oxfordlearnersdictionaries.com/wordlists/oxford3000-5000</x:v>
      </x:c>
    </x:row>
    <x:row r="1195" ht="26" customHeight="1">
      <x:c r="A1195" s="167" t="n">
        <x:v>1194</x:v>
      </x:c>
      <x:c r="B1195" s="167" t="str">
        <x:v>texture</x:v>
      </x:c>
      <x:c r="C1195" s="167" t="str">
        <x:v>n.</x:v>
      </x:c>
      <x:c r="D1195" s="170" t="str">
        <x:v>текстура</x:v>
      </x:c>
      <x:c r="E1195" s="167" t="str">
        <x:v>No</x:v>
      </x:c>
      <x:c r="F1195" s="167"/>
      <x:c r="G1195" s="167" t="str">
        <x:v>Core</x:v>
      </x:c>
      <x:c r="H1195" s="167" t="str">
        <x:v>General</x:v>
      </x:c>
      <x:c r="I1195" s="167" t="str">
        <x:v>Not Started</x:v>
      </x:c>
      <x:c r="J1195" s="167" t="n">
        <x:v>0</x:v>
      </x:c>
      <x:c r="K1195" s="168"/>
      <x:c r="L1195" s="168" t="str">
        <x:f>IF(OR(I1195="Mastered",K1195=""),"",K1195+IF(J1195&gt;=5,30,IF(J1195=4,14,IF(J1195=3,7,IF(J1195=2,3,1)))))</x:f>
      </x:c>
      <x:c r="M1195" s="171" t="str"/>
      <x:c r="N1195" s="171" t="str"/>
      <x:c r="O1195" s="171" t="str">
        <x:v>Draft — verify in context</x:v>
      </x:c>
      <x:c r="P1195" s="167" t="str">
        <x:v>https://www.oxfordlearnersdictionaries.com/wordlists/oxford3000-5000</x:v>
      </x:c>
    </x:row>
    <x:row r="1196" ht="26" customHeight="1">
      <x:c r="A1196" s="167" t="n">
        <x:v>1195</x:v>
      </x:c>
      <x:c r="B1196" s="167" t="str">
        <x:v>thankfully</x:v>
      </x:c>
      <x:c r="C1196" s="167" t="str">
        <x:v>adv.</x:v>
      </x:c>
      <x:c r="D1196" s="170" t="str">
        <x:v>на щастя</x:v>
      </x:c>
      <x:c r="E1196" s="167" t="str">
        <x:v>No</x:v>
      </x:c>
      <x:c r="F1196" s="167"/>
      <x:c r="G1196" s="167" t="str">
        <x:v>Core</x:v>
      </x:c>
      <x:c r="H1196" s="167" t="str">
        <x:v>General</x:v>
      </x:c>
      <x:c r="I1196" s="167" t="str">
        <x:v>Not Started</x:v>
      </x:c>
      <x:c r="J1196" s="167" t="n">
        <x:v>0</x:v>
      </x:c>
      <x:c r="K1196" s="168"/>
      <x:c r="L1196" s="168" t="str">
        <x:f>IF(OR(I1196="Mastered",K1196=""),"",K1196+IF(J1196&gt;=5,30,IF(J1196=4,14,IF(J1196=3,7,IF(J1196=2,3,1)))))</x:f>
      </x:c>
      <x:c r="M1196" s="171" t="str"/>
      <x:c r="N1196" s="171" t="str"/>
      <x:c r="O1196" s="171" t="str">
        <x:v>Draft — verify in context</x:v>
      </x:c>
      <x:c r="P1196" s="167" t="str">
        <x:v>https://www.oxfordlearnersdictionaries.com/wordlists/oxford3000-5000</x:v>
      </x:c>
    </x:row>
    <x:row r="1197" ht="26" customHeight="1">
      <x:c r="A1197" s="167" t="n">
        <x:v>1196</x:v>
      </x:c>
      <x:c r="B1197" s="167" t="str">
        <x:v>theatrical</x:v>
      </x:c>
      <x:c r="C1197" s="167" t="str">
        <x:v>adj.</x:v>
      </x:c>
      <x:c r="D1197" s="170" t="str">
        <x:v>театральний</x:v>
      </x:c>
      <x:c r="E1197" s="167" t="str">
        <x:v>No</x:v>
      </x:c>
      <x:c r="F1197" s="167"/>
      <x:c r="G1197" s="167" t="str">
        <x:v>Core</x:v>
      </x:c>
      <x:c r="H1197" s="167" t="str">
        <x:v>General</x:v>
      </x:c>
      <x:c r="I1197" s="167" t="str">
        <x:v>Not Started</x:v>
      </x:c>
      <x:c r="J1197" s="167" t="n">
        <x:v>0</x:v>
      </x:c>
      <x:c r="K1197" s="168"/>
      <x:c r="L1197" s="168" t="str">
        <x:f>IF(OR(I1197="Mastered",K1197=""),"",K1197+IF(J1197&gt;=5,30,IF(J1197=4,14,IF(J1197=3,7,IF(J1197=2,3,1)))))</x:f>
      </x:c>
      <x:c r="M1197" s="171" t="str"/>
      <x:c r="N1197" s="171" t="str"/>
      <x:c r="O1197" s="171" t="str">
        <x:v>Draft — verify in context</x:v>
      </x:c>
      <x:c r="P1197" s="167" t="str">
        <x:v>https://www.oxfordlearnersdictionaries.com/wordlists/oxford3000-5000</x:v>
      </x:c>
    </x:row>
    <x:row r="1198" ht="26" customHeight="1">
      <x:c r="A1198" s="167" t="n">
        <x:v>1197</x:v>
      </x:c>
      <x:c r="B1198" s="167" t="str">
        <x:v>theology</x:v>
      </x:c>
      <x:c r="C1198" s="167" t="str">
        <x:v>n.</x:v>
      </x:c>
      <x:c r="D1198" s="170" t="str">
        <x:v>теологія</x:v>
      </x:c>
      <x:c r="E1198" s="167" t="str">
        <x:v>No</x:v>
      </x:c>
      <x:c r="F1198" s="167"/>
      <x:c r="G1198" s="167" t="str">
        <x:v>Core</x:v>
      </x:c>
      <x:c r="H1198" s="167" t="str">
        <x:v>General</x:v>
      </x:c>
      <x:c r="I1198" s="167" t="str">
        <x:v>Not Started</x:v>
      </x:c>
      <x:c r="J1198" s="167" t="n">
        <x:v>0</x:v>
      </x:c>
      <x:c r="K1198" s="168"/>
      <x:c r="L1198" s="168" t="str">
        <x:f>IF(OR(I1198="Mastered",K1198=""),"",K1198+IF(J1198&gt;=5,30,IF(J1198=4,14,IF(J1198=3,7,IF(J1198=2,3,1)))))</x:f>
      </x:c>
      <x:c r="M1198" s="171" t="str"/>
      <x:c r="N1198" s="171" t="str"/>
      <x:c r="O1198" s="171" t="str">
        <x:v>Draft — verify in context</x:v>
      </x:c>
      <x:c r="P1198" s="167" t="str">
        <x:v>https://www.oxfordlearnersdictionaries.com/wordlists/oxford3000-5000</x:v>
      </x:c>
    </x:row>
    <x:row r="1199" ht="26" customHeight="1">
      <x:c r="A1199" s="167" t="n">
        <x:v>1198</x:v>
      </x:c>
      <x:c r="B1199" s="167" t="str">
        <x:v>theoretical</x:v>
      </x:c>
      <x:c r="C1199" s="167" t="str">
        <x:v>adj.</x:v>
      </x:c>
      <x:c r="D1199" s="170" t="str">
        <x:v>теоретичний</x:v>
      </x:c>
      <x:c r="E1199" s="167" t="str">
        <x:v>No</x:v>
      </x:c>
      <x:c r="F1199" s="167"/>
      <x:c r="G1199" s="167" t="str">
        <x:v>Core</x:v>
      </x:c>
      <x:c r="H1199" s="167" t="str">
        <x:v>General</x:v>
      </x:c>
      <x:c r="I1199" s="167" t="str">
        <x:v>Not Started</x:v>
      </x:c>
      <x:c r="J1199" s="167" t="n">
        <x:v>0</x:v>
      </x:c>
      <x:c r="K1199" s="168"/>
      <x:c r="L1199" s="168" t="str">
        <x:f>IF(OR(I1199="Mastered",K1199=""),"",K1199+IF(J1199&gt;=5,30,IF(J1199=4,14,IF(J1199=3,7,IF(J1199=2,3,1)))))</x:f>
      </x:c>
      <x:c r="M1199" s="171" t="str"/>
      <x:c r="N1199" s="171" t="str"/>
      <x:c r="O1199" s="171" t="str">
        <x:v>Draft — verify in context</x:v>
      </x:c>
      <x:c r="P1199" s="167" t="str">
        <x:v>https://www.oxfordlearnersdictionaries.com/wordlists/oxford3000-5000</x:v>
      </x:c>
    </x:row>
    <x:row r="1200" ht="26" customHeight="1">
      <x:c r="A1200" s="167" t="n">
        <x:v>1199</x:v>
      </x:c>
      <x:c r="B1200" s="167" t="str">
        <x:v>thereafter</x:v>
      </x:c>
      <x:c r="C1200" s="167" t="str">
        <x:v>adv.</x:v>
      </x:c>
      <x:c r="D1200" s="170" t="str">
        <x:v>потім</x:v>
      </x:c>
      <x:c r="E1200" s="167" t="str">
        <x:v>No</x:v>
      </x:c>
      <x:c r="F1200" s="167"/>
      <x:c r="G1200" s="167" t="str">
        <x:v>Core</x:v>
      </x:c>
      <x:c r="H1200" s="167" t="str">
        <x:v>General</x:v>
      </x:c>
      <x:c r="I1200" s="167" t="str">
        <x:v>Not Started</x:v>
      </x:c>
      <x:c r="J1200" s="167" t="n">
        <x:v>0</x:v>
      </x:c>
      <x:c r="K1200" s="168"/>
      <x:c r="L1200" s="168" t="str">
        <x:f>IF(OR(I1200="Mastered",K1200=""),"",K1200+IF(J1200&gt;=5,30,IF(J1200=4,14,IF(J1200=3,7,IF(J1200=2,3,1)))))</x:f>
      </x:c>
      <x:c r="M1200" s="171" t="str"/>
      <x:c r="N1200" s="171" t="str"/>
      <x:c r="O1200" s="171" t="str">
        <x:v>Draft — verify in context</x:v>
      </x:c>
      <x:c r="P1200" s="167" t="str">
        <x:v>https://www.oxfordlearnersdictionaries.com/wordlists/oxford3000-5000</x:v>
      </x:c>
    </x:row>
    <x:row r="1201" ht="26" customHeight="1">
      <x:c r="A1201" s="167" t="n">
        <x:v>1200</x:v>
      </x:c>
      <x:c r="B1201" s="167" t="str">
        <x:v>thereby</x:v>
      </x:c>
      <x:c r="C1201" s="167" t="str">
        <x:v>adv.</x:v>
      </x:c>
      <x:c r="D1201" s="170" t="str">
        <x:v>тим самим</x:v>
      </x:c>
      <x:c r="E1201" s="167" t="str">
        <x:v>Yes</x:v>
      </x:c>
      <x:c r="F1201" s="167" t="n">
        <x:v>8</x:v>
      </x:c>
      <x:c r="G1201" s="167" t="str">
        <x:v>High</x:v>
      </x:c>
      <x:c r="H1201" s="167" t="str">
        <x:v>General</x:v>
      </x:c>
      <x:c r="I1201" s="167" t="str">
        <x:v>Not Started</x:v>
      </x:c>
      <x:c r="J1201" s="167" t="n">
        <x:v>0</x:v>
      </x:c>
      <x:c r="K1201" s="168"/>
      <x:c r="L1201" s="168" t="str">
        <x:f>IF(OR(I1201="Mastered",K1201=""),"",K1201+IF(J1201&gt;=5,30,IF(J1201=4,14,IF(J1201=3,7,IF(J1201=2,3,1)))))</x:f>
      </x:c>
      <x:c r="M1201" s="171" t="str"/>
      <x:c r="N1201" s="171" t="str"/>
      <x:c r="O1201" s="171" t="str">
        <x:v>Draft — verify in context</x:v>
      </x:c>
      <x:c r="P1201" s="167" t="str">
        <x:v>https://www.oxfordlearnersdictionaries.com/wordlists/oxford3000-5000</x:v>
      </x:c>
    </x:row>
    <x:row r="1202" ht="26" customHeight="1">
      <x:c r="A1202" s="167" t="n">
        <x:v>1201</x:v>
      </x:c>
      <x:c r="B1202" s="167" t="str">
        <x:v>thoughtful</x:v>
      </x:c>
      <x:c r="C1202" s="167" t="str">
        <x:v>adj.</x:v>
      </x:c>
      <x:c r="D1202" s="170" t="str">
        <x:v>вдумливий</x:v>
      </x:c>
      <x:c r="E1202" s="167" t="str">
        <x:v>No</x:v>
      </x:c>
      <x:c r="F1202" s="167"/>
      <x:c r="G1202" s="167" t="str">
        <x:v>Core</x:v>
      </x:c>
      <x:c r="H1202" s="167" t="str">
        <x:v>General</x:v>
      </x:c>
      <x:c r="I1202" s="167" t="str">
        <x:v>Not Started</x:v>
      </x:c>
      <x:c r="J1202" s="167" t="n">
        <x:v>0</x:v>
      </x:c>
      <x:c r="K1202" s="168"/>
      <x:c r="L1202" s="168" t="str">
        <x:f>IF(OR(I1202="Mastered",K1202=""),"",K1202+IF(J1202&gt;=5,30,IF(J1202=4,14,IF(J1202=3,7,IF(J1202=2,3,1)))))</x:f>
      </x:c>
      <x:c r="M1202" s="171" t="str"/>
      <x:c r="N1202" s="171" t="str"/>
      <x:c r="O1202" s="171" t="str">
        <x:v>Draft — verify in context</x:v>
      </x:c>
      <x:c r="P1202" s="167" t="str">
        <x:v>https://www.oxfordlearnersdictionaries.com/wordlists/oxford3000-5000</x:v>
      </x:c>
    </x:row>
    <x:row r="1203" ht="26" customHeight="1">
      <x:c r="A1203" s="167" t="n">
        <x:v>1202</x:v>
      </x:c>
      <x:c r="B1203" s="167" t="str">
        <x:v>thought-provoking</x:v>
      </x:c>
      <x:c r="C1203" s="167" t="str">
        <x:v>adj.</x:v>
      </x:c>
      <x:c r="D1203" s="170" t="str">
        <x:v>що спонукає до роздумів</x:v>
      </x:c>
      <x:c r="E1203" s="167" t="str">
        <x:v>No</x:v>
      </x:c>
      <x:c r="F1203" s="167"/>
      <x:c r="G1203" s="167" t="str">
        <x:v>Core</x:v>
      </x:c>
      <x:c r="H1203" s="167" t="str">
        <x:v>General</x:v>
      </x:c>
      <x:c r="I1203" s="167" t="str">
        <x:v>Not Started</x:v>
      </x:c>
      <x:c r="J1203" s="167" t="n">
        <x:v>0</x:v>
      </x:c>
      <x:c r="K1203" s="168"/>
      <x:c r="L1203" s="168" t="str">
        <x:f>IF(OR(I1203="Mastered",K1203=""),"",K1203+IF(J1203&gt;=5,30,IF(J1203=4,14,IF(J1203=3,7,IF(J1203=2,3,1)))))</x:f>
      </x:c>
      <x:c r="M1203" s="171" t="str"/>
      <x:c r="N1203" s="171" t="str"/>
      <x:c r="O1203" s="171" t="str">
        <x:v>Draft — verify in context</x:v>
      </x:c>
      <x:c r="P1203" s="167" t="str">
        <x:v>https://www.oxfordlearnersdictionaries.com/wordlists/oxford3000-5000</x:v>
      </x:c>
    </x:row>
    <x:row r="1204" ht="26" customHeight="1">
      <x:c r="A1204" s="167" t="n">
        <x:v>1203</x:v>
      </x:c>
      <x:c r="B1204" s="167" t="str">
        <x:v>thread</x:v>
      </x:c>
      <x:c r="C1204" s="167" t="str">
        <x:v>n.</x:v>
      </x:c>
      <x:c r="D1204" s="170" t="str">
        <x:v>нитка</x:v>
      </x:c>
      <x:c r="E1204" s="167" t="str">
        <x:v>No</x:v>
      </x:c>
      <x:c r="F1204" s="167"/>
      <x:c r="G1204" s="167" t="str">
        <x:v>Core</x:v>
      </x:c>
      <x:c r="H1204" s="167" t="str">
        <x:v>General</x:v>
      </x:c>
      <x:c r="I1204" s="167" t="str">
        <x:v>Not Started</x:v>
      </x:c>
      <x:c r="J1204" s="167" t="n">
        <x:v>0</x:v>
      </x:c>
      <x:c r="K1204" s="168"/>
      <x:c r="L1204" s="168" t="str">
        <x:f>IF(OR(I1204="Mastered",K1204=""),"",K1204+IF(J1204&gt;=5,30,IF(J1204=4,14,IF(J1204=3,7,IF(J1204=2,3,1)))))</x:f>
      </x:c>
      <x:c r="M1204" s="171" t="str"/>
      <x:c r="N1204" s="171" t="str"/>
      <x:c r="O1204" s="171" t="str">
        <x:v>Draft — verify in context</x:v>
      </x:c>
      <x:c r="P1204" s="167" t="str">
        <x:v>https://www.oxfordlearnersdictionaries.com/wordlists/oxford3000-5000</x:v>
      </x:c>
    </x:row>
    <x:row r="1205" ht="26" customHeight="1">
      <x:c r="A1205" s="167" t="n">
        <x:v>1204</x:v>
      </x:c>
      <x:c r="B1205" s="167" t="str">
        <x:v>threshold</x:v>
      </x:c>
      <x:c r="C1205" s="167" t="str">
        <x:v>n.</x:v>
      </x:c>
      <x:c r="D1205" s="170" t="str">
        <x:v>поріг</x:v>
      </x:c>
      <x:c r="E1205" s="167" t="str">
        <x:v>No</x:v>
      </x:c>
      <x:c r="F1205" s="167"/>
      <x:c r="G1205" s="167" t="str">
        <x:v>Core</x:v>
      </x:c>
      <x:c r="H1205" s="167" t="str">
        <x:v>General</x:v>
      </x:c>
      <x:c r="I1205" s="167" t="str">
        <x:v>Not Started</x:v>
      </x:c>
      <x:c r="J1205" s="167" t="n">
        <x:v>0</x:v>
      </x:c>
      <x:c r="K1205" s="168"/>
      <x:c r="L1205" s="168" t="str">
        <x:f>IF(OR(I1205="Mastered",K1205=""),"",K1205+IF(J1205&gt;=5,30,IF(J1205=4,14,IF(J1205=3,7,IF(J1205=2,3,1)))))</x:f>
      </x:c>
      <x:c r="M1205" s="171" t="str"/>
      <x:c r="N1205" s="171" t="str"/>
      <x:c r="O1205" s="171" t="str">
        <x:v>Draft — verify in context</x:v>
      </x:c>
      <x:c r="P1205" s="167" t="str">
        <x:v>https://www.oxfordlearnersdictionaries.com/wordlists/oxford3000-5000</x:v>
      </x:c>
    </x:row>
    <x:row r="1206" ht="26" customHeight="1">
      <x:c r="A1206" s="167" t="n">
        <x:v>1205</x:v>
      </x:c>
      <x:c r="B1206" s="167" t="str">
        <x:v>thrilled</x:v>
      </x:c>
      <x:c r="C1206" s="167" t="str">
        <x:v>adj.</x:v>
      </x:c>
      <x:c r="D1206" s="170" t="str">
        <x:v>схвильований</x:v>
      </x:c>
      <x:c r="E1206" s="167" t="str">
        <x:v>No</x:v>
      </x:c>
      <x:c r="F1206" s="167"/>
      <x:c r="G1206" s="167" t="str">
        <x:v>Core</x:v>
      </x:c>
      <x:c r="H1206" s="167" t="str">
        <x:v>General</x:v>
      </x:c>
      <x:c r="I1206" s="167" t="str">
        <x:v>Not Started</x:v>
      </x:c>
      <x:c r="J1206" s="167" t="n">
        <x:v>0</x:v>
      </x:c>
      <x:c r="K1206" s="168"/>
      <x:c r="L1206" s="168" t="str">
        <x:f>IF(OR(I1206="Mastered",K1206=""),"",K1206+IF(J1206&gt;=5,30,IF(J1206=4,14,IF(J1206=3,7,IF(J1206=2,3,1)))))</x:f>
      </x:c>
      <x:c r="M1206" s="171" t="str"/>
      <x:c r="N1206" s="171" t="str"/>
      <x:c r="O1206" s="171" t="str">
        <x:v>Draft — verify in context</x:v>
      </x:c>
      <x:c r="P1206" s="167" t="str">
        <x:v>https://www.oxfordlearnersdictionaries.com/wordlists/oxford3000-5000</x:v>
      </x:c>
    </x:row>
    <x:row r="1207" ht="26" customHeight="1">
      <x:c r="A1207" s="167" t="n">
        <x:v>1206</x:v>
      </x:c>
      <x:c r="B1207" s="167" t="str">
        <x:v>thrive</x:v>
      </x:c>
      <x:c r="C1207" s="167" t="str">
        <x:v>v.</x:v>
      </x:c>
      <x:c r="D1207" s="170" t="str">
        <x:v>процвітати</x:v>
      </x:c>
      <x:c r="E1207" s="167" t="str">
        <x:v>No</x:v>
      </x:c>
      <x:c r="F1207" s="167"/>
      <x:c r="G1207" s="167" t="str">
        <x:v>Core</x:v>
      </x:c>
      <x:c r="H1207" s="167" t="str">
        <x:v>General</x:v>
      </x:c>
      <x:c r="I1207" s="167" t="str">
        <x:v>Not Started</x:v>
      </x:c>
      <x:c r="J1207" s="167" t="n">
        <x:v>0</x:v>
      </x:c>
      <x:c r="K1207" s="168"/>
      <x:c r="L1207" s="168" t="str">
        <x:f>IF(OR(I1207="Mastered",K1207=""),"",K1207+IF(J1207&gt;=5,30,IF(J1207=4,14,IF(J1207=3,7,IF(J1207=2,3,1)))))</x:f>
      </x:c>
      <x:c r="M1207" s="171" t="str"/>
      <x:c r="N1207" s="171" t="str"/>
      <x:c r="O1207" s="171" t="str">
        <x:v>Draft — verify in context</x:v>
      </x:c>
      <x:c r="P1207" s="167" t="str">
        <x:v>https://www.oxfordlearnersdictionaries.com/wordlists/oxford3000-5000</x:v>
      </x:c>
    </x:row>
    <x:row r="1208" ht="26" customHeight="1">
      <x:c r="A1208" s="167" t="n">
        <x:v>1207</x:v>
      </x:c>
      <x:c r="B1208" s="167" t="str">
        <x:v>tide</x:v>
      </x:c>
      <x:c r="C1208" s="167" t="str">
        <x:v>n.</x:v>
      </x:c>
      <x:c r="D1208" s="170" t="str">
        <x:v>приплив</x:v>
      </x:c>
      <x:c r="E1208" s="167" t="str">
        <x:v>No</x:v>
      </x:c>
      <x:c r="F1208" s="167"/>
      <x:c r="G1208" s="167" t="str">
        <x:v>Core</x:v>
      </x:c>
      <x:c r="H1208" s="167" t="str">
        <x:v>General</x:v>
      </x:c>
      <x:c r="I1208" s="167" t="str">
        <x:v>Not Started</x:v>
      </x:c>
      <x:c r="J1208" s="167" t="n">
        <x:v>0</x:v>
      </x:c>
      <x:c r="K1208" s="168"/>
      <x:c r="L1208" s="168" t="str">
        <x:f>IF(OR(I1208="Mastered",K1208=""),"",K1208+IF(J1208&gt;=5,30,IF(J1208=4,14,IF(J1208=3,7,IF(J1208=2,3,1)))))</x:f>
      </x:c>
      <x:c r="M1208" s="171" t="str"/>
      <x:c r="N1208" s="171" t="str"/>
      <x:c r="O1208" s="171" t="str">
        <x:v>Draft — verify in context</x:v>
      </x:c>
      <x:c r="P1208" s="167" t="str">
        <x:v>https://www.oxfordlearnersdictionaries.com/wordlists/oxford3000-5000</x:v>
      </x:c>
    </x:row>
    <x:row r="1209" ht="26" customHeight="1">
      <x:c r="A1209" s="167" t="n">
        <x:v>1208</x:v>
      </x:c>
      <x:c r="B1209" s="167" t="str">
        <x:v>tighten</x:v>
      </x:c>
      <x:c r="C1209" s="167" t="str">
        <x:v>v.</x:v>
      </x:c>
      <x:c r="D1209" s="170" t="str">
        <x:v>затягувати</x:v>
      </x:c>
      <x:c r="E1209" s="167" t="str">
        <x:v>No</x:v>
      </x:c>
      <x:c r="F1209" s="167"/>
      <x:c r="G1209" s="167" t="str">
        <x:v>Core</x:v>
      </x:c>
      <x:c r="H1209" s="167" t="str">
        <x:v>General</x:v>
      </x:c>
      <x:c r="I1209" s="167" t="str">
        <x:v>Not Started</x:v>
      </x:c>
      <x:c r="J1209" s="167" t="n">
        <x:v>0</x:v>
      </x:c>
      <x:c r="K1209" s="168"/>
      <x:c r="L1209" s="168" t="str">
        <x:f>IF(OR(I1209="Mastered",K1209=""),"",K1209+IF(J1209&gt;=5,30,IF(J1209=4,14,IF(J1209=3,7,IF(J1209=2,3,1)))))</x:f>
      </x:c>
      <x:c r="M1209" s="171" t="str"/>
      <x:c r="N1209" s="171" t="str"/>
      <x:c r="O1209" s="171" t="str">
        <x:v>Draft — verify in context</x:v>
      </x:c>
      <x:c r="P1209" s="167" t="str">
        <x:v>https://www.oxfordlearnersdictionaries.com/wordlists/oxford3000-5000</x:v>
      </x:c>
    </x:row>
    <x:row r="1210" ht="26" customHeight="1">
      <x:c r="A1210" s="167" t="n">
        <x:v>1209</x:v>
      </x:c>
      <x:c r="B1210" s="167" t="str">
        <x:v>timber</x:v>
      </x:c>
      <x:c r="C1210" s="167" t="str">
        <x:v>n.</x:v>
      </x:c>
      <x:c r="D1210" s="170" t="str">
        <x:v>деревина</x:v>
      </x:c>
      <x:c r="E1210" s="167" t="str">
        <x:v>No</x:v>
      </x:c>
      <x:c r="F1210" s="167"/>
      <x:c r="G1210" s="167" t="str">
        <x:v>Core</x:v>
      </x:c>
      <x:c r="H1210" s="167" t="str">
        <x:v>General</x:v>
      </x:c>
      <x:c r="I1210" s="167" t="str">
        <x:v>Not Started</x:v>
      </x:c>
      <x:c r="J1210" s="167" t="n">
        <x:v>0</x:v>
      </x:c>
      <x:c r="K1210" s="168"/>
      <x:c r="L1210" s="168" t="str">
        <x:f>IF(OR(I1210="Mastered",K1210=""),"",K1210+IF(J1210&gt;=5,30,IF(J1210=4,14,IF(J1210=3,7,IF(J1210=2,3,1)))))</x:f>
      </x:c>
      <x:c r="M1210" s="171" t="str"/>
      <x:c r="N1210" s="171" t="str"/>
      <x:c r="O1210" s="171" t="str">
        <x:v>Draft — verify in context</x:v>
      </x:c>
      <x:c r="P1210" s="167" t="str">
        <x:v>https://www.oxfordlearnersdictionaries.com/wordlists/oxford3000-5000</x:v>
      </x:c>
    </x:row>
    <x:row r="1211" ht="26" customHeight="1">
      <x:c r="A1211" s="167" t="n">
        <x:v>1210</x:v>
      </x:c>
      <x:c r="B1211" s="167" t="str">
        <x:v>timely</x:v>
      </x:c>
      <x:c r="C1211" s="167" t="str">
        <x:v>adj.</x:v>
      </x:c>
      <x:c r="D1211" s="170" t="str">
        <x:v>вчасно</x:v>
      </x:c>
      <x:c r="E1211" s="167" t="str">
        <x:v>No</x:v>
      </x:c>
      <x:c r="F1211" s="167"/>
      <x:c r="G1211" s="167" t="str">
        <x:v>Core</x:v>
      </x:c>
      <x:c r="H1211" s="167" t="str">
        <x:v>General</x:v>
      </x:c>
      <x:c r="I1211" s="167" t="str">
        <x:v>Not Started</x:v>
      </x:c>
      <x:c r="J1211" s="167" t="n">
        <x:v>0</x:v>
      </x:c>
      <x:c r="K1211" s="168"/>
      <x:c r="L1211" s="168" t="str">
        <x:f>IF(OR(I1211="Mastered",K1211=""),"",K1211+IF(J1211&gt;=5,30,IF(J1211=4,14,IF(J1211=3,7,IF(J1211=2,3,1)))))</x:f>
      </x:c>
      <x:c r="M1211" s="171" t="str"/>
      <x:c r="N1211" s="171" t="str"/>
      <x:c r="O1211" s="171" t="str">
        <x:v>Draft — verify in context</x:v>
      </x:c>
      <x:c r="P1211" s="167" t="str">
        <x:v>https://www.oxfordlearnersdictionaries.com/wordlists/oxford3000-5000</x:v>
      </x:c>
    </x:row>
    <x:row r="1212" ht="26" customHeight="1">
      <x:c r="A1212" s="167" t="n">
        <x:v>1211</x:v>
      </x:c>
      <x:c r="B1212" s="167" t="str">
        <x:v>tobacco</x:v>
      </x:c>
      <x:c r="C1212" s="167" t="str">
        <x:v>n.</x:v>
      </x:c>
      <x:c r="D1212" s="170" t="str">
        <x:v>тютюн</x:v>
      </x:c>
      <x:c r="E1212" s="167" t="str">
        <x:v>No</x:v>
      </x:c>
      <x:c r="F1212" s="167"/>
      <x:c r="G1212" s="167" t="str">
        <x:v>Core</x:v>
      </x:c>
      <x:c r="H1212" s="167" t="str">
        <x:v>General</x:v>
      </x:c>
      <x:c r="I1212" s="167" t="str">
        <x:v>Not Started</x:v>
      </x:c>
      <x:c r="J1212" s="167" t="n">
        <x:v>0</x:v>
      </x:c>
      <x:c r="K1212" s="168"/>
      <x:c r="L1212" s="168" t="str">
        <x:f>IF(OR(I1212="Mastered",K1212=""),"",K1212+IF(J1212&gt;=5,30,IF(J1212=4,14,IF(J1212=3,7,IF(J1212=2,3,1)))))</x:f>
      </x:c>
      <x:c r="M1212" s="171" t="str"/>
      <x:c r="N1212" s="171" t="str"/>
      <x:c r="O1212" s="171" t="str">
        <x:v>Draft — verify in context</x:v>
      </x:c>
      <x:c r="P1212" s="167" t="str">
        <x:v>https://www.oxfordlearnersdictionaries.com/wordlists/oxford3000-5000</x:v>
      </x:c>
    </x:row>
    <x:row r="1213" ht="26" customHeight="1">
      <x:c r="A1213" s="167" t="n">
        <x:v>1212</x:v>
      </x:c>
      <x:c r="B1213" s="167" t="str">
        <x:v>tolerance</x:v>
      </x:c>
      <x:c r="C1213" s="167" t="str">
        <x:v>n.</x:v>
      </x:c>
      <x:c r="D1213" s="170" t="str">
        <x:v>толерантність</x:v>
      </x:c>
      <x:c r="E1213" s="167" t="str">
        <x:v>No</x:v>
      </x:c>
      <x:c r="F1213" s="167"/>
      <x:c r="G1213" s="167" t="str">
        <x:v>Core</x:v>
      </x:c>
      <x:c r="H1213" s="167" t="str">
        <x:v>General</x:v>
      </x:c>
      <x:c r="I1213" s="167" t="str">
        <x:v>Not Started</x:v>
      </x:c>
      <x:c r="J1213" s="167" t="n">
        <x:v>0</x:v>
      </x:c>
      <x:c r="K1213" s="168"/>
      <x:c r="L1213" s="168" t="str">
        <x:f>IF(OR(I1213="Mastered",K1213=""),"",K1213+IF(J1213&gt;=5,30,IF(J1213=4,14,IF(J1213=3,7,IF(J1213=2,3,1)))))</x:f>
      </x:c>
      <x:c r="M1213" s="171" t="str"/>
      <x:c r="N1213" s="171" t="str"/>
      <x:c r="O1213" s="171" t="str">
        <x:v>Draft — verify in context</x:v>
      </x:c>
      <x:c r="P1213" s="167" t="str">
        <x:v>https://www.oxfordlearnersdictionaries.com/wordlists/oxford3000-5000</x:v>
      </x:c>
    </x:row>
    <x:row r="1214" ht="26" customHeight="1">
      <x:c r="A1214" s="167" t="n">
        <x:v>1213</x:v>
      </x:c>
      <x:c r="B1214" s="167" t="str">
        <x:v>tolerate</x:v>
      </x:c>
      <x:c r="C1214" s="167" t="str">
        <x:v>v.</x:v>
      </x:c>
      <x:c r="D1214" s="170" t="str">
        <x:v>терпіти</x:v>
      </x:c>
      <x:c r="E1214" s="167" t="str">
        <x:v>No</x:v>
      </x:c>
      <x:c r="F1214" s="167"/>
      <x:c r="G1214" s="167" t="str">
        <x:v>Core</x:v>
      </x:c>
      <x:c r="H1214" s="167" t="str">
        <x:v>General</x:v>
      </x:c>
      <x:c r="I1214" s="167" t="str">
        <x:v>Not Started</x:v>
      </x:c>
      <x:c r="J1214" s="167" t="n">
        <x:v>0</x:v>
      </x:c>
      <x:c r="K1214" s="168"/>
      <x:c r="L1214" s="168" t="str">
        <x:f>IF(OR(I1214="Mastered",K1214=""),"",K1214+IF(J1214&gt;=5,30,IF(J1214=4,14,IF(J1214=3,7,IF(J1214=2,3,1)))))</x:f>
      </x:c>
      <x:c r="M1214" s="171" t="str"/>
      <x:c r="N1214" s="171" t="str"/>
      <x:c r="O1214" s="171" t="str">
        <x:v>Draft — verify in context</x:v>
      </x:c>
      <x:c r="P1214" s="167" t="str">
        <x:v>https://www.oxfordlearnersdictionaries.com/wordlists/oxford3000-5000</x:v>
      </x:c>
    </x:row>
    <x:row r="1215" ht="26" customHeight="1">
      <x:c r="A1215" s="167" t="n">
        <x:v>1214</x:v>
      </x:c>
      <x:c r="B1215" s="167" t="str">
        <x:v>toll</x:v>
      </x:c>
      <x:c r="C1215" s="167" t="str">
        <x:v>n.</x:v>
      </x:c>
      <x:c r="D1215" s="170" t="str">
        <x:v>мито</x:v>
      </x:c>
      <x:c r="E1215" s="167" t="str">
        <x:v>No</x:v>
      </x:c>
      <x:c r="F1215" s="167"/>
      <x:c r="G1215" s="167" t="str">
        <x:v>Core</x:v>
      </x:c>
      <x:c r="H1215" s="167" t="str">
        <x:v>General</x:v>
      </x:c>
      <x:c r="I1215" s="167" t="str">
        <x:v>Not Started</x:v>
      </x:c>
      <x:c r="J1215" s="167" t="n">
        <x:v>0</x:v>
      </x:c>
      <x:c r="K1215" s="168"/>
      <x:c r="L1215" s="168" t="str">
        <x:f>IF(OR(I1215="Mastered",K1215=""),"",K1215+IF(J1215&gt;=5,30,IF(J1215=4,14,IF(J1215=3,7,IF(J1215=2,3,1)))))</x:f>
      </x:c>
      <x:c r="M1215" s="171" t="str"/>
      <x:c r="N1215" s="171" t="str"/>
      <x:c r="O1215" s="171" t="str">
        <x:v>Draft — verify in context</x:v>
      </x:c>
      <x:c r="P1215" s="167" t="str">
        <x:v>https://www.oxfordlearnersdictionaries.com/wordlists/oxford3000-5000</x:v>
      </x:c>
    </x:row>
    <x:row r="1216" ht="26" customHeight="1">
      <x:c r="A1216" s="167" t="n">
        <x:v>1215</x:v>
      </x:c>
      <x:c r="B1216" s="167" t="str">
        <x:v>top</x:v>
      </x:c>
      <x:c r="C1216" s="167" t="str">
        <x:v>v.</x:v>
      </x:c>
      <x:c r="D1216" s="170" t="str">
        <x:v>верх</x:v>
      </x:c>
      <x:c r="E1216" s="167" t="str">
        <x:v>No</x:v>
      </x:c>
      <x:c r="F1216" s="167"/>
      <x:c r="G1216" s="167" t="str">
        <x:v>Core</x:v>
      </x:c>
      <x:c r="H1216" s="167" t="str">
        <x:v>General</x:v>
      </x:c>
      <x:c r="I1216" s="167" t="str">
        <x:v>Not Started</x:v>
      </x:c>
      <x:c r="J1216" s="167" t="n">
        <x:v>0</x:v>
      </x:c>
      <x:c r="K1216" s="168"/>
      <x:c r="L1216" s="168" t="str">
        <x:f>IF(OR(I1216="Mastered",K1216=""),"",K1216+IF(J1216&gt;=5,30,IF(J1216=4,14,IF(J1216=3,7,IF(J1216=2,3,1)))))</x:f>
      </x:c>
      <x:c r="M1216" s="171" t="str"/>
      <x:c r="N1216" s="171" t="str"/>
      <x:c r="O1216" s="171" t="str">
        <x:v>Draft — verify in context</x:v>
      </x:c>
      <x:c r="P1216" s="167" t="str">
        <x:v>https://www.oxfordlearnersdictionaries.com/wordlists/oxford3000-5000</x:v>
      </x:c>
    </x:row>
    <x:row r="1217" ht="26" customHeight="1">
      <x:c r="A1217" s="167" t="n">
        <x:v>1216</x:v>
      </x:c>
      <x:c r="B1217" s="167" t="str">
        <x:v>torture</x:v>
      </x:c>
      <x:c r="C1217" s="167" t="str">
        <x:v>n., v.</x:v>
      </x:c>
      <x:c r="D1217" s="170" t="str">
        <x:v>тортури</x:v>
      </x:c>
      <x:c r="E1217" s="167" t="str">
        <x:v>No</x:v>
      </x:c>
      <x:c r="F1217" s="167"/>
      <x:c r="G1217" s="167" t="str">
        <x:v>Core</x:v>
      </x:c>
      <x:c r="H1217" s="167" t="str">
        <x:v>General</x:v>
      </x:c>
      <x:c r="I1217" s="167" t="str">
        <x:v>Not Started</x:v>
      </x:c>
      <x:c r="J1217" s="167" t="n">
        <x:v>0</x:v>
      </x:c>
      <x:c r="K1217" s="168"/>
      <x:c r="L1217" s="168" t="str">
        <x:f>IF(OR(I1217="Mastered",K1217=""),"",K1217+IF(J1217&gt;=5,30,IF(J1217=4,14,IF(J1217=3,7,IF(J1217=2,3,1)))))</x:f>
      </x:c>
      <x:c r="M1217" s="171" t="str"/>
      <x:c r="N1217" s="171" t="str"/>
      <x:c r="O1217" s="171" t="str">
        <x:v>Draft — verify in context</x:v>
      </x:c>
      <x:c r="P1217" s="167" t="str">
        <x:v>https://www.oxfordlearnersdictionaries.com/wordlists/oxford3000-5000</x:v>
      </x:c>
    </x:row>
    <x:row r="1218" ht="26" customHeight="1">
      <x:c r="A1218" s="167" t="n">
        <x:v>1217</x:v>
      </x:c>
      <x:c r="B1218" s="167" t="str">
        <x:v>toss</x:v>
      </x:c>
      <x:c r="C1218" s="167" t="str">
        <x:v>v.</x:v>
      </x:c>
      <x:c r="D1218" s="170" t="str">
        <x:v>кинути</x:v>
      </x:c>
      <x:c r="E1218" s="167" t="str">
        <x:v>No</x:v>
      </x:c>
      <x:c r="F1218" s="167"/>
      <x:c r="G1218" s="167" t="str">
        <x:v>Core</x:v>
      </x:c>
      <x:c r="H1218" s="167" t="str">
        <x:v>General</x:v>
      </x:c>
      <x:c r="I1218" s="167" t="str">
        <x:v>Not Started</x:v>
      </x:c>
      <x:c r="J1218" s="167" t="n">
        <x:v>0</x:v>
      </x:c>
      <x:c r="K1218" s="168"/>
      <x:c r="L1218" s="168" t="str">
        <x:f>IF(OR(I1218="Mastered",K1218=""),"",K1218+IF(J1218&gt;=5,30,IF(J1218=4,14,IF(J1218=3,7,IF(J1218=2,3,1)))))</x:f>
      </x:c>
      <x:c r="M1218" s="171" t="str"/>
      <x:c r="N1218" s="171" t="str"/>
      <x:c r="O1218" s="171" t="str">
        <x:v>Draft — verify in context</x:v>
      </x:c>
      <x:c r="P1218" s="167" t="str">
        <x:v>https://www.oxfordlearnersdictionaries.com/wordlists/oxford3000-5000</x:v>
      </x:c>
    </x:row>
    <x:row r="1219" ht="26" customHeight="1">
      <x:c r="A1219" s="167" t="n">
        <x:v>1218</x:v>
      </x:c>
      <x:c r="B1219" s="167" t="str">
        <x:v>total</x:v>
      </x:c>
      <x:c r="C1219" s="167" t="str">
        <x:v>v.</x:v>
      </x:c>
      <x:c r="D1219" s="170" t="str">
        <x:v>всього</x:v>
      </x:c>
      <x:c r="E1219" s="167" t="str">
        <x:v>No</x:v>
      </x:c>
      <x:c r="F1219" s="167"/>
      <x:c r="G1219" s="167" t="str">
        <x:v>Core</x:v>
      </x:c>
      <x:c r="H1219" s="167" t="str">
        <x:v>General</x:v>
      </x:c>
      <x:c r="I1219" s="167" t="str">
        <x:v>Not Started</x:v>
      </x:c>
      <x:c r="J1219" s="167" t="n">
        <x:v>0</x:v>
      </x:c>
      <x:c r="K1219" s="168"/>
      <x:c r="L1219" s="168" t="str">
        <x:f>IF(OR(I1219="Mastered",K1219=""),"",K1219+IF(J1219&gt;=5,30,IF(J1219=4,14,IF(J1219=3,7,IF(J1219=2,3,1)))))</x:f>
      </x:c>
      <x:c r="M1219" s="171" t="str"/>
      <x:c r="N1219" s="171" t="str"/>
      <x:c r="O1219" s="171" t="str">
        <x:v>Draft — verify in context</x:v>
      </x:c>
      <x:c r="P1219" s="167" t="str">
        <x:v>https://www.oxfordlearnersdictionaries.com/wordlists/oxford3000-5000</x:v>
      </x:c>
    </x:row>
    <x:row r="1220" ht="26" customHeight="1">
      <x:c r="A1220" s="167" t="n">
        <x:v>1219</x:v>
      </x:c>
      <x:c r="B1220" s="167" t="str">
        <x:v>toxic</x:v>
      </x:c>
      <x:c r="C1220" s="167" t="str">
        <x:v>adj.</x:v>
      </x:c>
      <x:c r="D1220" s="170" t="str">
        <x:v>токсичний</x:v>
      </x:c>
      <x:c r="E1220" s="167" t="str">
        <x:v>No</x:v>
      </x:c>
      <x:c r="F1220" s="167"/>
      <x:c r="G1220" s="167" t="str">
        <x:v>High</x:v>
      </x:c>
      <x:c r="H1220" s="167" t="str">
        <x:v>Environment</x:v>
      </x:c>
      <x:c r="I1220" s="167" t="str">
        <x:v>Not Started</x:v>
      </x:c>
      <x:c r="J1220" s="167" t="n">
        <x:v>0</x:v>
      </x:c>
      <x:c r="K1220" s="168"/>
      <x:c r="L1220" s="168" t="str">
        <x:f>IF(OR(I1220="Mastered",K1220=""),"",K1220+IF(J1220&gt;=5,30,IF(J1220=4,14,IF(J1220=3,7,IF(J1220=2,3,1)))))</x:f>
      </x:c>
      <x:c r="M1220" s="171" t="str"/>
      <x:c r="N1220" s="171" t="str"/>
      <x:c r="O1220" s="171" t="str">
        <x:v>Draft — verify in context</x:v>
      </x:c>
      <x:c r="P1220" s="167" t="str">
        <x:v>https://www.oxfordlearnersdictionaries.com/wordlists/oxford3000-5000</x:v>
      </x:c>
    </x:row>
    <x:row r="1221" ht="26" customHeight="1">
      <x:c r="A1221" s="167" t="n">
        <x:v>1220</x:v>
      </x:c>
      <x:c r="B1221" s="167" t="str">
        <x:v>trace</x:v>
      </x:c>
      <x:c r="C1221" s="167" t="str">
        <x:v>n.</x:v>
      </x:c>
      <x:c r="D1221" s="170" t="str">
        <x:v>слід</x:v>
      </x:c>
      <x:c r="E1221" s="167" t="str">
        <x:v>Yes</x:v>
      </x:c>
      <x:c r="F1221" s="167" t="n">
        <x:v>6</x:v>
      </x:c>
      <x:c r="G1221" s="167" t="str">
        <x:v>High</x:v>
      </x:c>
      <x:c r="H1221" s="167" t="str">
        <x:v>General</x:v>
      </x:c>
      <x:c r="I1221" s="167" t="str">
        <x:v>Not Started</x:v>
      </x:c>
      <x:c r="J1221" s="167" t="n">
        <x:v>0</x:v>
      </x:c>
      <x:c r="K1221" s="168"/>
      <x:c r="L1221" s="168" t="str">
        <x:f>IF(OR(I1221="Mastered",K1221=""),"",K1221+IF(J1221&gt;=5,30,IF(J1221=4,14,IF(J1221=3,7,IF(J1221=2,3,1)))))</x:f>
      </x:c>
      <x:c r="M1221" s="171" t="str"/>
      <x:c r="N1221" s="171" t="str"/>
      <x:c r="O1221" s="171" t="str">
        <x:v>Draft — verify in context</x:v>
      </x:c>
      <x:c r="P1221" s="167" t="str">
        <x:v>https://www.oxfordlearnersdictionaries.com/wordlists/oxford3000-5000</x:v>
      </x:c>
    </x:row>
    <x:row r="1222" ht="26" customHeight="1">
      <x:c r="A1222" s="167" t="n">
        <x:v>1221</x:v>
      </x:c>
      <x:c r="B1222" s="167" t="str">
        <x:v>trademark</x:v>
      </x:c>
      <x:c r="C1222" s="167" t="str">
        <x:v>n.</x:v>
      </x:c>
      <x:c r="D1222" s="170" t="str">
        <x:v>товарний знак</x:v>
      </x:c>
      <x:c r="E1222" s="167" t="str">
        <x:v>No</x:v>
      </x:c>
      <x:c r="F1222" s="167"/>
      <x:c r="G1222" s="167" t="str">
        <x:v>Core</x:v>
      </x:c>
      <x:c r="H1222" s="167" t="str">
        <x:v>General</x:v>
      </x:c>
      <x:c r="I1222" s="167" t="str">
        <x:v>Not Started</x:v>
      </x:c>
      <x:c r="J1222" s="167" t="n">
        <x:v>0</x:v>
      </x:c>
      <x:c r="K1222" s="168"/>
      <x:c r="L1222" s="168" t="str">
        <x:f>IF(OR(I1222="Mastered",K1222=""),"",K1222+IF(J1222&gt;=5,30,IF(J1222=4,14,IF(J1222=3,7,IF(J1222=2,3,1)))))</x:f>
      </x:c>
      <x:c r="M1222" s="171" t="str"/>
      <x:c r="N1222" s="171" t="str"/>
      <x:c r="O1222" s="171" t="str">
        <x:v>Draft — verify in context</x:v>
      </x:c>
      <x:c r="P1222" s="167" t="str">
        <x:v>https://www.oxfordlearnersdictionaries.com/wordlists/oxford3000-5000</x:v>
      </x:c>
    </x:row>
    <x:row r="1223" ht="26" customHeight="1">
      <x:c r="A1223" s="167" t="n">
        <x:v>1222</x:v>
      </x:c>
      <x:c r="B1223" s="167" t="str">
        <x:v>trail</x:v>
      </x:c>
      <x:c r="C1223" s="167" t="str">
        <x:v>n., v.</x:v>
      </x:c>
      <x:c r="D1223" s="170" t="str">
        <x:v>стежка</x:v>
      </x:c>
      <x:c r="E1223" s="167" t="str">
        <x:v>No</x:v>
      </x:c>
      <x:c r="F1223" s="167"/>
      <x:c r="G1223" s="167" t="str">
        <x:v>Core</x:v>
      </x:c>
      <x:c r="H1223" s="167" t="str">
        <x:v>General</x:v>
      </x:c>
      <x:c r="I1223" s="167" t="str">
        <x:v>Not Started</x:v>
      </x:c>
      <x:c r="J1223" s="167" t="n">
        <x:v>0</x:v>
      </x:c>
      <x:c r="K1223" s="168"/>
      <x:c r="L1223" s="168" t="str">
        <x:f>IF(OR(I1223="Mastered",K1223=""),"",K1223+IF(J1223&gt;=5,30,IF(J1223=4,14,IF(J1223=3,7,IF(J1223=2,3,1)))))</x:f>
      </x:c>
      <x:c r="M1223" s="171" t="str"/>
      <x:c r="N1223" s="171" t="str"/>
      <x:c r="O1223" s="171" t="str">
        <x:v>Draft — verify in context</x:v>
      </x:c>
      <x:c r="P1223" s="167" t="str">
        <x:v>https://www.oxfordlearnersdictionaries.com/wordlists/oxford3000-5000</x:v>
      </x:c>
    </x:row>
    <x:row r="1224" ht="26" customHeight="1">
      <x:c r="A1224" s="167" t="n">
        <x:v>1223</x:v>
      </x:c>
      <x:c r="B1224" s="167" t="str">
        <x:v>trailer</x:v>
      </x:c>
      <x:c r="C1224" s="167" t="str">
        <x:v>n.</x:v>
      </x:c>
      <x:c r="D1224" s="170" t="str">
        <x:v>трейлер</x:v>
      </x:c>
      <x:c r="E1224" s="167" t="str">
        <x:v>No</x:v>
      </x:c>
      <x:c r="F1224" s="167"/>
      <x:c r="G1224" s="167" t="str">
        <x:v>Core</x:v>
      </x:c>
      <x:c r="H1224" s="167" t="str">
        <x:v>General</x:v>
      </x:c>
      <x:c r="I1224" s="167" t="str">
        <x:v>Not Started</x:v>
      </x:c>
      <x:c r="J1224" s="167" t="n">
        <x:v>0</x:v>
      </x:c>
      <x:c r="K1224" s="168"/>
      <x:c r="L1224" s="168" t="str">
        <x:f>IF(OR(I1224="Mastered",K1224=""),"",K1224+IF(J1224&gt;=5,30,IF(J1224=4,14,IF(J1224=3,7,IF(J1224=2,3,1)))))</x:f>
      </x:c>
      <x:c r="M1224" s="171" t="str"/>
      <x:c r="N1224" s="171" t="str"/>
      <x:c r="O1224" s="171" t="str">
        <x:v>Draft — verify in context</x:v>
      </x:c>
      <x:c r="P1224" s="167" t="str">
        <x:v>https://www.oxfordlearnersdictionaries.com/wordlists/oxford3000-5000</x:v>
      </x:c>
    </x:row>
    <x:row r="1225" ht="26" customHeight="1">
      <x:c r="A1225" s="167" t="n">
        <x:v>1224</x:v>
      </x:c>
      <x:c r="B1225" s="167" t="str">
        <x:v>transaction</x:v>
      </x:c>
      <x:c r="C1225" s="167" t="str">
        <x:v>n.</x:v>
      </x:c>
      <x:c r="D1225" s="170" t="str">
        <x:v>транзакція</x:v>
      </x:c>
      <x:c r="E1225" s="167" t="str">
        <x:v>No</x:v>
      </x:c>
      <x:c r="F1225" s="167"/>
      <x:c r="G1225" s="167" t="str">
        <x:v>Core</x:v>
      </x:c>
      <x:c r="H1225" s="167" t="str">
        <x:v>General</x:v>
      </x:c>
      <x:c r="I1225" s="167" t="str">
        <x:v>Not Started</x:v>
      </x:c>
      <x:c r="J1225" s="167" t="n">
        <x:v>0</x:v>
      </x:c>
      <x:c r="K1225" s="168"/>
      <x:c r="L1225" s="168" t="str">
        <x:f>IF(OR(I1225="Mastered",K1225=""),"",K1225+IF(J1225&gt;=5,30,IF(J1225=4,14,IF(J1225=3,7,IF(J1225=2,3,1)))))</x:f>
      </x:c>
      <x:c r="M1225" s="171" t="str"/>
      <x:c r="N1225" s="171" t="str"/>
      <x:c r="O1225" s="171" t="str">
        <x:v>Draft — verify in context</x:v>
      </x:c>
      <x:c r="P1225" s="167" t="str">
        <x:v>https://www.oxfordlearnersdictionaries.com/wordlists/oxford3000-5000</x:v>
      </x:c>
    </x:row>
    <x:row r="1226" ht="26" customHeight="1">
      <x:c r="A1226" s="167" t="n">
        <x:v>1225</x:v>
      </x:c>
      <x:c r="B1226" s="167" t="str">
        <x:v>transcript</x:v>
      </x:c>
      <x:c r="C1226" s="167" t="str">
        <x:v>n.</x:v>
      </x:c>
      <x:c r="D1226" s="170" t="str">
        <x:v>стенограма</x:v>
      </x:c>
      <x:c r="E1226" s="167" t="str">
        <x:v>No</x:v>
      </x:c>
      <x:c r="F1226" s="167"/>
      <x:c r="G1226" s="167" t="str">
        <x:v>Core</x:v>
      </x:c>
      <x:c r="H1226" s="167" t="str">
        <x:v>General</x:v>
      </x:c>
      <x:c r="I1226" s="167" t="str">
        <x:v>Not Started</x:v>
      </x:c>
      <x:c r="J1226" s="167" t="n">
        <x:v>0</x:v>
      </x:c>
      <x:c r="K1226" s="168"/>
      <x:c r="L1226" s="168" t="str">
        <x:f>IF(OR(I1226="Mastered",K1226=""),"",K1226+IF(J1226&gt;=5,30,IF(J1226=4,14,IF(J1226=3,7,IF(J1226=2,3,1)))))</x:f>
      </x:c>
      <x:c r="M1226" s="171" t="str"/>
      <x:c r="N1226" s="171" t="str"/>
      <x:c r="O1226" s="171" t="str">
        <x:v>Draft — verify in context</x:v>
      </x:c>
      <x:c r="P1226" s="167" t="str">
        <x:v>https://www.oxfordlearnersdictionaries.com/wordlists/oxford3000-5000</x:v>
      </x:c>
    </x:row>
    <x:row r="1227" ht="26" customHeight="1">
      <x:c r="A1227" s="167" t="n">
        <x:v>1226</x:v>
      </x:c>
      <x:c r="B1227" s="167" t="str">
        <x:v>transformation</x:v>
      </x:c>
      <x:c r="C1227" s="167" t="str">
        <x:v>n.</x:v>
      </x:c>
      <x:c r="D1227" s="170" t="str">
        <x:v>перетворення</x:v>
      </x:c>
      <x:c r="E1227" s="167" t="str">
        <x:v>Yes</x:v>
      </x:c>
      <x:c r="F1227" s="167" t="n">
        <x:v>6</x:v>
      </x:c>
      <x:c r="G1227" s="167" t="str">
        <x:v>High</x:v>
      </x:c>
      <x:c r="H1227" s="167" t="str">
        <x:v>General</x:v>
      </x:c>
      <x:c r="I1227" s="167" t="str">
        <x:v>Not Started</x:v>
      </x:c>
      <x:c r="J1227" s="167" t="n">
        <x:v>0</x:v>
      </x:c>
      <x:c r="K1227" s="168"/>
      <x:c r="L1227" s="168" t="str">
        <x:f>IF(OR(I1227="Mastered",K1227=""),"",K1227+IF(J1227&gt;=5,30,IF(J1227=4,14,IF(J1227=3,7,IF(J1227=2,3,1)))))</x:f>
      </x:c>
      <x:c r="M1227" s="171" t="str"/>
      <x:c r="N1227" s="171" t="str"/>
      <x:c r="O1227" s="171" t="str">
        <x:v>Draft — verify in context</x:v>
      </x:c>
      <x:c r="P1227" s="167" t="str">
        <x:v>https://www.oxfordlearnersdictionaries.com/wordlists/oxford3000-5000</x:v>
      </x:c>
    </x:row>
    <x:row r="1228" ht="26" customHeight="1">
      <x:c r="A1228" s="167" t="n">
        <x:v>1227</x:v>
      </x:c>
      <x:c r="B1228" s="167" t="str">
        <x:v>transit</x:v>
      </x:c>
      <x:c r="C1228" s="167" t="str">
        <x:v>n.</x:v>
      </x:c>
      <x:c r="D1228" s="170" t="str">
        <x:v>транзит</x:v>
      </x:c>
      <x:c r="E1228" s="167" t="str">
        <x:v>No</x:v>
      </x:c>
      <x:c r="F1228" s="167"/>
      <x:c r="G1228" s="167" t="str">
        <x:v>Core</x:v>
      </x:c>
      <x:c r="H1228" s="167" t="str">
        <x:v>General</x:v>
      </x:c>
      <x:c r="I1228" s="167" t="str">
        <x:v>Not Started</x:v>
      </x:c>
      <x:c r="J1228" s="167" t="n">
        <x:v>0</x:v>
      </x:c>
      <x:c r="K1228" s="168"/>
      <x:c r="L1228" s="168" t="str">
        <x:f>IF(OR(I1228="Mastered",K1228=""),"",K1228+IF(J1228&gt;=5,30,IF(J1228=4,14,IF(J1228=3,7,IF(J1228=2,3,1)))))</x:f>
      </x:c>
      <x:c r="M1228" s="171" t="str"/>
      <x:c r="N1228" s="171" t="str"/>
      <x:c r="O1228" s="171" t="str">
        <x:v>Draft — verify in context</x:v>
      </x:c>
      <x:c r="P1228" s="167" t="str">
        <x:v>https://www.oxfordlearnersdictionaries.com/wordlists/oxford3000-5000</x:v>
      </x:c>
    </x:row>
    <x:row r="1229" ht="26" customHeight="1">
      <x:c r="A1229" s="167" t="n">
        <x:v>1228</x:v>
      </x:c>
      <x:c r="B1229" s="167" t="str">
        <x:v>transmission</x:v>
      </x:c>
      <x:c r="C1229" s="167" t="str">
        <x:v>n.</x:v>
      </x:c>
      <x:c r="D1229" s="170" t="str">
        <x:v>передача</x:v>
      </x:c>
      <x:c r="E1229" s="167" t="str">
        <x:v>Yes</x:v>
      </x:c>
      <x:c r="F1229" s="167" t="n">
        <x:v>7</x:v>
      </x:c>
      <x:c r="G1229" s="167" t="str">
        <x:v>High</x:v>
      </x:c>
      <x:c r="H1229" s="167" t="str">
        <x:v>General</x:v>
      </x:c>
      <x:c r="I1229" s="167" t="str">
        <x:v>Not Started</x:v>
      </x:c>
      <x:c r="J1229" s="167" t="n">
        <x:v>0</x:v>
      </x:c>
      <x:c r="K1229" s="168"/>
      <x:c r="L1229" s="168" t="str">
        <x:f>IF(OR(I1229="Mastered",K1229=""),"",K1229+IF(J1229&gt;=5,30,IF(J1229=4,14,IF(J1229=3,7,IF(J1229=2,3,1)))))</x:f>
      </x:c>
      <x:c r="M1229" s="171" t="str"/>
      <x:c r="N1229" s="171" t="str"/>
      <x:c r="O1229" s="171" t="str">
        <x:v>Draft — verify in context</x:v>
      </x:c>
      <x:c r="P1229" s="167" t="str">
        <x:v>https://www.oxfordlearnersdictionaries.com/wordlists/oxford3000-5000</x:v>
      </x:c>
    </x:row>
    <x:row r="1230" ht="26" customHeight="1">
      <x:c r="A1230" s="167" t="n">
        <x:v>1229</x:v>
      </x:c>
      <x:c r="B1230" s="167" t="str">
        <x:v>transparency</x:v>
      </x:c>
      <x:c r="C1230" s="167" t="str">
        <x:v>n.</x:v>
      </x:c>
      <x:c r="D1230" s="170" t="str">
        <x:v>прозорість</x:v>
      </x:c>
      <x:c r="E1230" s="167" t="str">
        <x:v>No</x:v>
      </x:c>
      <x:c r="F1230" s="167"/>
      <x:c r="G1230" s="167" t="str">
        <x:v>Core</x:v>
      </x:c>
      <x:c r="H1230" s="167" t="str">
        <x:v>General</x:v>
      </x:c>
      <x:c r="I1230" s="167" t="str">
        <x:v>Not Started</x:v>
      </x:c>
      <x:c r="J1230" s="167" t="n">
        <x:v>0</x:v>
      </x:c>
      <x:c r="K1230" s="168"/>
      <x:c r="L1230" s="168" t="str">
        <x:f>IF(OR(I1230="Mastered",K1230=""),"",K1230+IF(J1230&gt;=5,30,IF(J1230=4,14,IF(J1230=3,7,IF(J1230=2,3,1)))))</x:f>
      </x:c>
      <x:c r="M1230" s="171" t="str"/>
      <x:c r="N1230" s="171" t="str"/>
      <x:c r="O1230" s="171" t="str">
        <x:v>Draft — verify in context</x:v>
      </x:c>
      <x:c r="P1230" s="167" t="str">
        <x:v>https://www.oxfordlearnersdictionaries.com/wordlists/oxford3000-5000</x:v>
      </x:c>
    </x:row>
    <x:row r="1231" ht="26" customHeight="1">
      <x:c r="A1231" s="167" t="n">
        <x:v>1230</x:v>
      </x:c>
      <x:c r="B1231" s="167" t="str">
        <x:v>transparent</x:v>
      </x:c>
      <x:c r="C1231" s="167" t="str">
        <x:v>adj.</x:v>
      </x:c>
      <x:c r="D1231" s="170" t="str">
        <x:v>прозорий</x:v>
      </x:c>
      <x:c r="E1231" s="167" t="str">
        <x:v>No</x:v>
      </x:c>
      <x:c r="F1231" s="167"/>
      <x:c r="G1231" s="167" t="str">
        <x:v>Core</x:v>
      </x:c>
      <x:c r="H1231" s="167" t="str">
        <x:v>General</x:v>
      </x:c>
      <x:c r="I1231" s="167" t="str">
        <x:v>Not Started</x:v>
      </x:c>
      <x:c r="J1231" s="167" t="n">
        <x:v>0</x:v>
      </x:c>
      <x:c r="K1231" s="168"/>
      <x:c r="L1231" s="168" t="str">
        <x:f>IF(OR(I1231="Mastered",K1231=""),"",K1231+IF(J1231&gt;=5,30,IF(J1231=4,14,IF(J1231=3,7,IF(J1231=2,3,1)))))</x:f>
      </x:c>
      <x:c r="M1231" s="171" t="str"/>
      <x:c r="N1231" s="171" t="str"/>
      <x:c r="O1231" s="171" t="str">
        <x:v>Draft — verify in context</x:v>
      </x:c>
      <x:c r="P1231" s="167" t="str">
        <x:v>https://www.oxfordlearnersdictionaries.com/wordlists/oxford3000-5000</x:v>
      </x:c>
    </x:row>
    <x:row r="1232" ht="26" customHeight="1">
      <x:c r="A1232" s="167" t="n">
        <x:v>1231</x:v>
      </x:c>
      <x:c r="B1232" s="167" t="str">
        <x:v>trauma</x:v>
      </x:c>
      <x:c r="C1232" s="167" t="str">
        <x:v>n.</x:v>
      </x:c>
      <x:c r="D1232" s="170" t="str">
        <x:v>травма</x:v>
      </x:c>
      <x:c r="E1232" s="167" t="str">
        <x:v>No</x:v>
      </x:c>
      <x:c r="F1232" s="167"/>
      <x:c r="G1232" s="167" t="str">
        <x:v>Core</x:v>
      </x:c>
      <x:c r="H1232" s="167" t="str">
        <x:v>General</x:v>
      </x:c>
      <x:c r="I1232" s="167" t="str">
        <x:v>Not Started</x:v>
      </x:c>
      <x:c r="J1232" s="167" t="n">
        <x:v>0</x:v>
      </x:c>
      <x:c r="K1232" s="168"/>
      <x:c r="L1232" s="168" t="str">
        <x:f>IF(OR(I1232="Mastered",K1232=""),"",K1232+IF(J1232&gt;=5,30,IF(J1232=4,14,IF(J1232=3,7,IF(J1232=2,3,1)))))</x:f>
      </x:c>
      <x:c r="M1232" s="171" t="str"/>
      <x:c r="N1232" s="171" t="str"/>
      <x:c r="O1232" s="171" t="str">
        <x:v>Draft — verify in context</x:v>
      </x:c>
      <x:c r="P1232" s="167" t="str">
        <x:v>https://www.oxfordlearnersdictionaries.com/wordlists/oxford3000-5000</x:v>
      </x:c>
    </x:row>
    <x:row r="1233" ht="26" customHeight="1">
      <x:c r="A1233" s="167" t="n">
        <x:v>1232</x:v>
      </x:c>
      <x:c r="B1233" s="167" t="str">
        <x:v>treaty</x:v>
      </x:c>
      <x:c r="C1233" s="167" t="str">
        <x:v>n.</x:v>
      </x:c>
      <x:c r="D1233" s="170" t="str">
        <x:v>договір</x:v>
      </x:c>
      <x:c r="E1233" s="167" t="str">
        <x:v>No</x:v>
      </x:c>
      <x:c r="F1233" s="167"/>
      <x:c r="G1233" s="167" t="str">
        <x:v>Core</x:v>
      </x:c>
      <x:c r="H1233" s="167" t="str">
        <x:v>General</x:v>
      </x:c>
      <x:c r="I1233" s="167" t="str">
        <x:v>Not Started</x:v>
      </x:c>
      <x:c r="J1233" s="167" t="n">
        <x:v>0</x:v>
      </x:c>
      <x:c r="K1233" s="168"/>
      <x:c r="L1233" s="168" t="str">
        <x:f>IF(OR(I1233="Mastered",K1233=""),"",K1233+IF(J1233&gt;=5,30,IF(J1233=4,14,IF(J1233=3,7,IF(J1233=2,3,1)))))</x:f>
      </x:c>
      <x:c r="M1233" s="171" t="str"/>
      <x:c r="N1233" s="171" t="str"/>
      <x:c r="O1233" s="171" t="str">
        <x:v>Draft — verify in context</x:v>
      </x:c>
      <x:c r="P1233" s="167" t="str">
        <x:v>https://www.oxfordlearnersdictionaries.com/wordlists/oxford3000-5000</x:v>
      </x:c>
    </x:row>
    <x:row r="1234" ht="26" customHeight="1">
      <x:c r="A1234" s="167" t="n">
        <x:v>1233</x:v>
      </x:c>
      <x:c r="B1234" s="167" t="str">
        <x:v>tremendous</x:v>
      </x:c>
      <x:c r="C1234" s="167" t="str">
        <x:v>adj.</x:v>
      </x:c>
      <x:c r="D1234" s="170" t="str">
        <x:v>величезний</x:v>
      </x:c>
      <x:c r="E1234" s="167" t="str">
        <x:v>No</x:v>
      </x:c>
      <x:c r="F1234" s="167"/>
      <x:c r="G1234" s="167" t="str">
        <x:v>Core</x:v>
      </x:c>
      <x:c r="H1234" s="167" t="str">
        <x:v>General</x:v>
      </x:c>
      <x:c r="I1234" s="167" t="str">
        <x:v>Not Started</x:v>
      </x:c>
      <x:c r="J1234" s="167" t="n">
        <x:v>0</x:v>
      </x:c>
      <x:c r="K1234" s="168"/>
      <x:c r="L1234" s="168" t="str">
        <x:f>IF(OR(I1234="Mastered",K1234=""),"",K1234+IF(J1234&gt;=5,30,IF(J1234=4,14,IF(J1234=3,7,IF(J1234=2,3,1)))))</x:f>
      </x:c>
      <x:c r="M1234" s="171" t="str"/>
      <x:c r="N1234" s="171" t="str"/>
      <x:c r="O1234" s="171" t="str">
        <x:v>Draft — verify in context</x:v>
      </x:c>
      <x:c r="P1234" s="167" t="str">
        <x:v>https://www.oxfordlearnersdictionaries.com/wordlists/oxford3000-5000</x:v>
      </x:c>
    </x:row>
    <x:row r="1235" ht="26" customHeight="1">
      <x:c r="A1235" s="167" t="n">
        <x:v>1234</x:v>
      </x:c>
      <x:c r="B1235" s="167" t="str">
        <x:v>tribal</x:v>
      </x:c>
      <x:c r="C1235" s="167" t="str">
        <x:v>adj.</x:v>
      </x:c>
      <x:c r="D1235" s="170" t="str">
        <x:v>племінний</x:v>
      </x:c>
      <x:c r="E1235" s="167" t="str">
        <x:v>No</x:v>
      </x:c>
      <x:c r="F1235" s="167"/>
      <x:c r="G1235" s="167" t="str">
        <x:v>Core</x:v>
      </x:c>
      <x:c r="H1235" s="167" t="str">
        <x:v>General</x:v>
      </x:c>
      <x:c r="I1235" s="167" t="str">
        <x:v>Not Started</x:v>
      </x:c>
      <x:c r="J1235" s="167" t="n">
        <x:v>0</x:v>
      </x:c>
      <x:c r="K1235" s="168"/>
      <x:c r="L1235" s="168" t="str">
        <x:f>IF(OR(I1235="Mastered",K1235=""),"",K1235+IF(J1235&gt;=5,30,IF(J1235=4,14,IF(J1235=3,7,IF(J1235=2,3,1)))))</x:f>
      </x:c>
      <x:c r="M1235" s="171" t="str"/>
      <x:c r="N1235" s="171" t="str"/>
      <x:c r="O1235" s="171" t="str">
        <x:v>Draft — verify in context</x:v>
      </x:c>
      <x:c r="P1235" s="167" t="str">
        <x:v>https://www.oxfordlearnersdictionaries.com/wordlists/oxford3000-5000</x:v>
      </x:c>
    </x:row>
    <x:row r="1236" ht="26" customHeight="1">
      <x:c r="A1236" s="167" t="n">
        <x:v>1235</x:v>
      </x:c>
      <x:c r="B1236" s="167" t="str">
        <x:v>tribunal</x:v>
      </x:c>
      <x:c r="C1236" s="167" t="str">
        <x:v>n.</x:v>
      </x:c>
      <x:c r="D1236" s="170" t="str">
        <x:v>трибунал</x:v>
      </x:c>
      <x:c r="E1236" s="167" t="str">
        <x:v>No</x:v>
      </x:c>
      <x:c r="F1236" s="167"/>
      <x:c r="G1236" s="167" t="str">
        <x:v>Core</x:v>
      </x:c>
      <x:c r="H1236" s="167" t="str">
        <x:v>General</x:v>
      </x:c>
      <x:c r="I1236" s="167" t="str">
        <x:v>Not Started</x:v>
      </x:c>
      <x:c r="J1236" s="167" t="n">
        <x:v>0</x:v>
      </x:c>
      <x:c r="K1236" s="168"/>
      <x:c r="L1236" s="168" t="str">
        <x:f>IF(OR(I1236="Mastered",K1236=""),"",K1236+IF(J1236&gt;=5,30,IF(J1236=4,14,IF(J1236=3,7,IF(J1236=2,3,1)))))</x:f>
      </x:c>
      <x:c r="M1236" s="171" t="str"/>
      <x:c r="N1236" s="171" t="str"/>
      <x:c r="O1236" s="171" t="str">
        <x:v>Draft — verify in context</x:v>
      </x:c>
      <x:c r="P1236" s="167" t="str">
        <x:v>https://www.oxfordlearnersdictionaries.com/wordlists/oxford3000-5000</x:v>
      </x:c>
    </x:row>
    <x:row r="1237" ht="26" customHeight="1">
      <x:c r="A1237" s="167" t="n">
        <x:v>1236</x:v>
      </x:c>
      <x:c r="B1237" s="167" t="str">
        <x:v>tribute</x:v>
      </x:c>
      <x:c r="C1237" s="167" t="str">
        <x:v>n.</x:v>
      </x:c>
      <x:c r="D1237" s="170" t="str">
        <x:v>данина</x:v>
      </x:c>
      <x:c r="E1237" s="167" t="str">
        <x:v>No</x:v>
      </x:c>
      <x:c r="F1237" s="167"/>
      <x:c r="G1237" s="167" t="str">
        <x:v>Core</x:v>
      </x:c>
      <x:c r="H1237" s="167" t="str">
        <x:v>General</x:v>
      </x:c>
      <x:c r="I1237" s="167" t="str">
        <x:v>Not Started</x:v>
      </x:c>
      <x:c r="J1237" s="167" t="n">
        <x:v>0</x:v>
      </x:c>
      <x:c r="K1237" s="168"/>
      <x:c r="L1237" s="168" t="str">
        <x:f>IF(OR(I1237="Mastered",K1237=""),"",K1237+IF(J1237&gt;=5,30,IF(J1237=4,14,IF(J1237=3,7,IF(J1237=2,3,1)))))</x:f>
      </x:c>
      <x:c r="M1237" s="171" t="str"/>
      <x:c r="N1237" s="171" t="str"/>
      <x:c r="O1237" s="171" t="str">
        <x:v>Draft — verify in context</x:v>
      </x:c>
      <x:c r="P1237" s="167" t="str">
        <x:v>https://www.oxfordlearnersdictionaries.com/wordlists/oxford3000-5000</x:v>
      </x:c>
    </x:row>
    <x:row r="1238" ht="26" customHeight="1">
      <x:c r="A1238" s="167" t="n">
        <x:v>1237</x:v>
      </x:c>
      <x:c r="B1238" s="167" t="str">
        <x:v>trigger</x:v>
      </x:c>
      <x:c r="C1238" s="167" t="str">
        <x:v>n.</x:v>
      </x:c>
      <x:c r="D1238" s="170" t="str">
        <x:v>тригер</x:v>
      </x:c>
      <x:c r="E1238" s="167" t="str">
        <x:v>Yes</x:v>
      </x:c>
      <x:c r="F1238" s="167" t="n">
        <x:v>9</x:v>
      </x:c>
      <x:c r="G1238" s="167" t="str">
        <x:v>High</x:v>
      </x:c>
      <x:c r="H1238" s="167" t="str">
        <x:v>General</x:v>
      </x:c>
      <x:c r="I1238" s="167" t="str">
        <x:v>Not Started</x:v>
      </x:c>
      <x:c r="J1238" s="167" t="n">
        <x:v>0</x:v>
      </x:c>
      <x:c r="K1238" s="168"/>
      <x:c r="L1238" s="168" t="str">
        <x:f>IF(OR(I1238="Mastered",K1238=""),"",K1238+IF(J1238&gt;=5,30,IF(J1238=4,14,IF(J1238=3,7,IF(J1238=2,3,1)))))</x:f>
      </x:c>
      <x:c r="M1238" s="171" t="str"/>
      <x:c r="N1238" s="171" t="str"/>
      <x:c r="O1238" s="171" t="str">
        <x:v>Draft — verify in context</x:v>
      </x:c>
      <x:c r="P1238" s="167" t="str">
        <x:v>https://www.oxfordlearnersdictionaries.com/wordlists/oxford3000-5000</x:v>
      </x:c>
    </x:row>
    <x:row r="1239" ht="26" customHeight="1">
      <x:c r="A1239" s="167" t="n">
        <x:v>1238</x:v>
      </x:c>
      <x:c r="B1239" s="167" t="str">
        <x:v>trio</x:v>
      </x:c>
      <x:c r="C1239" s="167" t="str">
        <x:v>n.</x:v>
      </x:c>
      <x:c r="D1239" s="170" t="str">
        <x:v>тріо</x:v>
      </x:c>
      <x:c r="E1239" s="167" t="str">
        <x:v>No</x:v>
      </x:c>
      <x:c r="F1239" s="167"/>
      <x:c r="G1239" s="167" t="str">
        <x:v>Core</x:v>
      </x:c>
      <x:c r="H1239" s="167" t="str">
        <x:v>General</x:v>
      </x:c>
      <x:c r="I1239" s="167" t="str">
        <x:v>Not Started</x:v>
      </x:c>
      <x:c r="J1239" s="167" t="n">
        <x:v>0</x:v>
      </x:c>
      <x:c r="K1239" s="168"/>
      <x:c r="L1239" s="168" t="str">
        <x:f>IF(OR(I1239="Mastered",K1239=""),"",K1239+IF(J1239&gt;=5,30,IF(J1239=4,14,IF(J1239=3,7,IF(J1239=2,3,1)))))</x:f>
      </x:c>
      <x:c r="M1239" s="171" t="str"/>
      <x:c r="N1239" s="171" t="str"/>
      <x:c r="O1239" s="171" t="str">
        <x:v>Draft — verify in context</x:v>
      </x:c>
      <x:c r="P1239" s="167" t="str">
        <x:v>https://www.oxfordlearnersdictionaries.com/wordlists/oxford3000-5000</x:v>
      </x:c>
    </x:row>
    <x:row r="1240" ht="26" customHeight="1">
      <x:c r="A1240" s="167" t="n">
        <x:v>1239</x:v>
      </x:c>
      <x:c r="B1240" s="167" t="str">
        <x:v>triumph</x:v>
      </x:c>
      <x:c r="C1240" s="167" t="str">
        <x:v>n.</x:v>
      </x:c>
      <x:c r="D1240" s="170" t="str">
        <x:v>тріумф</x:v>
      </x:c>
      <x:c r="E1240" s="167" t="str">
        <x:v>No</x:v>
      </x:c>
      <x:c r="F1240" s="167"/>
      <x:c r="G1240" s="167" t="str">
        <x:v>Core</x:v>
      </x:c>
      <x:c r="H1240" s="167" t="str">
        <x:v>General</x:v>
      </x:c>
      <x:c r="I1240" s="167" t="str">
        <x:v>Not Started</x:v>
      </x:c>
      <x:c r="J1240" s="167" t="n">
        <x:v>0</x:v>
      </x:c>
      <x:c r="K1240" s="168"/>
      <x:c r="L1240" s="168" t="str">
        <x:f>IF(OR(I1240="Mastered",K1240=""),"",K1240+IF(J1240&gt;=5,30,IF(J1240=4,14,IF(J1240=3,7,IF(J1240=2,3,1)))))</x:f>
      </x:c>
      <x:c r="M1240" s="171" t="str"/>
      <x:c r="N1240" s="171" t="str"/>
      <x:c r="O1240" s="171" t="str">
        <x:v>Draft — verify in context</x:v>
      </x:c>
      <x:c r="P1240" s="167" t="str">
        <x:v>https://www.oxfordlearnersdictionaries.com/wordlists/oxford3000-5000</x:v>
      </x:c>
    </x:row>
    <x:row r="1241" ht="26" customHeight="1">
      <x:c r="A1241" s="167" t="n">
        <x:v>1240</x:v>
      </x:c>
      <x:c r="B1241" s="167" t="str">
        <x:v>trophy</x:v>
      </x:c>
      <x:c r="C1241" s="167" t="str">
        <x:v>n.</x:v>
      </x:c>
      <x:c r="D1241" s="170" t="str">
        <x:v>трофей</x:v>
      </x:c>
      <x:c r="E1241" s="167" t="str">
        <x:v>No</x:v>
      </x:c>
      <x:c r="F1241" s="167"/>
      <x:c r="G1241" s="167" t="str">
        <x:v>Core</x:v>
      </x:c>
      <x:c r="H1241" s="167" t="str">
        <x:v>General</x:v>
      </x:c>
      <x:c r="I1241" s="167" t="str">
        <x:v>Not Started</x:v>
      </x:c>
      <x:c r="J1241" s="167" t="n">
        <x:v>0</x:v>
      </x:c>
      <x:c r="K1241" s="168"/>
      <x:c r="L1241" s="168" t="str">
        <x:f>IF(OR(I1241="Mastered",K1241=""),"",K1241+IF(J1241&gt;=5,30,IF(J1241=4,14,IF(J1241=3,7,IF(J1241=2,3,1)))))</x:f>
      </x:c>
      <x:c r="M1241" s="171" t="str"/>
      <x:c r="N1241" s="171" t="str"/>
      <x:c r="O1241" s="171" t="str">
        <x:v>Draft — verify in context</x:v>
      </x:c>
      <x:c r="P1241" s="167" t="str">
        <x:v>https://www.oxfordlearnersdictionaries.com/wordlists/oxford3000-5000</x:v>
      </x:c>
    </x:row>
    <x:row r="1242" ht="26" customHeight="1">
      <x:c r="A1242" s="167" t="n">
        <x:v>1241</x:v>
      </x:c>
      <x:c r="B1242" s="167" t="str">
        <x:v>troubled</x:v>
      </x:c>
      <x:c r="C1242" s="167" t="str">
        <x:v>adj.</x:v>
      </x:c>
      <x:c r="D1242" s="170" t="str">
        <x:v>стурбований</x:v>
      </x:c>
      <x:c r="E1242" s="167" t="str">
        <x:v>No</x:v>
      </x:c>
      <x:c r="F1242" s="167"/>
      <x:c r="G1242" s="167" t="str">
        <x:v>Core</x:v>
      </x:c>
      <x:c r="H1242" s="167" t="str">
        <x:v>General</x:v>
      </x:c>
      <x:c r="I1242" s="167" t="str">
        <x:v>Not Started</x:v>
      </x:c>
      <x:c r="J1242" s="167" t="n">
        <x:v>0</x:v>
      </x:c>
      <x:c r="K1242" s="168"/>
      <x:c r="L1242" s="168" t="str">
        <x:f>IF(OR(I1242="Mastered",K1242=""),"",K1242+IF(J1242&gt;=5,30,IF(J1242=4,14,IF(J1242=3,7,IF(J1242=2,3,1)))))</x:f>
      </x:c>
      <x:c r="M1242" s="171" t="str"/>
      <x:c r="N1242" s="171" t="str"/>
      <x:c r="O1242" s="171" t="str">
        <x:v>Draft — verify in context</x:v>
      </x:c>
      <x:c r="P1242" s="167" t="str">
        <x:v>https://www.oxfordlearnersdictionaries.com/wordlists/oxford3000-5000</x:v>
      </x:c>
    </x:row>
    <x:row r="1243" ht="26" customHeight="1">
      <x:c r="A1243" s="167" t="n">
        <x:v>1242</x:v>
      </x:c>
      <x:c r="B1243" s="167" t="str">
        <x:v>trustee</x:v>
      </x:c>
      <x:c r="C1243" s="167" t="str">
        <x:v>n.</x:v>
      </x:c>
      <x:c r="D1243" s="170" t="str">
        <x:v>довірена особа</x:v>
      </x:c>
      <x:c r="E1243" s="167" t="str">
        <x:v>No</x:v>
      </x:c>
      <x:c r="F1243" s="167"/>
      <x:c r="G1243" s="167" t="str">
        <x:v>Core</x:v>
      </x:c>
      <x:c r="H1243" s="167" t="str">
        <x:v>General</x:v>
      </x:c>
      <x:c r="I1243" s="167" t="str">
        <x:v>Not Started</x:v>
      </x:c>
      <x:c r="J1243" s="167" t="n">
        <x:v>0</x:v>
      </x:c>
      <x:c r="K1243" s="168"/>
      <x:c r="L1243" s="168" t="str">
        <x:f>IF(OR(I1243="Mastered",K1243=""),"",K1243+IF(J1243&gt;=5,30,IF(J1243=4,14,IF(J1243=3,7,IF(J1243=2,3,1)))))</x:f>
      </x:c>
      <x:c r="M1243" s="171" t="str"/>
      <x:c r="N1243" s="171" t="str"/>
      <x:c r="O1243" s="171" t="str">
        <x:v>Draft — verify in context</x:v>
      </x:c>
      <x:c r="P1243" s="167" t="str">
        <x:v>https://www.oxfordlearnersdictionaries.com/wordlists/oxford3000-5000</x:v>
      </x:c>
    </x:row>
    <x:row r="1244" ht="26" customHeight="1">
      <x:c r="A1244" s="167" t="n">
        <x:v>1243</x:v>
      </x:c>
      <x:c r="B1244" s="167" t="str">
        <x:v>tuition</x:v>
      </x:c>
      <x:c r="C1244" s="167" t="str">
        <x:v>n.</x:v>
      </x:c>
      <x:c r="D1244" s="170" t="str">
        <x:v>навчання</x:v>
      </x:c>
      <x:c r="E1244" s="167" t="str">
        <x:v>No</x:v>
      </x:c>
      <x:c r="F1244" s="167"/>
      <x:c r="G1244" s="167" t="str">
        <x:v>High</x:v>
      </x:c>
      <x:c r="H1244" s="167" t="str">
        <x:v>Education</x:v>
      </x:c>
      <x:c r="I1244" s="167" t="str">
        <x:v>Not Started</x:v>
      </x:c>
      <x:c r="J1244" s="167" t="n">
        <x:v>0</x:v>
      </x:c>
      <x:c r="K1244" s="168"/>
      <x:c r="L1244" s="168" t="str">
        <x:f>IF(OR(I1244="Mastered",K1244=""),"",K1244+IF(J1244&gt;=5,30,IF(J1244=4,14,IF(J1244=3,7,IF(J1244=2,3,1)))))</x:f>
      </x:c>
      <x:c r="M1244" s="171" t="str"/>
      <x:c r="N1244" s="171" t="str"/>
      <x:c r="O1244" s="171" t="str">
        <x:v>Draft — verify in context</x:v>
      </x:c>
      <x:c r="P1244" s="167" t="str">
        <x:v>https://www.oxfordlearnersdictionaries.com/wordlists/oxford3000-5000</x:v>
      </x:c>
    </x:row>
    <x:row r="1245" ht="26" customHeight="1">
      <x:c r="A1245" s="167" t="n">
        <x:v>1244</x:v>
      </x:c>
      <x:c r="B1245" s="167" t="str">
        <x:v>turnout</x:v>
      </x:c>
      <x:c r="C1245" s="167" t="str">
        <x:v>n.</x:v>
      </x:c>
      <x:c r="D1245" s="170" t="str">
        <x:v>явка</x:v>
      </x:c>
      <x:c r="E1245" s="167" t="str">
        <x:v>No</x:v>
      </x:c>
      <x:c r="F1245" s="167"/>
      <x:c r="G1245" s="167" t="str">
        <x:v>Core</x:v>
      </x:c>
      <x:c r="H1245" s="167" t="str">
        <x:v>General</x:v>
      </x:c>
      <x:c r="I1245" s="167" t="str">
        <x:v>Not Started</x:v>
      </x:c>
      <x:c r="J1245" s="167" t="n">
        <x:v>0</x:v>
      </x:c>
      <x:c r="K1245" s="168"/>
      <x:c r="L1245" s="168" t="str">
        <x:f>IF(OR(I1245="Mastered",K1245=""),"",K1245+IF(J1245&gt;=5,30,IF(J1245=4,14,IF(J1245=3,7,IF(J1245=2,3,1)))))</x:f>
      </x:c>
      <x:c r="M1245" s="171" t="str"/>
      <x:c r="N1245" s="171" t="str"/>
      <x:c r="O1245" s="171" t="str">
        <x:v>Draft — verify in context</x:v>
      </x:c>
      <x:c r="P1245" s="167" t="str">
        <x:v>https://www.oxfordlearnersdictionaries.com/wordlists/oxford3000-5000</x:v>
      </x:c>
    </x:row>
    <x:row r="1246" ht="26" customHeight="1">
      <x:c r="A1246" s="167" t="n">
        <x:v>1245</x:v>
      </x:c>
      <x:c r="B1246" s="167" t="str">
        <x:v>turnover</x:v>
      </x:c>
      <x:c r="C1246" s="167" t="str">
        <x:v>n.</x:v>
      </x:c>
      <x:c r="D1246" s="170" t="str">
        <x:v>оборот</x:v>
      </x:c>
      <x:c r="E1246" s="167" t="str">
        <x:v>No</x:v>
      </x:c>
      <x:c r="F1246" s="167"/>
      <x:c r="G1246" s="167" t="str">
        <x:v>Core</x:v>
      </x:c>
      <x:c r="H1246" s="167" t="str">
        <x:v>General</x:v>
      </x:c>
      <x:c r="I1246" s="167" t="str">
        <x:v>Not Started</x:v>
      </x:c>
      <x:c r="J1246" s="167" t="n">
        <x:v>0</x:v>
      </x:c>
      <x:c r="K1246" s="168"/>
      <x:c r="L1246" s="168" t="str">
        <x:f>IF(OR(I1246="Mastered",K1246=""),"",K1246+IF(J1246&gt;=5,30,IF(J1246=4,14,IF(J1246=3,7,IF(J1246=2,3,1)))))</x:f>
      </x:c>
      <x:c r="M1246" s="171" t="str"/>
      <x:c r="N1246" s="171" t="str"/>
      <x:c r="O1246" s="171" t="str">
        <x:v>Draft — verify in context</x:v>
      </x:c>
      <x:c r="P1246" s="167" t="str">
        <x:v>https://www.oxfordlearnersdictionaries.com/wordlists/oxford3000-5000</x:v>
      </x:c>
    </x:row>
    <x:row r="1247" ht="26" customHeight="1">
      <x:c r="A1247" s="167" t="n">
        <x:v>1246</x:v>
      </x:c>
      <x:c r="B1247" s="167" t="str">
        <x:v>twist</x:v>
      </x:c>
      <x:c r="C1247" s="167" t="str">
        <x:v>v., n.</x:v>
      </x:c>
      <x:c r="D1247" s="170" t="str">
        <x:v>крутити</x:v>
      </x:c>
      <x:c r="E1247" s="167" t="str">
        <x:v>No</x:v>
      </x:c>
      <x:c r="F1247" s="167"/>
      <x:c r="G1247" s="167" t="str">
        <x:v>Core</x:v>
      </x:c>
      <x:c r="H1247" s="167" t="str">
        <x:v>General</x:v>
      </x:c>
      <x:c r="I1247" s="167" t="str">
        <x:v>Not Started</x:v>
      </x:c>
      <x:c r="J1247" s="167" t="n">
        <x:v>0</x:v>
      </x:c>
      <x:c r="K1247" s="168"/>
      <x:c r="L1247" s="168" t="str">
        <x:f>IF(OR(I1247="Mastered",K1247=""),"",K1247+IF(J1247&gt;=5,30,IF(J1247=4,14,IF(J1247=3,7,IF(J1247=2,3,1)))))</x:f>
      </x:c>
      <x:c r="M1247" s="171" t="str"/>
      <x:c r="N1247" s="171" t="str"/>
      <x:c r="O1247" s="171" t="str">
        <x:v>Draft — verify in context</x:v>
      </x:c>
      <x:c r="P1247" s="167" t="str">
        <x:v>https://www.oxfordlearnersdictionaries.com/wordlists/oxford3000-5000</x:v>
      </x:c>
    </x:row>
    <x:row r="1248" ht="26" customHeight="1">
      <x:c r="A1248" s="167" t="n">
        <x:v>1247</x:v>
      </x:c>
      <x:c r="B1248" s="167" t="str">
        <x:v>undergraduate</x:v>
      </x:c>
      <x:c r="C1248" s="167" t="str">
        <x:v>n.</x:v>
      </x:c>
      <x:c r="D1248" s="170" t="str">
        <x:v>студент</x:v>
      </x:c>
      <x:c r="E1248" s="167" t="str">
        <x:v>No</x:v>
      </x:c>
      <x:c r="F1248" s="167"/>
      <x:c r="G1248" s="167" t="str">
        <x:v>High</x:v>
      </x:c>
      <x:c r="H1248" s="167" t="str">
        <x:v>Education</x:v>
      </x:c>
      <x:c r="I1248" s="167" t="str">
        <x:v>Not Started</x:v>
      </x:c>
      <x:c r="J1248" s="167" t="n">
        <x:v>0</x:v>
      </x:c>
      <x:c r="K1248" s="168"/>
      <x:c r="L1248" s="168" t="str">
        <x:f>IF(OR(I1248="Mastered",K1248=""),"",K1248+IF(J1248&gt;=5,30,IF(J1248=4,14,IF(J1248=3,7,IF(J1248=2,3,1)))))</x:f>
      </x:c>
      <x:c r="M1248" s="171" t="str"/>
      <x:c r="N1248" s="171" t="str"/>
      <x:c r="O1248" s="171" t="str">
        <x:v>Draft — verify in context</x:v>
      </x:c>
      <x:c r="P1248" s="167" t="str">
        <x:v>https://www.oxfordlearnersdictionaries.com/wordlists/oxford3000-5000</x:v>
      </x:c>
    </x:row>
    <x:row r="1249" ht="26" customHeight="1">
      <x:c r="A1249" s="167" t="n">
        <x:v>1248</x:v>
      </x:c>
      <x:c r="B1249" s="167" t="str">
        <x:v>underlying</x:v>
      </x:c>
      <x:c r="C1249" s="167" t="str">
        <x:v>adj.</x:v>
      </x:c>
      <x:c r="D1249" s="170" t="str">
        <x:v>лежить в основі</x:v>
      </x:c>
      <x:c r="E1249" s="167" t="str">
        <x:v>Yes</x:v>
      </x:c>
      <x:c r="F1249" s="167" t="n">
        <x:v>6</x:v>
      </x:c>
      <x:c r="G1249" s="167" t="str">
        <x:v>High</x:v>
      </x:c>
      <x:c r="H1249" s="167" t="str">
        <x:v>General</x:v>
      </x:c>
      <x:c r="I1249" s="167" t="str">
        <x:v>Not Started</x:v>
      </x:c>
      <x:c r="J1249" s="167" t="n">
        <x:v>0</x:v>
      </x:c>
      <x:c r="K1249" s="168"/>
      <x:c r="L1249" s="168" t="str">
        <x:f>IF(OR(I1249="Mastered",K1249=""),"",K1249+IF(J1249&gt;=5,30,IF(J1249=4,14,IF(J1249=3,7,IF(J1249=2,3,1)))))</x:f>
      </x:c>
      <x:c r="M1249" s="171" t="str"/>
      <x:c r="N1249" s="171" t="str"/>
      <x:c r="O1249" s="171" t="str">
        <x:v>Draft — verify in context</x:v>
      </x:c>
      <x:c r="P1249" s="167" t="str">
        <x:v>https://www.oxfordlearnersdictionaries.com/wordlists/oxford3000-5000</x:v>
      </x:c>
    </x:row>
    <x:row r="1250" ht="26" customHeight="1">
      <x:c r="A1250" s="167" t="n">
        <x:v>1249</x:v>
      </x:c>
      <x:c r="B1250" s="167" t="str">
        <x:v>undermine</x:v>
      </x:c>
      <x:c r="C1250" s="167" t="str">
        <x:v>v.</x:v>
      </x:c>
      <x:c r="D1250" s="170" t="str">
        <x:v>підривати</x:v>
      </x:c>
      <x:c r="E1250" s="167" t="str">
        <x:v>No</x:v>
      </x:c>
      <x:c r="F1250" s="167"/>
      <x:c r="G1250" s="167" t="str">
        <x:v>Core</x:v>
      </x:c>
      <x:c r="H1250" s="167" t="str">
        <x:v>General</x:v>
      </x:c>
      <x:c r="I1250" s="167" t="str">
        <x:v>Not Started</x:v>
      </x:c>
      <x:c r="J1250" s="167" t="n">
        <x:v>0</x:v>
      </x:c>
      <x:c r="K1250" s="168"/>
      <x:c r="L1250" s="168" t="str">
        <x:f>IF(OR(I1250="Mastered",K1250=""),"",K1250+IF(J1250&gt;=5,30,IF(J1250=4,14,IF(J1250=3,7,IF(J1250=2,3,1)))))</x:f>
      </x:c>
      <x:c r="M1250" s="171" t="str"/>
      <x:c r="N1250" s="171" t="str"/>
      <x:c r="O1250" s="171" t="str">
        <x:v>Draft — verify in context</x:v>
      </x:c>
      <x:c r="P1250" s="167" t="str">
        <x:v>https://www.oxfordlearnersdictionaries.com/wordlists/oxford3000-5000</x:v>
      </x:c>
    </x:row>
    <x:row r="1251" ht="26" customHeight="1">
      <x:c r="A1251" s="167" t="n">
        <x:v>1250</x:v>
      </x:c>
      <x:c r="B1251" s="167" t="str">
        <x:v>undoubtedly</x:v>
      </x:c>
      <x:c r="C1251" s="167" t="str">
        <x:v>adv.</x:v>
      </x:c>
      <x:c r="D1251" s="170" t="str">
        <x:v>безсумнівно</x:v>
      </x:c>
      <x:c r="E1251" s="167" t="str">
        <x:v>No</x:v>
      </x:c>
      <x:c r="F1251" s="167"/>
      <x:c r="G1251" s="167" t="str">
        <x:v>Core</x:v>
      </x:c>
      <x:c r="H1251" s="167" t="str">
        <x:v>General</x:v>
      </x:c>
      <x:c r="I1251" s="167" t="str">
        <x:v>Not Started</x:v>
      </x:c>
      <x:c r="J1251" s="167" t="n">
        <x:v>0</x:v>
      </x:c>
      <x:c r="K1251" s="168"/>
      <x:c r="L1251" s="168" t="str">
        <x:f>IF(OR(I1251="Mastered",K1251=""),"",K1251+IF(J1251&gt;=5,30,IF(J1251=4,14,IF(J1251=3,7,IF(J1251=2,3,1)))))</x:f>
      </x:c>
      <x:c r="M1251" s="171" t="str"/>
      <x:c r="N1251" s="171" t="str"/>
      <x:c r="O1251" s="171" t="str">
        <x:v>Draft — verify in context</x:v>
      </x:c>
      <x:c r="P1251" s="167" t="str">
        <x:v>https://www.oxfordlearnersdictionaries.com/wordlists/oxford3000-5000</x:v>
      </x:c>
    </x:row>
    <x:row r="1252" ht="26" customHeight="1">
      <x:c r="A1252" s="167" t="n">
        <x:v>1251</x:v>
      </x:c>
      <x:c r="B1252" s="167" t="str">
        <x:v>unify</x:v>
      </x:c>
      <x:c r="C1252" s="167" t="str">
        <x:v>v.</x:v>
      </x:c>
      <x:c r="D1252" s="170" t="str">
        <x:v>об'єднати</x:v>
      </x:c>
      <x:c r="E1252" s="167" t="str">
        <x:v>No</x:v>
      </x:c>
      <x:c r="F1252" s="167"/>
      <x:c r="G1252" s="167" t="str">
        <x:v>Core</x:v>
      </x:c>
      <x:c r="H1252" s="167" t="str">
        <x:v>General</x:v>
      </x:c>
      <x:c r="I1252" s="167" t="str">
        <x:v>Not Started</x:v>
      </x:c>
      <x:c r="J1252" s="167" t="n">
        <x:v>0</x:v>
      </x:c>
      <x:c r="K1252" s="168"/>
      <x:c r="L1252" s="168" t="str">
        <x:f>IF(OR(I1252="Mastered",K1252=""),"",K1252+IF(J1252&gt;=5,30,IF(J1252=4,14,IF(J1252=3,7,IF(J1252=2,3,1)))))</x:f>
      </x:c>
      <x:c r="M1252" s="171" t="str"/>
      <x:c r="N1252" s="171" t="str"/>
      <x:c r="O1252" s="171" t="str">
        <x:v>Draft — verify in context</x:v>
      </x:c>
      <x:c r="P1252" s="167" t="str">
        <x:v>https://www.oxfordlearnersdictionaries.com/wordlists/oxford3000-5000</x:v>
      </x:c>
    </x:row>
    <x:row r="1253" ht="26" customHeight="1">
      <x:c r="A1253" s="167" t="n">
        <x:v>1252</x:v>
      </x:c>
      <x:c r="B1253" s="167" t="str">
        <x:v>unprecedented</x:v>
      </x:c>
      <x:c r="C1253" s="167" t="str">
        <x:v>adj.</x:v>
      </x:c>
      <x:c r="D1253" s="170" t="str">
        <x:v>безпрецедентний</x:v>
      </x:c>
      <x:c r="E1253" s="167" t="str">
        <x:v>No</x:v>
      </x:c>
      <x:c r="F1253" s="167"/>
      <x:c r="G1253" s="167" t="str">
        <x:v>Core</x:v>
      </x:c>
      <x:c r="H1253" s="167" t="str">
        <x:v>General</x:v>
      </x:c>
      <x:c r="I1253" s="167" t="str">
        <x:v>Not Started</x:v>
      </x:c>
      <x:c r="J1253" s="167" t="n">
        <x:v>0</x:v>
      </x:c>
      <x:c r="K1253" s="168"/>
      <x:c r="L1253" s="168" t="str">
        <x:f>IF(OR(I1253="Mastered",K1253=""),"",K1253+IF(J1253&gt;=5,30,IF(J1253=4,14,IF(J1253=3,7,IF(J1253=2,3,1)))))</x:f>
      </x:c>
      <x:c r="M1253" s="171" t="str"/>
      <x:c r="N1253" s="171" t="str"/>
      <x:c r="O1253" s="171" t="str">
        <x:v>Draft — verify in context</x:v>
      </x:c>
      <x:c r="P1253" s="167" t="str">
        <x:v>https://www.oxfordlearnersdictionaries.com/wordlists/oxford3000-5000</x:v>
      </x:c>
    </x:row>
    <x:row r="1254" ht="26" customHeight="1">
      <x:c r="A1254" s="167" t="n">
        <x:v>1253</x:v>
      </x:c>
      <x:c r="B1254" s="167" t="str">
        <x:v>unveil</x:v>
      </x:c>
      <x:c r="C1254" s="167" t="str">
        <x:v>v.</x:v>
      </x:c>
      <x:c r="D1254" s="170" t="str">
        <x:v>розкрити</x:v>
      </x:c>
      <x:c r="E1254" s="167" t="str">
        <x:v>No</x:v>
      </x:c>
      <x:c r="F1254" s="167"/>
      <x:c r="G1254" s="167" t="str">
        <x:v>Core</x:v>
      </x:c>
      <x:c r="H1254" s="167" t="str">
        <x:v>General</x:v>
      </x:c>
      <x:c r="I1254" s="167" t="str">
        <x:v>Not Started</x:v>
      </x:c>
      <x:c r="J1254" s="167" t="n">
        <x:v>0</x:v>
      </x:c>
      <x:c r="K1254" s="168"/>
      <x:c r="L1254" s="168" t="str">
        <x:f>IF(OR(I1254="Mastered",K1254=""),"",K1254+IF(J1254&gt;=5,30,IF(J1254=4,14,IF(J1254=3,7,IF(J1254=2,3,1)))))</x:f>
      </x:c>
      <x:c r="M1254" s="171" t="str"/>
      <x:c r="N1254" s="171" t="str"/>
      <x:c r="O1254" s="171" t="str">
        <x:v>Draft — verify in context</x:v>
      </x:c>
      <x:c r="P1254" s="167" t="str">
        <x:v>https://www.oxfordlearnersdictionaries.com/wordlists/oxford3000-5000</x:v>
      </x:c>
    </x:row>
    <x:row r="1255" ht="26" customHeight="1">
      <x:c r="A1255" s="167" t="n">
        <x:v>1254</x:v>
      </x:c>
      <x:c r="B1255" s="167" t="str">
        <x:v>upcoming</x:v>
      </x:c>
      <x:c r="C1255" s="167" t="str">
        <x:v>adj.</x:v>
      </x:c>
      <x:c r="D1255" s="170" t="str">
        <x:v>майбутній</x:v>
      </x:c>
      <x:c r="E1255" s="167" t="str">
        <x:v>No</x:v>
      </x:c>
      <x:c r="F1255" s="167"/>
      <x:c r="G1255" s="167" t="str">
        <x:v>Core</x:v>
      </x:c>
      <x:c r="H1255" s="167" t="str">
        <x:v>General</x:v>
      </x:c>
      <x:c r="I1255" s="167" t="str">
        <x:v>Not Started</x:v>
      </x:c>
      <x:c r="J1255" s="167" t="n">
        <x:v>0</x:v>
      </x:c>
      <x:c r="K1255" s="168"/>
      <x:c r="L1255" s="168" t="str">
        <x:f>IF(OR(I1255="Mastered",K1255=""),"",K1255+IF(J1255&gt;=5,30,IF(J1255=4,14,IF(J1255=3,7,IF(J1255=2,3,1)))))</x:f>
      </x:c>
      <x:c r="M1255" s="171" t="str"/>
      <x:c r="N1255" s="171" t="str"/>
      <x:c r="O1255" s="171" t="str">
        <x:v>Draft — verify in context</x:v>
      </x:c>
      <x:c r="P1255" s="167" t="str">
        <x:v>https://www.oxfordlearnersdictionaries.com/wordlists/oxford3000-5000</x:v>
      </x:c>
    </x:row>
    <x:row r="1256" ht="26" customHeight="1">
      <x:c r="A1256" s="167" t="n">
        <x:v>1255</x:v>
      </x:c>
      <x:c r="B1256" s="167" t="str">
        <x:v>upgrade</x:v>
      </x:c>
      <x:c r="C1256" s="167" t="str">
        <x:v>v., n.</x:v>
      </x:c>
      <x:c r="D1256" s="170" t="str">
        <x:v>оновлення</x:v>
      </x:c>
      <x:c r="E1256" s="167" t="str">
        <x:v>No</x:v>
      </x:c>
      <x:c r="F1256" s="167"/>
      <x:c r="G1256" s="167" t="str">
        <x:v>Core</x:v>
      </x:c>
      <x:c r="H1256" s="167" t="str">
        <x:v>General</x:v>
      </x:c>
      <x:c r="I1256" s="167" t="str">
        <x:v>Not Started</x:v>
      </x:c>
      <x:c r="J1256" s="167" t="n">
        <x:v>0</x:v>
      </x:c>
      <x:c r="K1256" s="168"/>
      <x:c r="L1256" s="168" t="str">
        <x:f>IF(OR(I1256="Mastered",K1256=""),"",K1256+IF(J1256&gt;=5,30,IF(J1256=4,14,IF(J1256=3,7,IF(J1256=2,3,1)))))</x:f>
      </x:c>
      <x:c r="M1256" s="171" t="str"/>
      <x:c r="N1256" s="171" t="str"/>
      <x:c r="O1256" s="171" t="str">
        <x:v>Draft — verify in context</x:v>
      </x:c>
      <x:c r="P1256" s="167" t="str">
        <x:v>https://www.oxfordlearnersdictionaries.com/wordlists/oxford3000-5000</x:v>
      </x:c>
    </x:row>
    <x:row r="1257" ht="26" customHeight="1">
      <x:c r="A1257" s="167" t="n">
        <x:v>1256</x:v>
      </x:c>
      <x:c r="B1257" s="167" t="str">
        <x:v>uphold</x:v>
      </x:c>
      <x:c r="C1257" s="167" t="str">
        <x:v>v.</x:v>
      </x:c>
      <x:c r="D1257" s="170" t="str">
        <x:v>підтримувати</x:v>
      </x:c>
      <x:c r="E1257" s="167" t="str">
        <x:v>No</x:v>
      </x:c>
      <x:c r="F1257" s="167"/>
      <x:c r="G1257" s="167" t="str">
        <x:v>Core</x:v>
      </x:c>
      <x:c r="H1257" s="167" t="str">
        <x:v>General</x:v>
      </x:c>
      <x:c r="I1257" s="167" t="str">
        <x:v>Not Started</x:v>
      </x:c>
      <x:c r="J1257" s="167" t="n">
        <x:v>0</x:v>
      </x:c>
      <x:c r="K1257" s="168"/>
      <x:c r="L1257" s="168" t="str">
        <x:f>IF(OR(I1257="Mastered",K1257=""),"",K1257+IF(J1257&gt;=5,30,IF(J1257=4,14,IF(J1257=3,7,IF(J1257=2,3,1)))))</x:f>
      </x:c>
      <x:c r="M1257" s="171" t="str"/>
      <x:c r="N1257" s="171" t="str"/>
      <x:c r="O1257" s="171" t="str">
        <x:v>Draft — verify in context</x:v>
      </x:c>
      <x:c r="P1257" s="167" t="str">
        <x:v>https://www.oxfordlearnersdictionaries.com/wordlists/oxford3000-5000</x:v>
      </x:c>
    </x:row>
    <x:row r="1258" ht="26" customHeight="1">
      <x:c r="A1258" s="167" t="n">
        <x:v>1257</x:v>
      </x:c>
      <x:c r="B1258" s="167" t="str">
        <x:v>utility</x:v>
      </x:c>
      <x:c r="C1258" s="167" t="str">
        <x:v>n.</x:v>
      </x:c>
      <x:c r="D1258" s="170" t="str">
        <x:v>корисність; комунальна служба</x:v>
      </x:c>
      <x:c r="E1258" s="167" t="str">
        <x:v>Yes</x:v>
      </x:c>
      <x:c r="F1258" s="167" t="n">
        <x:v>6</x:v>
      </x:c>
      <x:c r="G1258" s="167" t="str">
        <x:v>High</x:v>
      </x:c>
      <x:c r="H1258" s="167" t="str">
        <x:v>General</x:v>
      </x:c>
      <x:c r="I1258" s="167" t="str">
        <x:v>Not Started</x:v>
      </x:c>
      <x:c r="J1258" s="167" t="n">
        <x:v>0</x:v>
      </x:c>
      <x:c r="K1258" s="168"/>
      <x:c r="L1258" s="168" t="str">
        <x:f>IF(OR(I1258="Mastered",K1258=""),"",K1258+IF(J1258&gt;=5,30,IF(J1258=4,14,IF(J1258=3,7,IF(J1258=2,3,1)))))</x:f>
      </x:c>
      <x:c r="M1258" s="171" t="str"/>
      <x:c r="N1258" s="171" t="str"/>
      <x:c r="O1258" s="171" t="str">
        <x:v>Draft — verify in context</x:v>
      </x:c>
      <x:c r="P1258" s="167" t="str">
        <x:v>https://www.oxfordlearnersdictionaries.com/wordlists/oxford3000-5000</x:v>
      </x:c>
    </x:row>
    <x:row r="1259" ht="26" customHeight="1">
      <x:c r="A1259" s="167" t="n">
        <x:v>1258</x:v>
      </x:c>
      <x:c r="B1259" s="167" t="str">
        <x:v>utilize</x:v>
      </x:c>
      <x:c r="C1259" s="167" t="str">
        <x:v>v.</x:v>
      </x:c>
      <x:c r="D1259" s="170" t="str">
        <x:v>використовувати</x:v>
      </x:c>
      <x:c r="E1259" s="167" t="str">
        <x:v>No</x:v>
      </x:c>
      <x:c r="F1259" s="167"/>
      <x:c r="G1259" s="167" t="str">
        <x:v>Core</x:v>
      </x:c>
      <x:c r="H1259" s="167" t="str">
        <x:v>General</x:v>
      </x:c>
      <x:c r="I1259" s="167" t="str">
        <x:v>Not Started</x:v>
      </x:c>
      <x:c r="J1259" s="167" t="n">
        <x:v>0</x:v>
      </x:c>
      <x:c r="K1259" s="168"/>
      <x:c r="L1259" s="168" t="str">
        <x:f>IF(OR(I1259="Mastered",K1259=""),"",K1259+IF(J1259&gt;=5,30,IF(J1259=4,14,IF(J1259=3,7,IF(J1259=2,3,1)))))</x:f>
      </x:c>
      <x:c r="M1259" s="171" t="str"/>
      <x:c r="N1259" s="171" t="str"/>
      <x:c r="O1259" s="171" t="str">
        <x:v>Draft — verify in context</x:v>
      </x:c>
      <x:c r="P1259" s="167" t="str">
        <x:v>https://www.oxfordlearnersdictionaries.com/wordlists/oxford3000-5000</x:v>
      </x:c>
    </x:row>
    <x:row r="1260" ht="26" customHeight="1">
      <x:c r="A1260" s="167" t="n">
        <x:v>1259</x:v>
      </x:c>
      <x:c r="B1260" s="167" t="str">
        <x:v>utterly</x:v>
      </x:c>
      <x:c r="C1260" s="167" t="str">
        <x:v>adv.</x:v>
      </x:c>
      <x:c r="D1260" s="170" t="str">
        <x:v>цілком</x:v>
      </x:c>
      <x:c r="E1260" s="167" t="str">
        <x:v>No</x:v>
      </x:c>
      <x:c r="F1260" s="167"/>
      <x:c r="G1260" s="167" t="str">
        <x:v>Core</x:v>
      </x:c>
      <x:c r="H1260" s="167" t="str">
        <x:v>General</x:v>
      </x:c>
      <x:c r="I1260" s="167" t="str">
        <x:v>Not Started</x:v>
      </x:c>
      <x:c r="J1260" s="167" t="n">
        <x:v>0</x:v>
      </x:c>
      <x:c r="K1260" s="168"/>
      <x:c r="L1260" s="168" t="str">
        <x:f>IF(OR(I1260="Mastered",K1260=""),"",K1260+IF(J1260&gt;=5,30,IF(J1260=4,14,IF(J1260=3,7,IF(J1260=2,3,1)))))</x:f>
      </x:c>
      <x:c r="M1260" s="171" t="str"/>
      <x:c r="N1260" s="171" t="str"/>
      <x:c r="O1260" s="171" t="str">
        <x:v>Draft — verify in context</x:v>
      </x:c>
      <x:c r="P1260" s="167" t="str">
        <x:v>https://www.oxfordlearnersdictionaries.com/wordlists/oxford3000-5000</x:v>
      </x:c>
    </x:row>
    <x:row r="1261" ht="26" customHeight="1">
      <x:c r="A1261" s="167" t="n">
        <x:v>1260</x:v>
      </x:c>
      <x:c r="B1261" s="167" t="str">
        <x:v>vacuum</x:v>
      </x:c>
      <x:c r="C1261" s="167" t="str">
        <x:v>n.</x:v>
      </x:c>
      <x:c r="D1261" s="170" t="str">
        <x:v>вакуум</x:v>
      </x:c>
      <x:c r="E1261" s="167" t="str">
        <x:v>No</x:v>
      </x:c>
      <x:c r="F1261" s="167"/>
      <x:c r="G1261" s="167" t="str">
        <x:v>Core</x:v>
      </x:c>
      <x:c r="H1261" s="167" t="str">
        <x:v>General</x:v>
      </x:c>
      <x:c r="I1261" s="167" t="str">
        <x:v>Not Started</x:v>
      </x:c>
      <x:c r="J1261" s="167" t="n">
        <x:v>0</x:v>
      </x:c>
      <x:c r="K1261" s="168"/>
      <x:c r="L1261" s="168" t="str">
        <x:f>IF(OR(I1261="Mastered",K1261=""),"",K1261+IF(J1261&gt;=5,30,IF(J1261=4,14,IF(J1261=3,7,IF(J1261=2,3,1)))))</x:f>
      </x:c>
      <x:c r="M1261" s="171" t="str"/>
      <x:c r="N1261" s="171" t="str"/>
      <x:c r="O1261" s="171" t="str">
        <x:v>Draft — verify in context</x:v>
      </x:c>
      <x:c r="P1261" s="167" t="str">
        <x:v>https://www.oxfordlearnersdictionaries.com/wordlists/oxford3000-5000</x:v>
      </x:c>
    </x:row>
    <x:row r="1262" ht="26" customHeight="1">
      <x:c r="A1262" s="167" t="n">
        <x:v>1261</x:v>
      </x:c>
      <x:c r="B1262" s="167" t="str">
        <x:v>vague</x:v>
      </x:c>
      <x:c r="C1262" s="167" t="str">
        <x:v>adj.</x:v>
      </x:c>
      <x:c r="D1262" s="170" t="str">
        <x:v>розпливчастий</x:v>
      </x:c>
      <x:c r="E1262" s="167" t="str">
        <x:v>No</x:v>
      </x:c>
      <x:c r="F1262" s="167"/>
      <x:c r="G1262" s="167" t="str">
        <x:v>Core</x:v>
      </x:c>
      <x:c r="H1262" s="167" t="str">
        <x:v>General</x:v>
      </x:c>
      <x:c r="I1262" s="167" t="str">
        <x:v>Not Started</x:v>
      </x:c>
      <x:c r="J1262" s="167" t="n">
        <x:v>0</x:v>
      </x:c>
      <x:c r="K1262" s="168"/>
      <x:c r="L1262" s="168" t="str">
        <x:f>IF(OR(I1262="Mastered",K1262=""),"",K1262+IF(J1262&gt;=5,30,IF(J1262=4,14,IF(J1262=3,7,IF(J1262=2,3,1)))))</x:f>
      </x:c>
      <x:c r="M1262" s="171" t="str"/>
      <x:c r="N1262" s="171" t="str"/>
      <x:c r="O1262" s="171" t="str">
        <x:v>Draft — verify in context</x:v>
      </x:c>
      <x:c r="P1262" s="167" t="str">
        <x:v>https://www.oxfordlearnersdictionaries.com/wordlists/oxford3000-5000</x:v>
      </x:c>
    </x:row>
    <x:row r="1263" ht="26" customHeight="1">
      <x:c r="A1263" s="167" t="n">
        <x:v>1262</x:v>
      </x:c>
      <x:c r="B1263" s="167" t="str">
        <x:v>validity</x:v>
      </x:c>
      <x:c r="C1263" s="167" t="str">
        <x:v>n.</x:v>
      </x:c>
      <x:c r="D1263" s="170" t="str">
        <x:v>дійсність</x:v>
      </x:c>
      <x:c r="E1263" s="167" t="str">
        <x:v>Yes</x:v>
      </x:c>
      <x:c r="F1263" s="167" t="n">
        <x:v>3</x:v>
      </x:c>
      <x:c r="G1263" s="167" t="str">
        <x:v>High</x:v>
      </x:c>
      <x:c r="H1263" s="167" t="str">
        <x:v>General</x:v>
      </x:c>
      <x:c r="I1263" s="167" t="str">
        <x:v>Not Started</x:v>
      </x:c>
      <x:c r="J1263" s="167" t="n">
        <x:v>0</x:v>
      </x:c>
      <x:c r="K1263" s="168"/>
      <x:c r="L1263" s="168" t="str">
        <x:f>IF(OR(I1263="Mastered",K1263=""),"",K1263+IF(J1263&gt;=5,30,IF(J1263=4,14,IF(J1263=3,7,IF(J1263=2,3,1)))))</x:f>
      </x:c>
      <x:c r="M1263" s="171" t="str"/>
      <x:c r="N1263" s="171" t="str"/>
      <x:c r="O1263" s="171" t="str">
        <x:v>Draft — verify in context</x:v>
      </x:c>
      <x:c r="P1263" s="167" t="str">
        <x:v>https://www.oxfordlearnersdictionaries.com/wordlists/oxford3000-5000</x:v>
      </x:c>
    </x:row>
    <x:row r="1264" ht="26" customHeight="1">
      <x:c r="A1264" s="167" t="n">
        <x:v>1263</x:v>
      </x:c>
      <x:c r="B1264" s="167" t="str">
        <x:v>vanish</x:v>
      </x:c>
      <x:c r="C1264" s="167" t="str">
        <x:v>v.</x:v>
      </x:c>
      <x:c r="D1264" s="170" t="str">
        <x:v>зникати</x:v>
      </x:c>
      <x:c r="E1264" s="167" t="str">
        <x:v>No</x:v>
      </x:c>
      <x:c r="F1264" s="167"/>
      <x:c r="G1264" s="167" t="str">
        <x:v>Core</x:v>
      </x:c>
      <x:c r="H1264" s="167" t="str">
        <x:v>General</x:v>
      </x:c>
      <x:c r="I1264" s="167" t="str">
        <x:v>Not Started</x:v>
      </x:c>
      <x:c r="J1264" s="167" t="n">
        <x:v>0</x:v>
      </x:c>
      <x:c r="K1264" s="168"/>
      <x:c r="L1264" s="168" t="str">
        <x:f>IF(OR(I1264="Mastered",K1264=""),"",K1264+IF(J1264&gt;=5,30,IF(J1264=4,14,IF(J1264=3,7,IF(J1264=2,3,1)))))</x:f>
      </x:c>
      <x:c r="M1264" s="171" t="str"/>
      <x:c r="N1264" s="171" t="str"/>
      <x:c r="O1264" s="171" t="str">
        <x:v>Draft — verify in context</x:v>
      </x:c>
      <x:c r="P1264" s="167" t="str">
        <x:v>https://www.oxfordlearnersdictionaries.com/wordlists/oxford3000-5000</x:v>
      </x:c>
    </x:row>
    <x:row r="1265" ht="26" customHeight="1">
      <x:c r="A1265" s="167" t="n">
        <x:v>1264</x:v>
      </x:c>
      <x:c r="B1265" s="167" t="str">
        <x:v>variable</x:v>
      </x:c>
      <x:c r="C1265" s="167" t="str">
        <x:v>n., adj.</x:v>
      </x:c>
      <x:c r="D1265" s="170" t="str">
        <x:v>змінна</x:v>
      </x:c>
      <x:c r="E1265" s="167" t="str">
        <x:v>No</x:v>
      </x:c>
      <x:c r="F1265" s="167"/>
      <x:c r="G1265" s="167" t="str">
        <x:v>Core</x:v>
      </x:c>
      <x:c r="H1265" s="167" t="str">
        <x:v>General</x:v>
      </x:c>
      <x:c r="I1265" s="167" t="str">
        <x:v>Not Started</x:v>
      </x:c>
      <x:c r="J1265" s="167" t="n">
        <x:v>0</x:v>
      </x:c>
      <x:c r="K1265" s="168"/>
      <x:c r="L1265" s="168" t="str">
        <x:f>IF(OR(I1265="Mastered",K1265=""),"",K1265+IF(J1265&gt;=5,30,IF(J1265=4,14,IF(J1265=3,7,IF(J1265=2,3,1)))))</x:f>
      </x:c>
      <x:c r="M1265" s="171" t="str"/>
      <x:c r="N1265" s="171" t="str"/>
      <x:c r="O1265" s="171" t="str">
        <x:v>Draft — verify in context</x:v>
      </x:c>
      <x:c r="P1265" s="167" t="str">
        <x:v>https://www.oxfordlearnersdictionaries.com/wordlists/oxford3000-5000</x:v>
      </x:c>
    </x:row>
    <x:row r="1266" ht="26" customHeight="1">
      <x:c r="A1266" s="167" t="n">
        <x:v>1265</x:v>
      </x:c>
      <x:c r="B1266" s="167" t="str">
        <x:v>varied</x:v>
      </x:c>
      <x:c r="C1266" s="167" t="str">
        <x:v>adj.</x:v>
      </x:c>
      <x:c r="D1266" s="170" t="str">
        <x:v>різноманітний</x:v>
      </x:c>
      <x:c r="E1266" s="167" t="str">
        <x:v>No</x:v>
      </x:c>
      <x:c r="F1266" s="167"/>
      <x:c r="G1266" s="167" t="str">
        <x:v>Core</x:v>
      </x:c>
      <x:c r="H1266" s="167" t="str">
        <x:v>General</x:v>
      </x:c>
      <x:c r="I1266" s="167" t="str">
        <x:v>Not Started</x:v>
      </x:c>
      <x:c r="J1266" s="167" t="n">
        <x:v>0</x:v>
      </x:c>
      <x:c r="K1266" s="168"/>
      <x:c r="L1266" s="168" t="str">
        <x:f>IF(OR(I1266="Mastered",K1266=""),"",K1266+IF(J1266&gt;=5,30,IF(J1266=4,14,IF(J1266=3,7,IF(J1266=2,3,1)))))</x:f>
      </x:c>
      <x:c r="M1266" s="171" t="str"/>
      <x:c r="N1266" s="171" t="str"/>
      <x:c r="O1266" s="171" t="str">
        <x:v>Draft — verify in context</x:v>
      </x:c>
      <x:c r="P1266" s="167" t="str">
        <x:v>https://www.oxfordlearnersdictionaries.com/wordlists/oxford3000-5000</x:v>
      </x:c>
    </x:row>
    <x:row r="1267" ht="26" customHeight="1">
      <x:c r="A1267" s="167" t="n">
        <x:v>1266</x:v>
      </x:c>
      <x:c r="B1267" s="167" t="str">
        <x:v>vein</x:v>
      </x:c>
      <x:c r="C1267" s="167" t="str">
        <x:v>n.</x:v>
      </x:c>
      <x:c r="D1267" s="170" t="str">
        <x:v>вена</x:v>
      </x:c>
      <x:c r="E1267" s="167" t="str">
        <x:v>No</x:v>
      </x:c>
      <x:c r="F1267" s="167"/>
      <x:c r="G1267" s="167" t="str">
        <x:v>Core</x:v>
      </x:c>
      <x:c r="H1267" s="167" t="str">
        <x:v>General</x:v>
      </x:c>
      <x:c r="I1267" s="167" t="str">
        <x:v>Not Started</x:v>
      </x:c>
      <x:c r="J1267" s="167" t="n">
        <x:v>0</x:v>
      </x:c>
      <x:c r="K1267" s="168"/>
      <x:c r="L1267" s="168" t="str">
        <x:f>IF(OR(I1267="Mastered",K1267=""),"",K1267+IF(J1267&gt;=5,30,IF(J1267=4,14,IF(J1267=3,7,IF(J1267=2,3,1)))))</x:f>
      </x:c>
      <x:c r="M1267" s="171" t="str"/>
      <x:c r="N1267" s="171" t="str"/>
      <x:c r="O1267" s="171" t="str">
        <x:v>Draft — verify in context</x:v>
      </x:c>
      <x:c r="P1267" s="167" t="str">
        <x:v>https://www.oxfordlearnersdictionaries.com/wordlists/oxford3000-5000</x:v>
      </x:c>
    </x:row>
    <x:row r="1268" ht="26" customHeight="1">
      <x:c r="A1268" s="167" t="n">
        <x:v>1267</x:v>
      </x:c>
      <x:c r="B1268" s="167" t="str">
        <x:v>venture</x:v>
      </x:c>
      <x:c r="C1268" s="167" t="str">
        <x:v>n., v.</x:v>
      </x:c>
      <x:c r="D1268" s="170" t="str">
        <x:v>підприємство</x:v>
      </x:c>
      <x:c r="E1268" s="167" t="str">
        <x:v>No</x:v>
      </x:c>
      <x:c r="F1268" s="167"/>
      <x:c r="G1268" s="167" t="str">
        <x:v>Core</x:v>
      </x:c>
      <x:c r="H1268" s="167" t="str">
        <x:v>General</x:v>
      </x:c>
      <x:c r="I1268" s="167" t="str">
        <x:v>Not Started</x:v>
      </x:c>
      <x:c r="J1268" s="167" t="n">
        <x:v>0</x:v>
      </x:c>
      <x:c r="K1268" s="168"/>
      <x:c r="L1268" s="168" t="str">
        <x:f>IF(OR(I1268="Mastered",K1268=""),"",K1268+IF(J1268&gt;=5,30,IF(J1268=4,14,IF(J1268=3,7,IF(J1268=2,3,1)))))</x:f>
      </x:c>
      <x:c r="M1268" s="171" t="str"/>
      <x:c r="N1268" s="171" t="str"/>
      <x:c r="O1268" s="171" t="str">
        <x:v>Draft — verify in context</x:v>
      </x:c>
      <x:c r="P1268" s="167" t="str">
        <x:v>https://www.oxfordlearnersdictionaries.com/wordlists/oxford3000-5000</x:v>
      </x:c>
    </x:row>
    <x:row r="1269" ht="26" customHeight="1">
      <x:c r="A1269" s="167" t="n">
        <x:v>1268</x:v>
      </x:c>
      <x:c r="B1269" s="167" t="str">
        <x:v>verbal</x:v>
      </x:c>
      <x:c r="C1269" s="167" t="str">
        <x:v>adj.</x:v>
      </x:c>
      <x:c r="D1269" s="170" t="str">
        <x:v>дієслівний</x:v>
      </x:c>
      <x:c r="E1269" s="167" t="str">
        <x:v>No</x:v>
      </x:c>
      <x:c r="F1269" s="167"/>
      <x:c r="G1269" s="167" t="str">
        <x:v>Core</x:v>
      </x:c>
      <x:c r="H1269" s="167" t="str">
        <x:v>General</x:v>
      </x:c>
      <x:c r="I1269" s="167" t="str">
        <x:v>Not Started</x:v>
      </x:c>
      <x:c r="J1269" s="167" t="n">
        <x:v>0</x:v>
      </x:c>
      <x:c r="K1269" s="168"/>
      <x:c r="L1269" s="168" t="str">
        <x:f>IF(OR(I1269="Mastered",K1269=""),"",K1269+IF(J1269&gt;=5,30,IF(J1269=4,14,IF(J1269=3,7,IF(J1269=2,3,1)))))</x:f>
      </x:c>
      <x:c r="M1269" s="171" t="str"/>
      <x:c r="N1269" s="171" t="str"/>
      <x:c r="O1269" s="171" t="str">
        <x:v>Draft — verify in context</x:v>
      </x:c>
      <x:c r="P1269" s="167" t="str">
        <x:v>https://www.oxfordlearnersdictionaries.com/wordlists/oxford3000-5000</x:v>
      </x:c>
    </x:row>
    <x:row r="1270" ht="26" customHeight="1">
      <x:c r="A1270" s="167" t="n">
        <x:v>1269</x:v>
      </x:c>
      <x:c r="B1270" s="167" t="str">
        <x:v>verdict</x:v>
      </x:c>
      <x:c r="C1270" s="167" t="str">
        <x:v>n.</x:v>
      </x:c>
      <x:c r="D1270" s="170" t="str">
        <x:v>вирок</x:v>
      </x:c>
      <x:c r="E1270" s="167" t="str">
        <x:v>No</x:v>
      </x:c>
      <x:c r="F1270" s="167"/>
      <x:c r="G1270" s="167" t="str">
        <x:v>Core</x:v>
      </x:c>
      <x:c r="H1270" s="167" t="str">
        <x:v>General</x:v>
      </x:c>
      <x:c r="I1270" s="167" t="str">
        <x:v>Not Started</x:v>
      </x:c>
      <x:c r="J1270" s="167" t="n">
        <x:v>0</x:v>
      </x:c>
      <x:c r="K1270" s="168"/>
      <x:c r="L1270" s="168" t="str">
        <x:f>IF(OR(I1270="Mastered",K1270=""),"",K1270+IF(J1270&gt;=5,30,IF(J1270=4,14,IF(J1270=3,7,IF(J1270=2,3,1)))))</x:f>
      </x:c>
      <x:c r="M1270" s="171" t="str"/>
      <x:c r="N1270" s="171" t="str"/>
      <x:c r="O1270" s="171" t="str">
        <x:v>Draft — verify in context</x:v>
      </x:c>
      <x:c r="P1270" s="167" t="str">
        <x:v>https://www.oxfordlearnersdictionaries.com/wordlists/oxford3000-5000</x:v>
      </x:c>
    </x:row>
    <x:row r="1271" ht="26" customHeight="1">
      <x:c r="A1271" s="167" t="n">
        <x:v>1270</x:v>
      </x:c>
      <x:c r="B1271" s="167" t="str">
        <x:v>verify</x:v>
      </x:c>
      <x:c r="C1271" s="167" t="str">
        <x:v>v.</x:v>
      </x:c>
      <x:c r="D1271" s="170" t="str">
        <x:v>перевірити</x:v>
      </x:c>
      <x:c r="E1271" s="167" t="str">
        <x:v>No</x:v>
      </x:c>
      <x:c r="F1271" s="167"/>
      <x:c r="G1271" s="167" t="str">
        <x:v>Core</x:v>
      </x:c>
      <x:c r="H1271" s="167" t="str">
        <x:v>General</x:v>
      </x:c>
      <x:c r="I1271" s="167" t="str">
        <x:v>Not Started</x:v>
      </x:c>
      <x:c r="J1271" s="167" t="n">
        <x:v>0</x:v>
      </x:c>
      <x:c r="K1271" s="168"/>
      <x:c r="L1271" s="168" t="str">
        <x:f>IF(OR(I1271="Mastered",K1271=""),"",K1271+IF(J1271&gt;=5,30,IF(J1271=4,14,IF(J1271=3,7,IF(J1271=2,3,1)))))</x:f>
      </x:c>
      <x:c r="M1271" s="171" t="str"/>
      <x:c r="N1271" s="171" t="str"/>
      <x:c r="O1271" s="171" t="str">
        <x:v>Draft — verify in context</x:v>
      </x:c>
      <x:c r="P1271" s="167" t="str">
        <x:v>https://www.oxfordlearnersdictionaries.com/wordlists/oxford3000-5000</x:v>
      </x:c>
    </x:row>
    <x:row r="1272" ht="26" customHeight="1">
      <x:c r="A1272" s="167" t="n">
        <x:v>1271</x:v>
      </x:c>
      <x:c r="B1272" s="167" t="str">
        <x:v>verse</x:v>
      </x:c>
      <x:c r="C1272" s="167" t="str">
        <x:v>n.</x:v>
      </x:c>
      <x:c r="D1272" s="170" t="str">
        <x:v>вірш</x:v>
      </x:c>
      <x:c r="E1272" s="167" t="str">
        <x:v>No</x:v>
      </x:c>
      <x:c r="F1272" s="167"/>
      <x:c r="G1272" s="167" t="str">
        <x:v>Core</x:v>
      </x:c>
      <x:c r="H1272" s="167" t="str">
        <x:v>General</x:v>
      </x:c>
      <x:c r="I1272" s="167" t="str">
        <x:v>Not Started</x:v>
      </x:c>
      <x:c r="J1272" s="167" t="n">
        <x:v>0</x:v>
      </x:c>
      <x:c r="K1272" s="168"/>
      <x:c r="L1272" s="168" t="str">
        <x:f>IF(OR(I1272="Mastered",K1272=""),"",K1272+IF(J1272&gt;=5,30,IF(J1272=4,14,IF(J1272=3,7,IF(J1272=2,3,1)))))</x:f>
      </x:c>
      <x:c r="M1272" s="171" t="str"/>
      <x:c r="N1272" s="171" t="str"/>
      <x:c r="O1272" s="171" t="str">
        <x:v>Draft — verify in context</x:v>
      </x:c>
      <x:c r="P1272" s="167" t="str">
        <x:v>https://www.oxfordlearnersdictionaries.com/wordlists/oxford3000-5000</x:v>
      </x:c>
    </x:row>
    <x:row r="1273" ht="26" customHeight="1">
      <x:c r="A1273" s="167" t="n">
        <x:v>1272</x:v>
      </x:c>
      <x:c r="B1273" s="167" t="str">
        <x:v>versus</x:v>
      </x:c>
      <x:c r="C1273" s="167" t="str">
        <x:v>prep.</x:v>
      </x:c>
      <x:c r="D1273" s="170" t="str">
        <x:v>проти</x:v>
      </x:c>
      <x:c r="E1273" s="167" t="str">
        <x:v>No</x:v>
      </x:c>
      <x:c r="F1273" s="167"/>
      <x:c r="G1273" s="167" t="str">
        <x:v>Core</x:v>
      </x:c>
      <x:c r="H1273" s="167" t="str">
        <x:v>General</x:v>
      </x:c>
      <x:c r="I1273" s="167" t="str">
        <x:v>Not Started</x:v>
      </x:c>
      <x:c r="J1273" s="167" t="n">
        <x:v>0</x:v>
      </x:c>
      <x:c r="K1273" s="168"/>
      <x:c r="L1273" s="168" t="str">
        <x:f>IF(OR(I1273="Mastered",K1273=""),"",K1273+IF(J1273&gt;=5,30,IF(J1273=4,14,IF(J1273=3,7,IF(J1273=2,3,1)))))</x:f>
      </x:c>
      <x:c r="M1273" s="171" t="str"/>
      <x:c r="N1273" s="171" t="str"/>
      <x:c r="O1273" s="171" t="str">
        <x:v>Draft — verify in context</x:v>
      </x:c>
      <x:c r="P1273" s="167" t="str">
        <x:v>https://www.oxfordlearnersdictionaries.com/wordlists/oxford3000-5000</x:v>
      </x:c>
    </x:row>
    <x:row r="1274" ht="26" customHeight="1">
      <x:c r="A1274" s="167" t="n">
        <x:v>1273</x:v>
      </x:c>
      <x:c r="B1274" s="167" t="str">
        <x:v>vessel</x:v>
      </x:c>
      <x:c r="C1274" s="167" t="str">
        <x:v>n.</x:v>
      </x:c>
      <x:c r="D1274" s="170" t="str">
        <x:v>судно</x:v>
      </x:c>
      <x:c r="E1274" s="167" t="str">
        <x:v>No</x:v>
      </x:c>
      <x:c r="F1274" s="167"/>
      <x:c r="G1274" s="167" t="str">
        <x:v>Core</x:v>
      </x:c>
      <x:c r="H1274" s="167" t="str">
        <x:v>General</x:v>
      </x:c>
      <x:c r="I1274" s="167" t="str">
        <x:v>Not Started</x:v>
      </x:c>
      <x:c r="J1274" s="167" t="n">
        <x:v>0</x:v>
      </x:c>
      <x:c r="K1274" s="168"/>
      <x:c r="L1274" s="168" t="str">
        <x:f>IF(OR(I1274="Mastered",K1274=""),"",K1274+IF(J1274&gt;=5,30,IF(J1274=4,14,IF(J1274=3,7,IF(J1274=2,3,1)))))</x:f>
      </x:c>
      <x:c r="M1274" s="171" t="str"/>
      <x:c r="N1274" s="171" t="str"/>
      <x:c r="O1274" s="171" t="str">
        <x:v>Draft — verify in context</x:v>
      </x:c>
      <x:c r="P1274" s="167" t="str">
        <x:v>https://www.oxfordlearnersdictionaries.com/wordlists/oxford3000-5000</x:v>
      </x:c>
    </x:row>
    <x:row r="1275" ht="26" customHeight="1">
      <x:c r="A1275" s="167" t="n">
        <x:v>1274</x:v>
      </x:c>
      <x:c r="B1275" s="167" t="str">
        <x:v>veteran</x:v>
      </x:c>
      <x:c r="C1275" s="167" t="str">
        <x:v>n.</x:v>
      </x:c>
      <x:c r="D1275" s="170" t="str">
        <x:v>ветеран</x:v>
      </x:c>
      <x:c r="E1275" s="167" t="str">
        <x:v>No</x:v>
      </x:c>
      <x:c r="F1275" s="167"/>
      <x:c r="G1275" s="167" t="str">
        <x:v>Core</x:v>
      </x:c>
      <x:c r="H1275" s="167" t="str">
        <x:v>General</x:v>
      </x:c>
      <x:c r="I1275" s="167" t="str">
        <x:v>Not Started</x:v>
      </x:c>
      <x:c r="J1275" s="167" t="n">
        <x:v>0</x:v>
      </x:c>
      <x:c r="K1275" s="168"/>
      <x:c r="L1275" s="168" t="str">
        <x:f>IF(OR(I1275="Mastered",K1275=""),"",K1275+IF(J1275&gt;=5,30,IF(J1275=4,14,IF(J1275=3,7,IF(J1275=2,3,1)))))</x:f>
      </x:c>
      <x:c r="M1275" s="171" t="str"/>
      <x:c r="N1275" s="171" t="str"/>
      <x:c r="O1275" s="171" t="str">
        <x:v>Draft — verify in context</x:v>
      </x:c>
      <x:c r="P1275" s="167" t="str">
        <x:v>https://www.oxfordlearnersdictionaries.com/wordlists/oxford3000-5000</x:v>
      </x:c>
    </x:row>
    <x:row r="1276" ht="26" customHeight="1">
      <x:c r="A1276" s="167" t="n">
        <x:v>1275</x:v>
      </x:c>
      <x:c r="B1276" s="167" t="str">
        <x:v>viable</x:v>
      </x:c>
      <x:c r="C1276" s="167" t="str">
        <x:v>adj.</x:v>
      </x:c>
      <x:c r="D1276" s="170" t="str">
        <x:v>життєздатний</x:v>
      </x:c>
      <x:c r="E1276" s="167" t="str">
        <x:v>No</x:v>
      </x:c>
      <x:c r="F1276" s="167"/>
      <x:c r="G1276" s="167" t="str">
        <x:v>Core</x:v>
      </x:c>
      <x:c r="H1276" s="167" t="str">
        <x:v>General</x:v>
      </x:c>
      <x:c r="I1276" s="167" t="str">
        <x:v>Not Started</x:v>
      </x:c>
      <x:c r="J1276" s="167" t="n">
        <x:v>0</x:v>
      </x:c>
      <x:c r="K1276" s="168"/>
      <x:c r="L1276" s="168" t="str">
        <x:f>IF(OR(I1276="Mastered",K1276=""),"",K1276+IF(J1276&gt;=5,30,IF(J1276=4,14,IF(J1276=3,7,IF(J1276=2,3,1)))))</x:f>
      </x:c>
      <x:c r="M1276" s="171" t="str"/>
      <x:c r="N1276" s="171" t="str"/>
      <x:c r="O1276" s="171" t="str">
        <x:v>Draft — verify in context</x:v>
      </x:c>
      <x:c r="P1276" s="167" t="str">
        <x:v>https://www.oxfordlearnersdictionaries.com/wordlists/oxford3000-5000</x:v>
      </x:c>
    </x:row>
    <x:row r="1277" ht="26" customHeight="1">
      <x:c r="A1277" s="167" t="n">
        <x:v>1276</x:v>
      </x:c>
      <x:c r="B1277" s="167" t="str">
        <x:v>vibrant</x:v>
      </x:c>
      <x:c r="C1277" s="167" t="str">
        <x:v>adj.</x:v>
      </x:c>
      <x:c r="D1277" s="170" t="str">
        <x:v>яскравий</x:v>
      </x:c>
      <x:c r="E1277" s="167" t="str">
        <x:v>No</x:v>
      </x:c>
      <x:c r="F1277" s="167"/>
      <x:c r="G1277" s="167" t="str">
        <x:v>Core</x:v>
      </x:c>
      <x:c r="H1277" s="167" t="str">
        <x:v>General</x:v>
      </x:c>
      <x:c r="I1277" s="167" t="str">
        <x:v>Not Started</x:v>
      </x:c>
      <x:c r="J1277" s="167" t="n">
        <x:v>0</x:v>
      </x:c>
      <x:c r="K1277" s="168"/>
      <x:c r="L1277" s="168" t="str">
        <x:f>IF(OR(I1277="Mastered",K1277=""),"",K1277+IF(J1277&gt;=5,30,IF(J1277=4,14,IF(J1277=3,7,IF(J1277=2,3,1)))))</x:f>
      </x:c>
      <x:c r="M1277" s="171" t="str"/>
      <x:c r="N1277" s="171" t="str"/>
      <x:c r="O1277" s="171" t="str">
        <x:v>Draft — verify in context</x:v>
      </x:c>
      <x:c r="P1277" s="167" t="str">
        <x:v>https://www.oxfordlearnersdictionaries.com/wordlists/oxford3000-5000</x:v>
      </x:c>
    </x:row>
    <x:row r="1278" ht="26" customHeight="1">
      <x:c r="A1278" s="167" t="n">
        <x:v>1277</x:v>
      </x:c>
      <x:c r="B1278" s="167" t="str">
        <x:v>vice</x:v>
      </x:c>
      <x:c r="C1278" s="167" t="str">
        <x:v>n.</x:v>
      </x:c>
      <x:c r="D1278" s="170" t="str">
        <x:v>порок</x:v>
      </x:c>
      <x:c r="E1278" s="167" t="str">
        <x:v>No</x:v>
      </x:c>
      <x:c r="F1278" s="167"/>
      <x:c r="G1278" s="167" t="str">
        <x:v>Core</x:v>
      </x:c>
      <x:c r="H1278" s="167" t="str">
        <x:v>General</x:v>
      </x:c>
      <x:c r="I1278" s="167" t="str">
        <x:v>Not Started</x:v>
      </x:c>
      <x:c r="J1278" s="167" t="n">
        <x:v>0</x:v>
      </x:c>
      <x:c r="K1278" s="168"/>
      <x:c r="L1278" s="168" t="str">
        <x:f>IF(OR(I1278="Mastered",K1278=""),"",K1278+IF(J1278&gt;=5,30,IF(J1278=4,14,IF(J1278=3,7,IF(J1278=2,3,1)))))</x:f>
      </x:c>
      <x:c r="M1278" s="171" t="str"/>
      <x:c r="N1278" s="171" t="str"/>
      <x:c r="O1278" s="171" t="str">
        <x:v>Draft — verify in context</x:v>
      </x:c>
      <x:c r="P1278" s="167" t="str">
        <x:v>https://www.oxfordlearnersdictionaries.com/wordlists/oxford3000-5000</x:v>
      </x:c>
    </x:row>
    <x:row r="1279" ht="26" customHeight="1">
      <x:c r="A1279" s="167" t="n">
        <x:v>1278</x:v>
      </x:c>
      <x:c r="B1279" s="167" t="str">
        <x:v>vicious</x:v>
      </x:c>
      <x:c r="C1279" s="167" t="str">
        <x:v>adj.</x:v>
      </x:c>
      <x:c r="D1279" s="170" t="str">
        <x:v>порочний</x:v>
      </x:c>
      <x:c r="E1279" s="167" t="str">
        <x:v>No</x:v>
      </x:c>
      <x:c r="F1279" s="167"/>
      <x:c r="G1279" s="167" t="str">
        <x:v>Core</x:v>
      </x:c>
      <x:c r="H1279" s="167" t="str">
        <x:v>General</x:v>
      </x:c>
      <x:c r="I1279" s="167" t="str">
        <x:v>Not Started</x:v>
      </x:c>
      <x:c r="J1279" s="167" t="n">
        <x:v>0</x:v>
      </x:c>
      <x:c r="K1279" s="168"/>
      <x:c r="L1279" s="168" t="str">
        <x:f>IF(OR(I1279="Mastered",K1279=""),"",K1279+IF(J1279&gt;=5,30,IF(J1279=4,14,IF(J1279=3,7,IF(J1279=2,3,1)))))</x:f>
      </x:c>
      <x:c r="M1279" s="171" t="str"/>
      <x:c r="N1279" s="171" t="str"/>
      <x:c r="O1279" s="171" t="str">
        <x:v>Draft — verify in context</x:v>
      </x:c>
      <x:c r="P1279" s="167" t="str">
        <x:v>https://www.oxfordlearnersdictionaries.com/wordlists/oxford3000-5000</x:v>
      </x:c>
    </x:row>
    <x:row r="1280" ht="26" customHeight="1">
      <x:c r="A1280" s="167" t="n">
        <x:v>1279</x:v>
      </x:c>
      <x:c r="B1280" s="167" t="str">
        <x:v>villager</x:v>
      </x:c>
      <x:c r="C1280" s="167" t="str">
        <x:v>n.</x:v>
      </x:c>
      <x:c r="D1280" s="170" t="str">
        <x:v>селянин</x:v>
      </x:c>
      <x:c r="E1280" s="167" t="str">
        <x:v>No</x:v>
      </x:c>
      <x:c r="F1280" s="167"/>
      <x:c r="G1280" s="167" t="str">
        <x:v>Core</x:v>
      </x:c>
      <x:c r="H1280" s="167" t="str">
        <x:v>General</x:v>
      </x:c>
      <x:c r="I1280" s="167" t="str">
        <x:v>Not Started</x:v>
      </x:c>
      <x:c r="J1280" s="167" t="n">
        <x:v>0</x:v>
      </x:c>
      <x:c r="K1280" s="168"/>
      <x:c r="L1280" s="168" t="str">
        <x:f>IF(OR(I1280="Mastered",K1280=""),"",K1280+IF(J1280&gt;=5,30,IF(J1280=4,14,IF(J1280=3,7,IF(J1280=2,3,1)))))</x:f>
      </x:c>
      <x:c r="M1280" s="171" t="str"/>
      <x:c r="N1280" s="171" t="str"/>
      <x:c r="O1280" s="171" t="str">
        <x:v>Draft — verify in context</x:v>
      </x:c>
      <x:c r="P1280" s="167" t="str">
        <x:v>https://www.oxfordlearnersdictionaries.com/wordlists/oxford3000-5000</x:v>
      </x:c>
    </x:row>
    <x:row r="1281" ht="26" customHeight="1">
      <x:c r="A1281" s="167" t="n">
        <x:v>1280</x:v>
      </x:c>
      <x:c r="B1281" s="167" t="str">
        <x:v>violate</x:v>
      </x:c>
      <x:c r="C1281" s="167" t="str">
        <x:v>v.</x:v>
      </x:c>
      <x:c r="D1281" s="170" t="str">
        <x:v>порушувати</x:v>
      </x:c>
      <x:c r="E1281" s="167" t="str">
        <x:v>No</x:v>
      </x:c>
      <x:c r="F1281" s="167"/>
      <x:c r="G1281" s="167" t="str">
        <x:v>Core</x:v>
      </x:c>
      <x:c r="H1281" s="167" t="str">
        <x:v>General</x:v>
      </x:c>
      <x:c r="I1281" s="167" t="str">
        <x:v>Not Started</x:v>
      </x:c>
      <x:c r="J1281" s="167" t="n">
        <x:v>0</x:v>
      </x:c>
      <x:c r="K1281" s="168"/>
      <x:c r="L1281" s="168" t="str">
        <x:f>IF(OR(I1281="Mastered",K1281=""),"",K1281+IF(J1281&gt;=5,30,IF(J1281=4,14,IF(J1281=3,7,IF(J1281=2,3,1)))))</x:f>
      </x:c>
      <x:c r="M1281" s="171" t="str"/>
      <x:c r="N1281" s="171" t="str"/>
      <x:c r="O1281" s="171" t="str">
        <x:v>Draft — verify in context</x:v>
      </x:c>
      <x:c r="P1281" s="167" t="str">
        <x:v>https://www.oxfordlearnersdictionaries.com/wordlists/oxford3000-5000</x:v>
      </x:c>
    </x:row>
    <x:row r="1282" ht="26" customHeight="1">
      <x:c r="A1282" s="167" t="n">
        <x:v>1281</x:v>
      </x:c>
      <x:c r="B1282" s="167" t="str">
        <x:v>violation</x:v>
      </x:c>
      <x:c r="C1282" s="167" t="str">
        <x:v>n.</x:v>
      </x:c>
      <x:c r="D1282" s="170" t="str">
        <x:v>порушення</x:v>
      </x:c>
      <x:c r="E1282" s="167" t="str">
        <x:v>Yes</x:v>
      </x:c>
      <x:c r="F1282" s="167" t="n">
        <x:v>9</x:v>
      </x:c>
      <x:c r="G1282" s="167" t="str">
        <x:v>High</x:v>
      </x:c>
      <x:c r="H1282" s="167" t="str">
        <x:v>General</x:v>
      </x:c>
      <x:c r="I1282" s="167" t="str">
        <x:v>Not Started</x:v>
      </x:c>
      <x:c r="J1282" s="167" t="n">
        <x:v>0</x:v>
      </x:c>
      <x:c r="K1282" s="168"/>
      <x:c r="L1282" s="168" t="str">
        <x:f>IF(OR(I1282="Mastered",K1282=""),"",K1282+IF(J1282&gt;=5,30,IF(J1282=4,14,IF(J1282=3,7,IF(J1282=2,3,1)))))</x:f>
      </x:c>
      <x:c r="M1282" s="171" t="str"/>
      <x:c r="N1282" s="171" t="str"/>
      <x:c r="O1282" s="171" t="str">
        <x:v>Draft — verify in context</x:v>
      </x:c>
      <x:c r="P1282" s="167" t="str">
        <x:v>https://www.oxfordlearnersdictionaries.com/wordlists/oxford3000-5000</x:v>
      </x:c>
    </x:row>
    <x:row r="1283" ht="26" customHeight="1">
      <x:c r="A1283" s="167" t="n">
        <x:v>1282</x:v>
      </x:c>
      <x:c r="B1283" s="167" t="str">
        <x:v>virtue</x:v>
      </x:c>
      <x:c r="C1283" s="167" t="str">
        <x:v>n.</x:v>
      </x:c>
      <x:c r="D1283" s="170" t="str">
        <x:v>чеснота</x:v>
      </x:c>
      <x:c r="E1283" s="167" t="str">
        <x:v>No</x:v>
      </x:c>
      <x:c r="F1283" s="167"/>
      <x:c r="G1283" s="167" t="str">
        <x:v>Core</x:v>
      </x:c>
      <x:c r="H1283" s="167" t="str">
        <x:v>General</x:v>
      </x:c>
      <x:c r="I1283" s="167" t="str">
        <x:v>Not Started</x:v>
      </x:c>
      <x:c r="J1283" s="167" t="n">
        <x:v>0</x:v>
      </x:c>
      <x:c r="K1283" s="168"/>
      <x:c r="L1283" s="168" t="str">
        <x:f>IF(OR(I1283="Mastered",K1283=""),"",K1283+IF(J1283&gt;=5,30,IF(J1283=4,14,IF(J1283=3,7,IF(J1283=2,3,1)))))</x:f>
      </x:c>
      <x:c r="M1283" s="171" t="str"/>
      <x:c r="N1283" s="171" t="str"/>
      <x:c r="O1283" s="171" t="str">
        <x:v>Draft — verify in context</x:v>
      </x:c>
      <x:c r="P1283" s="167" t="str">
        <x:v>https://www.oxfordlearnersdictionaries.com/wordlists/oxford3000-5000</x:v>
      </x:c>
    </x:row>
    <x:row r="1284" ht="26" customHeight="1">
      <x:c r="A1284" s="167" t="n">
        <x:v>1283</x:v>
      </x:c>
      <x:c r="B1284" s="167" t="str">
        <x:v>vocal</x:v>
      </x:c>
      <x:c r="C1284" s="167" t="str">
        <x:v>adj.</x:v>
      </x:c>
      <x:c r="D1284" s="170" t="str">
        <x:v>вокальний</x:v>
      </x:c>
      <x:c r="E1284" s="167" t="str">
        <x:v>No</x:v>
      </x:c>
      <x:c r="F1284" s="167"/>
      <x:c r="G1284" s="167" t="str">
        <x:v>Core</x:v>
      </x:c>
      <x:c r="H1284" s="167" t="str">
        <x:v>General</x:v>
      </x:c>
      <x:c r="I1284" s="167" t="str">
        <x:v>Not Started</x:v>
      </x:c>
      <x:c r="J1284" s="167" t="n">
        <x:v>0</x:v>
      </x:c>
      <x:c r="K1284" s="168"/>
      <x:c r="L1284" s="168" t="str">
        <x:f>IF(OR(I1284="Mastered",K1284=""),"",K1284+IF(J1284&gt;=5,30,IF(J1284=4,14,IF(J1284=3,7,IF(J1284=2,3,1)))))</x:f>
      </x:c>
      <x:c r="M1284" s="171" t="str"/>
      <x:c r="N1284" s="171" t="str"/>
      <x:c r="O1284" s="171" t="str">
        <x:v>Draft — verify in context</x:v>
      </x:c>
      <x:c r="P1284" s="167" t="str">
        <x:v>https://www.oxfordlearnersdictionaries.com/wordlists/oxford3000-5000</x:v>
      </x:c>
    </x:row>
    <x:row r="1285" ht="26" customHeight="1">
      <x:c r="A1285" s="167" t="n">
        <x:v>1284</x:v>
      </x:c>
      <x:c r="B1285" s="167" t="str">
        <x:v>vow</x:v>
      </x:c>
      <x:c r="C1285" s="167" t="str">
        <x:v>v.</x:v>
      </x:c>
      <x:c r="D1285" s="170" t="str">
        <x:v>обітниця</x:v>
      </x:c>
      <x:c r="E1285" s="167" t="str">
        <x:v>No</x:v>
      </x:c>
      <x:c r="F1285" s="167"/>
      <x:c r="G1285" s="167" t="str">
        <x:v>Core</x:v>
      </x:c>
      <x:c r="H1285" s="167" t="str">
        <x:v>General</x:v>
      </x:c>
      <x:c r="I1285" s="167" t="str">
        <x:v>Not Started</x:v>
      </x:c>
      <x:c r="J1285" s="167" t="n">
        <x:v>0</x:v>
      </x:c>
      <x:c r="K1285" s="168"/>
      <x:c r="L1285" s="168" t="str">
        <x:f>IF(OR(I1285="Mastered",K1285=""),"",K1285+IF(J1285&gt;=5,30,IF(J1285=4,14,IF(J1285=3,7,IF(J1285=2,3,1)))))</x:f>
      </x:c>
      <x:c r="M1285" s="171" t="str"/>
      <x:c r="N1285" s="171" t="str"/>
      <x:c r="O1285" s="171" t="str">
        <x:v>Draft — verify in context</x:v>
      </x:c>
      <x:c r="P1285" s="167" t="str">
        <x:v>https://www.oxfordlearnersdictionaries.com/wordlists/oxford3000-5000</x:v>
      </x:c>
    </x:row>
    <x:row r="1286" ht="26" customHeight="1">
      <x:c r="A1286" s="167" t="n">
        <x:v>1285</x:v>
      </x:c>
      <x:c r="B1286" s="167" t="str">
        <x:v>vulnerability</x:v>
      </x:c>
      <x:c r="C1286" s="167" t="str">
        <x:v>n.</x:v>
      </x:c>
      <x:c r="D1286" s="170" t="str">
        <x:v>вразливість</x:v>
      </x:c>
      <x:c r="E1286" s="167" t="str">
        <x:v>No</x:v>
      </x:c>
      <x:c r="F1286" s="167"/>
      <x:c r="G1286" s="167" t="str">
        <x:v>Core</x:v>
      </x:c>
      <x:c r="H1286" s="167" t="str">
        <x:v>General</x:v>
      </x:c>
      <x:c r="I1286" s="167" t="str">
        <x:v>Not Started</x:v>
      </x:c>
      <x:c r="J1286" s="167" t="n">
        <x:v>0</x:v>
      </x:c>
      <x:c r="K1286" s="168"/>
      <x:c r="L1286" s="168" t="str">
        <x:f>IF(OR(I1286="Mastered",K1286=""),"",K1286+IF(J1286&gt;=5,30,IF(J1286=4,14,IF(J1286=3,7,IF(J1286=2,3,1)))))</x:f>
      </x:c>
      <x:c r="M1286" s="171" t="str"/>
      <x:c r="N1286" s="171" t="str"/>
      <x:c r="O1286" s="171" t="str">
        <x:v>Draft — verify in context</x:v>
      </x:c>
      <x:c r="P1286" s="167" t="str">
        <x:v>https://www.oxfordlearnersdictionaries.com/wordlists/oxford3000-5000</x:v>
      </x:c>
    </x:row>
    <x:row r="1287" ht="26" customHeight="1">
      <x:c r="A1287" s="167" t="n">
        <x:v>1286</x:v>
      </x:c>
      <x:c r="B1287" s="167" t="str">
        <x:v>vulnerable</x:v>
      </x:c>
      <x:c r="C1287" s="167" t="str">
        <x:v>adj.</x:v>
      </x:c>
      <x:c r="D1287" s="170" t="str">
        <x:v>вразливий</x:v>
      </x:c>
      <x:c r="E1287" s="167" t="str">
        <x:v>No</x:v>
      </x:c>
      <x:c r="F1287" s="167"/>
      <x:c r="G1287" s="167" t="str">
        <x:v>Core</x:v>
      </x:c>
      <x:c r="H1287" s="167" t="str">
        <x:v>General</x:v>
      </x:c>
      <x:c r="I1287" s="167" t="str">
        <x:v>Not Started</x:v>
      </x:c>
      <x:c r="J1287" s="167" t="n">
        <x:v>0</x:v>
      </x:c>
      <x:c r="K1287" s="168"/>
      <x:c r="L1287" s="168" t="str">
        <x:f>IF(OR(I1287="Mastered",K1287=""),"",K1287+IF(J1287&gt;=5,30,IF(J1287=4,14,IF(J1287=3,7,IF(J1287=2,3,1)))))</x:f>
      </x:c>
      <x:c r="M1287" s="171" t="str"/>
      <x:c r="N1287" s="171" t="str"/>
      <x:c r="O1287" s="171" t="str">
        <x:v>Draft — verify in context</x:v>
      </x:c>
      <x:c r="P1287" s="167" t="str">
        <x:v>https://www.oxfordlearnersdictionaries.com/wordlists/oxford3000-5000</x:v>
      </x:c>
    </x:row>
    <x:row r="1288" ht="26" customHeight="1">
      <x:c r="A1288" s="167" t="n">
        <x:v>1287</x:v>
      </x:c>
      <x:c r="B1288" s="167" t="str">
        <x:v>ward</x:v>
      </x:c>
      <x:c r="C1288" s="167" t="str">
        <x:v>n.</x:v>
      </x:c>
      <x:c r="D1288" s="170" t="str">
        <x:v>палата</x:v>
      </x:c>
      <x:c r="E1288" s="167" t="str">
        <x:v>No</x:v>
      </x:c>
      <x:c r="F1288" s="167"/>
      <x:c r="G1288" s="167" t="str">
        <x:v>Core</x:v>
      </x:c>
      <x:c r="H1288" s="167" t="str">
        <x:v>General</x:v>
      </x:c>
      <x:c r="I1288" s="167" t="str">
        <x:v>Not Started</x:v>
      </x:c>
      <x:c r="J1288" s="167" t="n">
        <x:v>0</x:v>
      </x:c>
      <x:c r="K1288" s="168"/>
      <x:c r="L1288" s="168" t="str">
        <x:f>IF(OR(I1288="Mastered",K1288=""),"",K1288+IF(J1288&gt;=5,30,IF(J1288=4,14,IF(J1288=3,7,IF(J1288=2,3,1)))))</x:f>
      </x:c>
      <x:c r="M1288" s="171" t="str"/>
      <x:c r="N1288" s="171" t="str"/>
      <x:c r="O1288" s="171" t="str">
        <x:v>Draft — verify in context</x:v>
      </x:c>
      <x:c r="P1288" s="167" t="str">
        <x:v>https://www.oxfordlearnersdictionaries.com/wordlists/oxford3000-5000</x:v>
      </x:c>
    </x:row>
    <x:row r="1289" ht="26" customHeight="1">
      <x:c r="A1289" s="167" t="n">
        <x:v>1288</x:v>
      </x:c>
      <x:c r="B1289" s="167" t="str">
        <x:v>warehouse</x:v>
      </x:c>
      <x:c r="C1289" s="167" t="str">
        <x:v>n.</x:v>
      </x:c>
      <x:c r="D1289" s="170" t="str">
        <x:v>склад</x:v>
      </x:c>
      <x:c r="E1289" s="167" t="str">
        <x:v>No</x:v>
      </x:c>
      <x:c r="F1289" s="167"/>
      <x:c r="G1289" s="167" t="str">
        <x:v>Core</x:v>
      </x:c>
      <x:c r="H1289" s="167" t="str">
        <x:v>General</x:v>
      </x:c>
      <x:c r="I1289" s="167" t="str">
        <x:v>Not Started</x:v>
      </x:c>
      <x:c r="J1289" s="167" t="n">
        <x:v>0</x:v>
      </x:c>
      <x:c r="K1289" s="168"/>
      <x:c r="L1289" s="168" t="str">
        <x:f>IF(OR(I1289="Mastered",K1289=""),"",K1289+IF(J1289&gt;=5,30,IF(J1289=4,14,IF(J1289=3,7,IF(J1289=2,3,1)))))</x:f>
      </x:c>
      <x:c r="M1289" s="171" t="str"/>
      <x:c r="N1289" s="171" t="str"/>
      <x:c r="O1289" s="171" t="str">
        <x:v>Draft — verify in context</x:v>
      </x:c>
      <x:c r="P1289" s="167" t="str">
        <x:v>https://www.oxfordlearnersdictionaries.com/wordlists/oxford3000-5000</x:v>
      </x:c>
    </x:row>
    <x:row r="1290" ht="26" customHeight="1">
      <x:c r="A1290" s="167" t="n">
        <x:v>1289</x:v>
      </x:c>
      <x:c r="B1290" s="167" t="str">
        <x:v>warfare</x:v>
      </x:c>
      <x:c r="C1290" s="167" t="str">
        <x:v>n.</x:v>
      </x:c>
      <x:c r="D1290" s="170" t="str">
        <x:v>війна</x:v>
      </x:c>
      <x:c r="E1290" s="167" t="str">
        <x:v>No</x:v>
      </x:c>
      <x:c r="F1290" s="167"/>
      <x:c r="G1290" s="167" t="str">
        <x:v>Core</x:v>
      </x:c>
      <x:c r="H1290" s="167" t="str">
        <x:v>General</x:v>
      </x:c>
      <x:c r="I1290" s="167" t="str">
        <x:v>Not Started</x:v>
      </x:c>
      <x:c r="J1290" s="167" t="n">
        <x:v>0</x:v>
      </x:c>
      <x:c r="K1290" s="168"/>
      <x:c r="L1290" s="168" t="str">
        <x:f>IF(OR(I1290="Mastered",K1290=""),"",K1290+IF(J1290&gt;=5,30,IF(J1290=4,14,IF(J1290=3,7,IF(J1290=2,3,1)))))</x:f>
      </x:c>
      <x:c r="M1290" s="171" t="str"/>
      <x:c r="N1290" s="171" t="str"/>
      <x:c r="O1290" s="171" t="str">
        <x:v>Draft — verify in context</x:v>
      </x:c>
      <x:c r="P1290" s="167" t="str">
        <x:v>https://www.oxfordlearnersdictionaries.com/wordlists/oxford3000-5000</x:v>
      </x:c>
    </x:row>
    <x:row r="1291" ht="26" customHeight="1">
      <x:c r="A1291" s="167" t="n">
        <x:v>1290</x:v>
      </x:c>
      <x:c r="B1291" s="167" t="str">
        <x:v>warrant</x:v>
      </x:c>
      <x:c r="C1291" s="167" t="str">
        <x:v>n., v.</x:v>
      </x:c>
      <x:c r="D1291" s="170" t="str">
        <x:v>ордер</x:v>
      </x:c>
      <x:c r="E1291" s="167" t="str">
        <x:v>No</x:v>
      </x:c>
      <x:c r="F1291" s="167"/>
      <x:c r="G1291" s="167" t="str">
        <x:v>Core</x:v>
      </x:c>
      <x:c r="H1291" s="167" t="str">
        <x:v>General</x:v>
      </x:c>
      <x:c r="I1291" s="167" t="str">
        <x:v>Not Started</x:v>
      </x:c>
      <x:c r="J1291" s="167" t="n">
        <x:v>0</x:v>
      </x:c>
      <x:c r="K1291" s="168"/>
      <x:c r="L1291" s="168" t="str">
        <x:f>IF(OR(I1291="Mastered",K1291=""),"",K1291+IF(J1291&gt;=5,30,IF(J1291=4,14,IF(J1291=3,7,IF(J1291=2,3,1)))))</x:f>
      </x:c>
      <x:c r="M1291" s="171" t="str"/>
      <x:c r="N1291" s="171" t="str"/>
      <x:c r="O1291" s="171" t="str">
        <x:v>Draft — verify in context</x:v>
      </x:c>
      <x:c r="P1291" s="167" t="str">
        <x:v>https://www.oxfordlearnersdictionaries.com/wordlists/oxford3000-5000</x:v>
      </x:c>
    </x:row>
    <x:row r="1292" ht="26" customHeight="1">
      <x:c r="A1292" s="167" t="n">
        <x:v>1291</x:v>
      </x:c>
      <x:c r="B1292" s="167" t="str">
        <x:v>warrior</x:v>
      </x:c>
      <x:c r="C1292" s="167" t="str">
        <x:v>n.</x:v>
      </x:c>
      <x:c r="D1292" s="170" t="str">
        <x:v>воїн</x:v>
      </x:c>
      <x:c r="E1292" s="167" t="str">
        <x:v>No</x:v>
      </x:c>
      <x:c r="F1292" s="167"/>
      <x:c r="G1292" s="167" t="str">
        <x:v>Core</x:v>
      </x:c>
      <x:c r="H1292" s="167" t="str">
        <x:v>General</x:v>
      </x:c>
      <x:c r="I1292" s="167" t="str">
        <x:v>Not Started</x:v>
      </x:c>
      <x:c r="J1292" s="167" t="n">
        <x:v>0</x:v>
      </x:c>
      <x:c r="K1292" s="168"/>
      <x:c r="L1292" s="168" t="str">
        <x:f>IF(OR(I1292="Mastered",K1292=""),"",K1292+IF(J1292&gt;=5,30,IF(J1292=4,14,IF(J1292=3,7,IF(J1292=2,3,1)))))</x:f>
      </x:c>
      <x:c r="M1292" s="171" t="str"/>
      <x:c r="N1292" s="171" t="str"/>
      <x:c r="O1292" s="171" t="str">
        <x:v>Draft — verify in context</x:v>
      </x:c>
      <x:c r="P1292" s="167" t="str">
        <x:v>https://www.oxfordlearnersdictionaries.com/wordlists/oxford3000-5000</x:v>
      </x:c>
    </x:row>
    <x:row r="1293" ht="26" customHeight="1">
      <x:c r="A1293" s="167" t="n">
        <x:v>1292</x:v>
      </x:c>
      <x:c r="B1293" s="167" t="str">
        <x:v>weaken</x:v>
      </x:c>
      <x:c r="C1293" s="167" t="str">
        <x:v>v.</x:v>
      </x:c>
      <x:c r="D1293" s="170" t="str">
        <x:v>ослабити</x:v>
      </x:c>
      <x:c r="E1293" s="167" t="str">
        <x:v>No</x:v>
      </x:c>
      <x:c r="F1293" s="167"/>
      <x:c r="G1293" s="167" t="str">
        <x:v>Core</x:v>
      </x:c>
      <x:c r="H1293" s="167" t="str">
        <x:v>General</x:v>
      </x:c>
      <x:c r="I1293" s="167" t="str">
        <x:v>Not Started</x:v>
      </x:c>
      <x:c r="J1293" s="167" t="n">
        <x:v>0</x:v>
      </x:c>
      <x:c r="K1293" s="168"/>
      <x:c r="L1293" s="168" t="str">
        <x:f>IF(OR(I1293="Mastered",K1293=""),"",K1293+IF(J1293&gt;=5,30,IF(J1293=4,14,IF(J1293=3,7,IF(J1293=2,3,1)))))</x:f>
      </x:c>
      <x:c r="M1293" s="171" t="str"/>
      <x:c r="N1293" s="171" t="str"/>
      <x:c r="O1293" s="171" t="str">
        <x:v>Draft — verify in context</x:v>
      </x:c>
      <x:c r="P1293" s="167" t="str">
        <x:v>https://www.oxfordlearnersdictionaries.com/wordlists/oxford3000-5000</x:v>
      </x:c>
    </x:row>
    <x:row r="1294" ht="26" customHeight="1">
      <x:c r="A1294" s="167" t="n">
        <x:v>1293</x:v>
      </x:c>
      <x:c r="B1294" s="167" t="str">
        <x:v>weave</x:v>
      </x:c>
      <x:c r="C1294" s="167" t="str">
        <x:v>v.</x:v>
      </x:c>
      <x:c r="D1294" s="170" t="str">
        <x:v>плести</x:v>
      </x:c>
      <x:c r="E1294" s="167" t="str">
        <x:v>No</x:v>
      </x:c>
      <x:c r="F1294" s="167"/>
      <x:c r="G1294" s="167" t="str">
        <x:v>Core</x:v>
      </x:c>
      <x:c r="H1294" s="167" t="str">
        <x:v>General</x:v>
      </x:c>
      <x:c r="I1294" s="167" t="str">
        <x:v>Not Started</x:v>
      </x:c>
      <x:c r="J1294" s="167" t="n">
        <x:v>0</x:v>
      </x:c>
      <x:c r="K1294" s="168"/>
      <x:c r="L1294" s="168" t="str">
        <x:f>IF(OR(I1294="Mastered",K1294=""),"",K1294+IF(J1294&gt;=5,30,IF(J1294=4,14,IF(J1294=3,7,IF(J1294=2,3,1)))))</x:f>
      </x:c>
      <x:c r="M1294" s="171" t="str"/>
      <x:c r="N1294" s="171" t="str"/>
      <x:c r="O1294" s="171" t="str">
        <x:v>Draft — verify in context</x:v>
      </x:c>
      <x:c r="P1294" s="167" t="str">
        <x:v>https://www.oxfordlearnersdictionaries.com/wordlists/oxford3000-5000</x:v>
      </x:c>
    </x:row>
    <x:row r="1295" ht="26" customHeight="1">
      <x:c r="A1295" s="167" t="n">
        <x:v>1294</x:v>
      </x:c>
      <x:c r="B1295" s="167" t="str">
        <x:v>weed</x:v>
      </x:c>
      <x:c r="C1295" s="167" t="str">
        <x:v>n.</x:v>
      </x:c>
      <x:c r="D1295" s="170" t="str">
        <x:v>бур'ян</x:v>
      </x:c>
      <x:c r="E1295" s="167" t="str">
        <x:v>No</x:v>
      </x:c>
      <x:c r="F1295" s="167"/>
      <x:c r="G1295" s="167" t="str">
        <x:v>Core</x:v>
      </x:c>
      <x:c r="H1295" s="167" t="str">
        <x:v>General</x:v>
      </x:c>
      <x:c r="I1295" s="167" t="str">
        <x:v>Not Started</x:v>
      </x:c>
      <x:c r="J1295" s="167" t="n">
        <x:v>0</x:v>
      </x:c>
      <x:c r="K1295" s="168"/>
      <x:c r="L1295" s="168" t="str">
        <x:f>IF(OR(I1295="Mastered",K1295=""),"",K1295+IF(J1295&gt;=5,30,IF(J1295=4,14,IF(J1295=3,7,IF(J1295=2,3,1)))))</x:f>
      </x:c>
      <x:c r="M1295" s="171" t="str"/>
      <x:c r="N1295" s="171" t="str"/>
      <x:c r="O1295" s="171" t="str">
        <x:v>Draft — verify in context</x:v>
      </x:c>
      <x:c r="P1295" s="167" t="str">
        <x:v>https://www.oxfordlearnersdictionaries.com/wordlists/oxford3000-5000</x:v>
      </x:c>
    </x:row>
    <x:row r="1296" ht="26" customHeight="1">
      <x:c r="A1296" s="167" t="n">
        <x:v>1295</x:v>
      </x:c>
      <x:c r="B1296" s="167" t="str">
        <x:v>well</x:v>
      </x:c>
      <x:c r="C1296" s="167" t="str">
        <x:v>n.</x:v>
      </x:c>
      <x:c r="D1296" s="170" t="str">
        <x:v>добре</x:v>
      </x:c>
      <x:c r="E1296" s="167" t="str">
        <x:v>No</x:v>
      </x:c>
      <x:c r="F1296" s="167"/>
      <x:c r="G1296" s="167" t="str">
        <x:v>Core</x:v>
      </x:c>
      <x:c r="H1296" s="167" t="str">
        <x:v>General</x:v>
      </x:c>
      <x:c r="I1296" s="167" t="str">
        <x:v>Not Started</x:v>
      </x:c>
      <x:c r="J1296" s="167" t="n">
        <x:v>0</x:v>
      </x:c>
      <x:c r="K1296" s="168"/>
      <x:c r="L1296" s="168" t="str">
        <x:f>IF(OR(I1296="Mastered",K1296=""),"",K1296+IF(J1296&gt;=5,30,IF(J1296=4,14,IF(J1296=3,7,IF(J1296=2,3,1)))))</x:f>
      </x:c>
      <x:c r="M1296" s="171" t="str"/>
      <x:c r="N1296" s="171" t="str"/>
      <x:c r="O1296" s="171" t="str">
        <x:v>Draft — verify in context</x:v>
      </x:c>
      <x:c r="P1296" s="167" t="str">
        <x:v>https://www.oxfordlearnersdictionaries.com/wordlists/oxford3000-5000</x:v>
      </x:c>
    </x:row>
    <x:row r="1297" ht="26" customHeight="1">
      <x:c r="A1297" s="167" t="n">
        <x:v>1296</x:v>
      </x:c>
      <x:c r="B1297" s="167" t="str">
        <x:v>well-being</x:v>
      </x:c>
      <x:c r="C1297" s="167" t="str">
        <x:v>n.</x:v>
      </x:c>
      <x:c r="D1297" s="170" t="str">
        <x:v>добробут</x:v>
      </x:c>
      <x:c r="E1297" s="167" t="str">
        <x:v>No</x:v>
      </x:c>
      <x:c r="F1297" s="167"/>
      <x:c r="G1297" s="167" t="str">
        <x:v>Core</x:v>
      </x:c>
      <x:c r="H1297" s="167" t="str">
        <x:v>General</x:v>
      </x:c>
      <x:c r="I1297" s="167" t="str">
        <x:v>Not Started</x:v>
      </x:c>
      <x:c r="J1297" s="167" t="n">
        <x:v>0</x:v>
      </x:c>
      <x:c r="K1297" s="168"/>
      <x:c r="L1297" s="168" t="str">
        <x:f>IF(OR(I1297="Mastered",K1297=""),"",K1297+IF(J1297&gt;=5,30,IF(J1297=4,14,IF(J1297=3,7,IF(J1297=2,3,1)))))</x:f>
      </x:c>
      <x:c r="M1297" s="171" t="str"/>
      <x:c r="N1297" s="171" t="str"/>
      <x:c r="O1297" s="171" t="str">
        <x:v>Draft — verify in context</x:v>
      </x:c>
      <x:c r="P1297" s="167" t="str">
        <x:v>https://www.oxfordlearnersdictionaries.com/wordlists/oxford3000-5000</x:v>
      </x:c>
    </x:row>
    <x:row r="1298" ht="26" customHeight="1">
      <x:c r="A1298" s="167" t="n">
        <x:v>1297</x:v>
      </x:c>
      <x:c r="B1298" s="167" t="str">
        <x:v>whatsoever</x:v>
      </x:c>
      <x:c r="C1298" s="167" t="str">
        <x:v>adv.</x:v>
      </x:c>
      <x:c r="D1298" s="170" t="str">
        <x:v>будь-що</x:v>
      </x:c>
      <x:c r="E1298" s="167" t="str">
        <x:v>No</x:v>
      </x:c>
      <x:c r="F1298" s="167"/>
      <x:c r="G1298" s="167" t="str">
        <x:v>Core</x:v>
      </x:c>
      <x:c r="H1298" s="167" t="str">
        <x:v>General</x:v>
      </x:c>
      <x:c r="I1298" s="167" t="str">
        <x:v>Not Started</x:v>
      </x:c>
      <x:c r="J1298" s="167" t="n">
        <x:v>0</x:v>
      </x:c>
      <x:c r="K1298" s="168"/>
      <x:c r="L1298" s="168" t="str">
        <x:f>IF(OR(I1298="Mastered",K1298=""),"",K1298+IF(J1298&gt;=5,30,IF(J1298=4,14,IF(J1298=3,7,IF(J1298=2,3,1)))))</x:f>
      </x:c>
      <x:c r="M1298" s="171" t="str"/>
      <x:c r="N1298" s="171" t="str"/>
      <x:c r="O1298" s="171" t="str">
        <x:v>Draft — verify in context</x:v>
      </x:c>
      <x:c r="P1298" s="167" t="str">
        <x:v>https://www.oxfordlearnersdictionaries.com/wordlists/oxford3000-5000</x:v>
      </x:c>
    </x:row>
    <x:row r="1299" ht="26" customHeight="1">
      <x:c r="A1299" s="167" t="n">
        <x:v>1298</x:v>
      </x:c>
      <x:c r="B1299" s="167" t="str">
        <x:v>whereby</x:v>
      </x:c>
      <x:c r="C1299" s="167" t="str">
        <x:v>adv.</x:v>
      </x:c>
      <x:c r="D1299" s="170" t="str">
        <x:v>при чому</x:v>
      </x:c>
      <x:c r="E1299" s="167" t="str">
        <x:v>Yes</x:v>
      </x:c>
      <x:c r="F1299" s="167" t="n">
        <x:v>10</x:v>
      </x:c>
      <x:c r="G1299" s="167" t="str">
        <x:v>High</x:v>
      </x:c>
      <x:c r="H1299" s="167" t="str">
        <x:v>General</x:v>
      </x:c>
      <x:c r="I1299" s="167" t="str">
        <x:v>Not Started</x:v>
      </x:c>
      <x:c r="J1299" s="167" t="n">
        <x:v>0</x:v>
      </x:c>
      <x:c r="K1299" s="168"/>
      <x:c r="L1299" s="168" t="str">
        <x:f>IF(OR(I1299="Mastered",K1299=""),"",K1299+IF(J1299&gt;=5,30,IF(J1299=4,14,IF(J1299=3,7,IF(J1299=2,3,1)))))</x:f>
      </x:c>
      <x:c r="M1299" s="171" t="str"/>
      <x:c r="N1299" s="171" t="str"/>
      <x:c r="O1299" s="171" t="str">
        <x:v>Draft — verify in context</x:v>
      </x:c>
      <x:c r="P1299" s="167" t="str">
        <x:v>https://www.oxfordlearnersdictionaries.com/wordlists/oxford3000-5000</x:v>
      </x:c>
    </x:row>
    <x:row r="1300" ht="26" customHeight="1">
      <x:c r="A1300" s="167" t="n">
        <x:v>1299</x:v>
      </x:c>
      <x:c r="B1300" s="167" t="str">
        <x:v>whilst</x:v>
      </x:c>
      <x:c r="C1300" s="167" t="str">
        <x:v>conj.</x:v>
      </x:c>
      <x:c r="D1300" s="170" t="str">
        <x:v>тоді як; у той час як</x:v>
      </x:c>
      <x:c r="E1300" s="167" t="str">
        <x:v>No</x:v>
      </x:c>
      <x:c r="F1300" s="167"/>
      <x:c r="G1300" s="167" t="str">
        <x:v>Core</x:v>
      </x:c>
      <x:c r="H1300" s="167" t="str">
        <x:v>General</x:v>
      </x:c>
      <x:c r="I1300" s="167" t="str">
        <x:v>Not Started</x:v>
      </x:c>
      <x:c r="J1300" s="167" t="n">
        <x:v>0</x:v>
      </x:c>
      <x:c r="K1300" s="168"/>
      <x:c r="L1300" s="168" t="str">
        <x:f>IF(OR(I1300="Mastered",K1300=""),"",K1300+IF(J1300&gt;=5,30,IF(J1300=4,14,IF(J1300=3,7,IF(J1300=2,3,1)))))</x:f>
      </x:c>
      <x:c r="M1300" s="171" t="str"/>
      <x:c r="N1300" s="171" t="str"/>
      <x:c r="O1300" s="171" t="str">
        <x:v>Draft — verify in context</x:v>
      </x:c>
      <x:c r="P1300" s="167" t="str">
        <x:v>https://www.oxfordlearnersdictionaries.com/wordlists/oxford3000-5000</x:v>
      </x:c>
    </x:row>
    <x:row r="1301" ht="26" customHeight="1">
      <x:c r="A1301" s="167" t="n">
        <x:v>1300</x:v>
      </x:c>
      <x:c r="B1301" s="167" t="str">
        <x:v>whip</x:v>
      </x:c>
      <x:c r="C1301" s="167" t="str">
        <x:v>v.</x:v>
      </x:c>
      <x:c r="D1301" s="170" t="str">
        <x:v>батіг</x:v>
      </x:c>
      <x:c r="E1301" s="167" t="str">
        <x:v>No</x:v>
      </x:c>
      <x:c r="F1301" s="167"/>
      <x:c r="G1301" s="167" t="str">
        <x:v>Core</x:v>
      </x:c>
      <x:c r="H1301" s="167" t="str">
        <x:v>General</x:v>
      </x:c>
      <x:c r="I1301" s="167" t="str">
        <x:v>Not Started</x:v>
      </x:c>
      <x:c r="J1301" s="167" t="n">
        <x:v>0</x:v>
      </x:c>
      <x:c r="K1301" s="168"/>
      <x:c r="L1301" s="168" t="str">
        <x:f>IF(OR(I1301="Mastered",K1301=""),"",K1301+IF(J1301&gt;=5,30,IF(J1301=4,14,IF(J1301=3,7,IF(J1301=2,3,1)))))</x:f>
      </x:c>
      <x:c r="M1301" s="171" t="str"/>
      <x:c r="N1301" s="171" t="str"/>
      <x:c r="O1301" s="171" t="str">
        <x:v>Draft — verify in context</x:v>
      </x:c>
      <x:c r="P1301" s="167" t="str">
        <x:v>https://www.oxfordlearnersdictionaries.com/wordlists/oxford3000-5000</x:v>
      </x:c>
    </x:row>
    <x:row r="1302" ht="26" customHeight="1">
      <x:c r="A1302" s="167" t="n">
        <x:v>1301</x:v>
      </x:c>
      <x:c r="B1302" s="167" t="str">
        <x:v>wholly</x:v>
      </x:c>
      <x:c r="C1302" s="167" t="str">
        <x:v>adv.</x:v>
      </x:c>
      <x:c r="D1302" s="170" t="str">
        <x:v>цілком</x:v>
      </x:c>
      <x:c r="E1302" s="167" t="str">
        <x:v>No</x:v>
      </x:c>
      <x:c r="F1302" s="167"/>
      <x:c r="G1302" s="167" t="str">
        <x:v>Core</x:v>
      </x:c>
      <x:c r="H1302" s="167" t="str">
        <x:v>General</x:v>
      </x:c>
      <x:c r="I1302" s="167" t="str">
        <x:v>Not Started</x:v>
      </x:c>
      <x:c r="J1302" s="167" t="n">
        <x:v>0</x:v>
      </x:c>
      <x:c r="K1302" s="168"/>
      <x:c r="L1302" s="168" t="str">
        <x:f>IF(OR(I1302="Mastered",K1302=""),"",K1302+IF(J1302&gt;=5,30,IF(J1302=4,14,IF(J1302=3,7,IF(J1302=2,3,1)))))</x:f>
      </x:c>
      <x:c r="M1302" s="171" t="str"/>
      <x:c r="N1302" s="171" t="str"/>
      <x:c r="O1302" s="171" t="str">
        <x:v>Draft — verify in context</x:v>
      </x:c>
      <x:c r="P1302" s="167" t="str">
        <x:v>https://www.oxfordlearnersdictionaries.com/wordlists/oxford3000-5000</x:v>
      </x:c>
    </x:row>
    <x:row r="1303" ht="26" customHeight="1">
      <x:c r="A1303" s="167" t="n">
        <x:v>1302</x:v>
      </x:c>
      <x:c r="B1303" s="167" t="str">
        <x:v>widen</x:v>
      </x:c>
      <x:c r="C1303" s="167" t="str">
        <x:v>v.</x:v>
      </x:c>
      <x:c r="D1303" s="170" t="str">
        <x:v>розширити</x:v>
      </x:c>
      <x:c r="E1303" s="167" t="str">
        <x:v>No</x:v>
      </x:c>
      <x:c r="F1303" s="167"/>
      <x:c r="G1303" s="167" t="str">
        <x:v>Core</x:v>
      </x:c>
      <x:c r="H1303" s="167" t="str">
        <x:v>General</x:v>
      </x:c>
      <x:c r="I1303" s="167" t="str">
        <x:v>Not Started</x:v>
      </x:c>
      <x:c r="J1303" s="167" t="n">
        <x:v>0</x:v>
      </x:c>
      <x:c r="K1303" s="168"/>
      <x:c r="L1303" s="168" t="str">
        <x:f>IF(OR(I1303="Mastered",K1303=""),"",K1303+IF(J1303&gt;=5,30,IF(J1303=4,14,IF(J1303=3,7,IF(J1303=2,3,1)))))</x:f>
      </x:c>
      <x:c r="M1303" s="171" t="str"/>
      <x:c r="N1303" s="171" t="str"/>
      <x:c r="O1303" s="171" t="str">
        <x:v>Draft — verify in context</x:v>
      </x:c>
      <x:c r="P1303" s="167" t="str">
        <x:v>https://www.oxfordlearnersdictionaries.com/wordlists/oxford3000-5000</x:v>
      </x:c>
    </x:row>
    <x:row r="1304" ht="26" customHeight="1">
      <x:c r="A1304" s="167" t="n">
        <x:v>1303</x:v>
      </x:c>
      <x:c r="B1304" s="167" t="str">
        <x:v>widow</x:v>
      </x:c>
      <x:c r="C1304" s="167" t="str">
        <x:v>n.</x:v>
      </x:c>
      <x:c r="D1304" s="170" t="str">
        <x:v>вдова</x:v>
      </x:c>
      <x:c r="E1304" s="167" t="str">
        <x:v>No</x:v>
      </x:c>
      <x:c r="F1304" s="167"/>
      <x:c r="G1304" s="167" t="str">
        <x:v>Core</x:v>
      </x:c>
      <x:c r="H1304" s="167" t="str">
        <x:v>General</x:v>
      </x:c>
      <x:c r="I1304" s="167" t="str">
        <x:v>Not Started</x:v>
      </x:c>
      <x:c r="J1304" s="167" t="n">
        <x:v>0</x:v>
      </x:c>
      <x:c r="K1304" s="168"/>
      <x:c r="L1304" s="168" t="str">
        <x:f>IF(OR(I1304="Mastered",K1304=""),"",K1304+IF(J1304&gt;=5,30,IF(J1304=4,14,IF(J1304=3,7,IF(J1304=2,3,1)))))</x:f>
      </x:c>
      <x:c r="M1304" s="171" t="str"/>
      <x:c r="N1304" s="171" t="str"/>
      <x:c r="O1304" s="171" t="str">
        <x:v>Draft — verify in context</x:v>
      </x:c>
      <x:c r="P1304" s="167" t="str">
        <x:v>https://www.oxfordlearnersdictionaries.com/wordlists/oxford3000-5000</x:v>
      </x:c>
    </x:row>
    <x:row r="1305" ht="26" customHeight="1">
      <x:c r="A1305" s="167" t="n">
        <x:v>1304</x:v>
      </x:c>
      <x:c r="B1305" s="167" t="str">
        <x:v>width</x:v>
      </x:c>
      <x:c r="C1305" s="167" t="str">
        <x:v>n.</x:v>
      </x:c>
      <x:c r="D1305" s="170" t="str">
        <x:v>ширина</x:v>
      </x:c>
      <x:c r="E1305" s="167" t="str">
        <x:v>No</x:v>
      </x:c>
      <x:c r="F1305" s="167"/>
      <x:c r="G1305" s="167" t="str">
        <x:v>Core</x:v>
      </x:c>
      <x:c r="H1305" s="167" t="str">
        <x:v>General</x:v>
      </x:c>
      <x:c r="I1305" s="167" t="str">
        <x:v>Not Started</x:v>
      </x:c>
      <x:c r="J1305" s="167" t="n">
        <x:v>0</x:v>
      </x:c>
      <x:c r="K1305" s="168"/>
      <x:c r="L1305" s="168" t="str">
        <x:f>IF(OR(I1305="Mastered",K1305=""),"",K1305+IF(J1305&gt;=5,30,IF(J1305=4,14,IF(J1305=3,7,IF(J1305=2,3,1)))))</x:f>
      </x:c>
      <x:c r="M1305" s="171" t="str"/>
      <x:c r="N1305" s="171" t="str"/>
      <x:c r="O1305" s="171" t="str">
        <x:v>Draft — verify in context</x:v>
      </x:c>
      <x:c r="P1305" s="167" t="str">
        <x:v>https://www.oxfordlearnersdictionaries.com/wordlists/oxford3000-5000</x:v>
      </x:c>
    </x:row>
    <x:row r="1306" ht="26" customHeight="1">
      <x:c r="A1306" s="167" t="n">
        <x:v>1305</x:v>
      </x:c>
      <x:c r="B1306" s="167" t="str">
        <x:v>willingness</x:v>
      </x:c>
      <x:c r="C1306" s="167" t="str">
        <x:v>n.</x:v>
      </x:c>
      <x:c r="D1306" s="170" t="str">
        <x:v>бажання</x:v>
      </x:c>
      <x:c r="E1306" s="167" t="str">
        <x:v>No</x:v>
      </x:c>
      <x:c r="F1306" s="167"/>
      <x:c r="G1306" s="167" t="str">
        <x:v>Core</x:v>
      </x:c>
      <x:c r="H1306" s="167" t="str">
        <x:v>General</x:v>
      </x:c>
      <x:c r="I1306" s="167" t="str">
        <x:v>Not Started</x:v>
      </x:c>
      <x:c r="J1306" s="167" t="n">
        <x:v>0</x:v>
      </x:c>
      <x:c r="K1306" s="168"/>
      <x:c r="L1306" s="168" t="str">
        <x:f>IF(OR(I1306="Mastered",K1306=""),"",K1306+IF(J1306&gt;=5,30,IF(J1306=4,14,IF(J1306=3,7,IF(J1306=2,3,1)))))</x:f>
      </x:c>
      <x:c r="M1306" s="171" t="str"/>
      <x:c r="N1306" s="171" t="str"/>
      <x:c r="O1306" s="171" t="str">
        <x:v>Draft — verify in context</x:v>
      </x:c>
      <x:c r="P1306" s="167" t="str">
        <x:v>https://www.oxfordlearnersdictionaries.com/wordlists/oxford3000-5000</x:v>
      </x:c>
    </x:row>
    <x:row r="1307" ht="26" customHeight="1">
      <x:c r="A1307" s="167" t="n">
        <x:v>1306</x:v>
      </x:c>
      <x:c r="B1307" s="167" t="str">
        <x:v>wipe</x:v>
      </x:c>
      <x:c r="C1307" s="167" t="str">
        <x:v>v.</x:v>
      </x:c>
      <x:c r="D1307" s="170" t="str">
        <x:v>витирати</x:v>
      </x:c>
      <x:c r="E1307" s="167" t="str">
        <x:v>No</x:v>
      </x:c>
      <x:c r="F1307" s="167"/>
      <x:c r="G1307" s="167" t="str">
        <x:v>Core</x:v>
      </x:c>
      <x:c r="H1307" s="167" t="str">
        <x:v>General</x:v>
      </x:c>
      <x:c r="I1307" s="167" t="str">
        <x:v>Not Started</x:v>
      </x:c>
      <x:c r="J1307" s="167" t="n">
        <x:v>0</x:v>
      </x:c>
      <x:c r="K1307" s="168"/>
      <x:c r="L1307" s="168" t="str">
        <x:f>IF(OR(I1307="Mastered",K1307=""),"",K1307+IF(J1307&gt;=5,30,IF(J1307=4,14,IF(J1307=3,7,IF(J1307=2,3,1)))))</x:f>
      </x:c>
      <x:c r="M1307" s="171" t="str"/>
      <x:c r="N1307" s="171" t="str"/>
      <x:c r="O1307" s="171" t="str">
        <x:v>Draft — verify in context</x:v>
      </x:c>
      <x:c r="P1307" s="167" t="str">
        <x:v>https://www.oxfordlearnersdictionaries.com/wordlists/oxford3000-5000</x:v>
      </x:c>
    </x:row>
    <x:row r="1308" ht="26" customHeight="1">
      <x:c r="A1308" s="167" t="n">
        <x:v>1307</x:v>
      </x:c>
      <x:c r="B1308" s="167" t="str">
        <x:v>wit</x:v>
      </x:c>
      <x:c r="C1308" s="167" t="str">
        <x:v>n.</x:v>
      </x:c>
      <x:c r="D1308" s="170" t="str">
        <x:v>розум</x:v>
      </x:c>
      <x:c r="E1308" s="167" t="str">
        <x:v>No</x:v>
      </x:c>
      <x:c r="F1308" s="167"/>
      <x:c r="G1308" s="167" t="str">
        <x:v>Core</x:v>
      </x:c>
      <x:c r="H1308" s="167" t="str">
        <x:v>General</x:v>
      </x:c>
      <x:c r="I1308" s="167" t="str">
        <x:v>Not Started</x:v>
      </x:c>
      <x:c r="J1308" s="167" t="n">
        <x:v>0</x:v>
      </x:c>
      <x:c r="K1308" s="168"/>
      <x:c r="L1308" s="168" t="str">
        <x:f>IF(OR(I1308="Mastered",K1308=""),"",K1308+IF(J1308&gt;=5,30,IF(J1308=4,14,IF(J1308=3,7,IF(J1308=2,3,1)))))</x:f>
      </x:c>
      <x:c r="M1308" s="171" t="str"/>
      <x:c r="N1308" s="171" t="str"/>
      <x:c r="O1308" s="171" t="str">
        <x:v>Draft — verify in context</x:v>
      </x:c>
      <x:c r="P1308" s="167" t="str">
        <x:v>https://www.oxfordlearnersdictionaries.com/wordlists/oxford3000-5000</x:v>
      </x:c>
    </x:row>
    <x:row r="1309" ht="26" customHeight="1">
      <x:c r="A1309" s="167" t="n">
        <x:v>1308</x:v>
      </x:c>
      <x:c r="B1309" s="167" t="str">
        <x:v>withdrawal</x:v>
      </x:c>
      <x:c r="C1309" s="167" t="str">
        <x:v>n.</x:v>
      </x:c>
      <x:c r="D1309" s="170" t="str">
        <x:v>вилучення</x:v>
      </x:c>
      <x:c r="E1309" s="167" t="str">
        <x:v>No</x:v>
      </x:c>
      <x:c r="F1309" s="167"/>
      <x:c r="G1309" s="167" t="str">
        <x:v>Core</x:v>
      </x:c>
      <x:c r="H1309" s="167" t="str">
        <x:v>General</x:v>
      </x:c>
      <x:c r="I1309" s="167" t="str">
        <x:v>Not Started</x:v>
      </x:c>
      <x:c r="J1309" s="167" t="n">
        <x:v>0</x:v>
      </x:c>
      <x:c r="K1309" s="168"/>
      <x:c r="L1309" s="168" t="str">
        <x:f>IF(OR(I1309="Mastered",K1309=""),"",K1309+IF(J1309&gt;=5,30,IF(J1309=4,14,IF(J1309=3,7,IF(J1309=2,3,1)))))</x:f>
      </x:c>
      <x:c r="M1309" s="171" t="str"/>
      <x:c r="N1309" s="171" t="str"/>
      <x:c r="O1309" s="171" t="str">
        <x:v>Draft — verify in context</x:v>
      </x:c>
      <x:c r="P1309" s="167" t="str">
        <x:v>https://www.oxfordlearnersdictionaries.com/wordlists/oxford3000-5000</x:v>
      </x:c>
    </x:row>
    <x:row r="1310" ht="26" customHeight="1">
      <x:c r="A1310" s="167" t="n">
        <x:v>1309</x:v>
      </x:c>
      <x:c r="B1310" s="167" t="str">
        <x:v>workout</x:v>
      </x:c>
      <x:c r="C1310" s="167" t="str">
        <x:v>n.</x:v>
      </x:c>
      <x:c r="D1310" s="170" t="str">
        <x:v>тренування</x:v>
      </x:c>
      <x:c r="E1310" s="167" t="str">
        <x:v>No</x:v>
      </x:c>
      <x:c r="F1310" s="167"/>
      <x:c r="G1310" s="167" t="str">
        <x:v>Core</x:v>
      </x:c>
      <x:c r="H1310" s="167" t="str">
        <x:v>General</x:v>
      </x:c>
      <x:c r="I1310" s="167" t="str">
        <x:v>Not Started</x:v>
      </x:c>
      <x:c r="J1310" s="167" t="n">
        <x:v>0</x:v>
      </x:c>
      <x:c r="K1310" s="168"/>
      <x:c r="L1310" s="168" t="str">
        <x:f>IF(OR(I1310="Mastered",K1310=""),"",K1310+IF(J1310&gt;=5,30,IF(J1310=4,14,IF(J1310=3,7,IF(J1310=2,3,1)))))</x:f>
      </x:c>
      <x:c r="M1310" s="171" t="str"/>
      <x:c r="N1310" s="171" t="str"/>
      <x:c r="O1310" s="171" t="str">
        <x:v>Draft — verify in context</x:v>
      </x:c>
      <x:c r="P1310" s="167" t="str">
        <x:v>https://www.oxfordlearnersdictionaries.com/wordlists/oxford3000-5000</x:v>
      </x:c>
    </x:row>
    <x:row r="1311" ht="26" customHeight="1">
      <x:c r="A1311" s="167" t="n">
        <x:v>1310</x:v>
      </x:c>
      <x:c r="B1311" s="167" t="str">
        <x:v>worship</x:v>
      </x:c>
      <x:c r="C1311" s="167" t="str">
        <x:v>n., v.</x:v>
      </x:c>
      <x:c r="D1311" s="170" t="str">
        <x:v>поклоніння</x:v>
      </x:c>
      <x:c r="E1311" s="167" t="str">
        <x:v>No</x:v>
      </x:c>
      <x:c r="F1311" s="167"/>
      <x:c r="G1311" s="167" t="str">
        <x:v>Core</x:v>
      </x:c>
      <x:c r="H1311" s="167" t="str">
        <x:v>General</x:v>
      </x:c>
      <x:c r="I1311" s="167" t="str">
        <x:v>Not Started</x:v>
      </x:c>
      <x:c r="J1311" s="167" t="n">
        <x:v>0</x:v>
      </x:c>
      <x:c r="K1311" s="168"/>
      <x:c r="L1311" s="168" t="str">
        <x:f>IF(OR(I1311="Mastered",K1311=""),"",K1311+IF(J1311&gt;=5,30,IF(J1311=4,14,IF(J1311=3,7,IF(J1311=2,3,1)))))</x:f>
      </x:c>
      <x:c r="M1311" s="171" t="str"/>
      <x:c r="N1311" s="171" t="str"/>
      <x:c r="O1311" s="171" t="str">
        <x:v>Draft — verify in context</x:v>
      </x:c>
      <x:c r="P1311" s="167" t="str">
        <x:v>https://www.oxfordlearnersdictionaries.com/wordlists/oxford3000-5000</x:v>
      </x:c>
    </x:row>
    <x:row r="1312" ht="26" customHeight="1">
      <x:c r="A1312" s="167" t="n">
        <x:v>1311</x:v>
      </x:c>
      <x:c r="B1312" s="167" t="str">
        <x:v>worthwhile</x:v>
      </x:c>
      <x:c r="C1312" s="167" t="str">
        <x:v>adj.</x:v>
      </x:c>
      <x:c r="D1312" s="170" t="str">
        <x:v>вартий</x:v>
      </x:c>
      <x:c r="E1312" s="167" t="str">
        <x:v>No</x:v>
      </x:c>
      <x:c r="F1312" s="167"/>
      <x:c r="G1312" s="167" t="str">
        <x:v>Core</x:v>
      </x:c>
      <x:c r="H1312" s="167" t="str">
        <x:v>General</x:v>
      </x:c>
      <x:c r="I1312" s="167" t="str">
        <x:v>Not Started</x:v>
      </x:c>
      <x:c r="J1312" s="167" t="n">
        <x:v>0</x:v>
      </x:c>
      <x:c r="K1312" s="168"/>
      <x:c r="L1312" s="168" t="str">
        <x:f>IF(OR(I1312="Mastered",K1312=""),"",K1312+IF(J1312&gt;=5,30,IF(J1312=4,14,IF(J1312=3,7,IF(J1312=2,3,1)))))</x:f>
      </x:c>
      <x:c r="M1312" s="171" t="str"/>
      <x:c r="N1312" s="171" t="str"/>
      <x:c r="O1312" s="171" t="str">
        <x:v>Draft — verify in context</x:v>
      </x:c>
      <x:c r="P1312" s="167" t="str">
        <x:v>https://www.oxfordlearnersdictionaries.com/wordlists/oxford3000-5000</x:v>
      </x:c>
    </x:row>
    <x:row r="1313" ht="26" customHeight="1">
      <x:c r="A1313" s="167" t="n">
        <x:v>1312</x:v>
      </x:c>
      <x:c r="B1313" s="167" t="str">
        <x:v>worthy</x:v>
      </x:c>
      <x:c r="C1313" s="167" t="str">
        <x:v>adj.</x:v>
      </x:c>
      <x:c r="D1313" s="170" t="str">
        <x:v>гідний</x:v>
      </x:c>
      <x:c r="E1313" s="167" t="str">
        <x:v>No</x:v>
      </x:c>
      <x:c r="F1313" s="167"/>
      <x:c r="G1313" s="167" t="str">
        <x:v>Core</x:v>
      </x:c>
      <x:c r="H1313" s="167" t="str">
        <x:v>General</x:v>
      </x:c>
      <x:c r="I1313" s="167" t="str">
        <x:v>Not Started</x:v>
      </x:c>
      <x:c r="J1313" s="167" t="n">
        <x:v>0</x:v>
      </x:c>
      <x:c r="K1313" s="168"/>
      <x:c r="L1313" s="168" t="str">
        <x:f>IF(OR(I1313="Mastered",K1313=""),"",K1313+IF(J1313&gt;=5,30,IF(J1313=4,14,IF(J1313=3,7,IF(J1313=2,3,1)))))</x:f>
      </x:c>
      <x:c r="M1313" s="171" t="str"/>
      <x:c r="N1313" s="171" t="str"/>
      <x:c r="O1313" s="171" t="str">
        <x:v>Draft — verify in context</x:v>
      </x:c>
      <x:c r="P1313" s="167" t="str">
        <x:v>https://www.oxfordlearnersdictionaries.com/wordlists/oxford3000-5000</x:v>
      </x:c>
    </x:row>
    <x:row r="1314" ht="26" customHeight="1">
      <x:c r="A1314" s="167" t="n">
        <x:v>1313</x:v>
      </x:c>
      <x:c r="B1314" s="167" t="str">
        <x:v>yell</x:v>
      </x:c>
      <x:c r="C1314" s="167" t="str">
        <x:v>v.</x:v>
      </x:c>
      <x:c r="D1314" s="170" t="str">
        <x:v>кричати</x:v>
      </x:c>
      <x:c r="E1314" s="167" t="str">
        <x:v>No</x:v>
      </x:c>
      <x:c r="F1314" s="167"/>
      <x:c r="G1314" s="167" t="str">
        <x:v>Core</x:v>
      </x:c>
      <x:c r="H1314" s="167" t="str">
        <x:v>General</x:v>
      </x:c>
      <x:c r="I1314" s="167" t="str">
        <x:v>Not Started</x:v>
      </x:c>
      <x:c r="J1314" s="167" t="n">
        <x:v>0</x:v>
      </x:c>
      <x:c r="K1314" s="168"/>
      <x:c r="L1314" s="168" t="str">
        <x:f>IF(OR(I1314="Mastered",K1314=""),"",K1314+IF(J1314&gt;=5,30,IF(J1314=4,14,IF(J1314=3,7,IF(J1314=2,3,1)))))</x:f>
      </x:c>
      <x:c r="M1314" s="171" t="str"/>
      <x:c r="N1314" s="171" t="str"/>
      <x:c r="O1314" s="171" t="str">
        <x:v>Draft — verify in context</x:v>
      </x:c>
      <x:c r="P1314" s="167" t="str">
        <x:v>https://www.oxfordlearnersdictionaries.com/wordlists/oxford3000-5000</x:v>
      </x:c>
    </x:row>
    <x:row r="1315" ht="26" customHeight="1">
      <x:c r="A1315" s="167" t="n">
        <x:v>1314</x:v>
      </x:c>
      <x:c r="B1315" s="167" t="str">
        <x:v>yield</x:v>
      </x:c>
      <x:c r="C1315" s="167" t="str">
        <x:v>n., v.</x:v>
      </x:c>
      <x:c r="D1315" s="170" t="str">
        <x:v>врожайність; давати результат; поступатися</x:v>
      </x:c>
      <x:c r="E1315" s="167" t="str">
        <x:v>No</x:v>
      </x:c>
      <x:c r="F1315" s="167"/>
      <x:c r="G1315" s="167" t="str">
        <x:v>Core</x:v>
      </x:c>
      <x:c r="H1315" s="167" t="str">
        <x:v>General</x:v>
      </x:c>
      <x:c r="I1315" s="167" t="str">
        <x:v>Not Started</x:v>
      </x:c>
      <x:c r="J1315" s="167" t="n">
        <x:v>0</x:v>
      </x:c>
      <x:c r="K1315" s="168"/>
      <x:c r="L1315" s="168" t="str">
        <x:f>IF(OR(I1315="Mastered",K1315=""),"",K1315+IF(J1315&gt;=5,30,IF(J1315=4,14,IF(J1315=3,7,IF(J1315=2,3,1)))))</x:f>
      </x:c>
      <x:c r="M1315" s="171" t="str"/>
      <x:c r="N1315" s="171" t="str"/>
      <x:c r="O1315" s="171" t="str">
        <x:v>Draft — verify in context</x:v>
      </x:c>
      <x:c r="P1315" s="167" t="str">
        <x:v>https://www.oxfordlearnersdictionaries.com/wordlists/oxford3000-5000</x:v>
      </x:c>
    </x:row>
    <x:row r="1316" ht="26" customHeight="1">
      <x:c r="A1316" s="167" t="n">
        <x:v>1315</x:v>
      </x:c>
      <x:c r="B1316" s="167" t="str">
        <x:v>youngster</x:v>
      </x:c>
      <x:c r="C1316" s="167" t="str">
        <x:v>n.</x:v>
      </x:c>
      <x:c r="D1316" s="170" t="str">
        <x:v>юнак</x:v>
      </x:c>
      <x:c r="E1316" s="167" t="str">
        <x:v>No</x:v>
      </x:c>
      <x:c r="F1316" s="167"/>
      <x:c r="G1316" s="167" t="str">
        <x:v>Core</x:v>
      </x:c>
      <x:c r="H1316" s="167" t="str">
        <x:v>General</x:v>
      </x:c>
      <x:c r="I1316" s="167" t="str">
        <x:v>Not Started</x:v>
      </x:c>
      <x:c r="J1316" s="167" t="n">
        <x:v>0</x:v>
      </x:c>
      <x:c r="K1316" s="168"/>
      <x:c r="L1316" s="168" t="str">
        <x:f>IF(OR(I1316="Mastered",K1316=""),"",K1316+IF(J1316&gt;=5,30,IF(J1316=4,14,IF(J1316=3,7,IF(J1316=2,3,1)))))</x:f>
      </x:c>
      <x:c r="M1316" s="171" t="str"/>
      <x:c r="N1316" s="171" t="str"/>
      <x:c r="O1316" s="171" t="str">
        <x:v>Draft — verify in context</x:v>
      </x:c>
      <x:c r="P1316" s="167" t="str">
        <x:v>https://www.oxfordlearnersdictionaries.com/wordlists/oxford3000-5000</x:v>
      </x:c>
    </x:row>
  </x:sheetData>
  <x:conditionalFormatting sqref="I2:I1316">
    <x:cfRule type="containsText" dxfId="0" priority="1" operator="containsText" text="Mastered"/>
    <x:cfRule type="containsText" dxfId="1" priority="2" operator="containsText" text="In Progress"/>
    <x:cfRule type="containsText" dxfId="2" priority="3" operator="containsText" text="Needs Review"/>
  </x:conditionalFormatting>
  <x:conditionalFormatting sqref="G2:G1316">
    <x:cfRule type="containsText" dxfId="3" priority="4" operator="containsText" text="High"/>
  </x:conditionalFormatting>
  <x:dataValidations count="3">
    <x:dataValidation type="list" sqref="I2:I1316">
      <x:formula1>"Not Started,In Progress,Needs Review,Mastered"</x:formula1>
    </x:dataValidation>
    <x:dataValidation type="whole" operator="between" sqref="J2:J1316">
      <x:formula1>0</x:formula1>
      <x:formula2>5</x:formula2>
    </x:dataValidation>
    <x:dataValidation type="list" sqref="O2:O1316">
      <x:formula1>"Draft — verify in context,Learner checked,Tutor checked"</x:formula1>
    </x:dataValidation>
  </x:dataValidations>
  <x:pageMargins left="0.7" right="0.7" top="0.75" bottom="0.75" header="0.3" footer="0.3"/>
  <x:tableParts count="1">
    <x:tablePart xmlns:r="http://schemas.openxmlformats.org/officeDocument/2006/relationships" r:id="Rad8ecebe3c744a39"/>
  </x:tableParts>
</x:worksheet>
</file>

<file path=xl/worksheets/sheet4.xml><?xml version="1.0" encoding="utf-8"?>
<x:worksheet xmlns:x="http://schemas.openxmlformats.org/spreadsheetml/2006/main">
  <x:sheetViews>
    <x:sheetView showGridLines="0" workbookViewId="0"/>
  </x:sheetViews>
  <x:sheetFormatPr defaultRowHeight="15"/>
  <x:cols>
    <x:col min="1" max="1" width="7" hidden="0" customWidth="1"/>
    <x:col min="2" max="2" width="20" hidden="0" customWidth="1"/>
    <x:col min="3" max="3" width="34" hidden="0" customWidth="1"/>
    <x:col min="4" max="4" width="12" hidden="0" customWidth="1"/>
    <x:col min="5" max="5" width="16" hidden="0" customWidth="1"/>
    <x:col min="6" max="6" width="13" hidden="0" customWidth="1"/>
    <x:col min="7" max="7" width="19" hidden="0" customWidth="1"/>
    <x:col min="8" max="8" width="15" hidden="0" customWidth="1"/>
    <x:col min="9" max="9" width="13" hidden="0" customWidth="1"/>
    <x:col min="10" max="10" width="14" hidden="0" customWidth="1"/>
    <x:col min="11" max="11" width="14" hidden="0" customWidth="1"/>
    <x:col min="12" max="12" width="36" hidden="0" customWidth="1"/>
    <x:col min="13" max="13" width="30" hidden="0" customWidth="1"/>
    <x:col min="14" max="14" width="23" hidden="0" customWidth="1"/>
    <x:col min="15" max="15" width="40" hidden="0" customWidth="1"/>
  </x:cols>
  <x:sheetData>
    <x:row r="1" ht="32" customHeight="1">
      <x:c r="A1" s="35" t="str">
        <x:v>ID</x:v>
      </x:c>
      <x:c r="B1" s="36" t="str">
        <x:v>Headword / Family</x:v>
      </x:c>
      <x:c r="C1" s="36" t="str">
        <x:v>Ukrainian Equivalent</x:v>
      </x:c>
      <x:c r="D1" s="36" t="str">
        <x:v>AWL Sublist</x:v>
      </x:c>
      <x:c r="E1" s="36" t="str">
        <x:v>Oxford C1 Overlap</x:v>
      </x:c>
      <x:c r="F1" s="36" t="str">
        <x:v>IELTS Priority</x:v>
      </x:c>
      <x:c r="G1" s="36" t="str">
        <x:v>Topic</x:v>
      </x:c>
      <x:c r="H1" s="36" t="str">
        <x:v>Study Status</x:v>
      </x:c>
      <x:c r="I1" s="36" t="str">
        <x:v>Confidence 0–5</x:v>
      </x:c>
      <x:c r="J1" s="36" t="str">
        <x:v>Last Reviewed</x:v>
      </x:c>
      <x:c r="K1" s="36" t="str">
        <x:v>Next Review</x:v>
      </x:c>
      <x:c r="L1" s="36" t="str">
        <x:v>Own IELTS Example</x:v>
      </x:c>
      <x:c r="M1" s="36" t="str">
        <x:v>Collocation / Word Family</x:v>
      </x:c>
      <x:c r="N1" s="36" t="str">
        <x:v>Translation QA</x:v>
      </x:c>
      <x:c r="O1" s="37" t="str">
        <x:v>Source URL</x:v>
      </x:c>
    </x:row>
    <x:row r="2" ht="26" customHeight="1">
      <x:c r="A2" s="167" t="n">
        <x:v>1</x:v>
      </x:c>
      <x:c r="B2" s="167" t="str">
        <x:v>analysis</x:v>
      </x:c>
      <x:c r="C2" s="170" t="str">
        <x:v>аналіз</x:v>
      </x:c>
      <x:c r="D2" s="167" t="n">
        <x:v>1</x:v>
      </x:c>
      <x:c r="E2" s="167" t="str">
        <x:v>No</x:v>
      </x:c>
      <x:c r="F2" s="167" t="str">
        <x:v>High</x:v>
      </x:c>
      <x:c r="G2" s="167" t="str">
        <x:v>General</x:v>
      </x:c>
      <x:c r="H2" s="167" t="str">
        <x:v>Not Started</x:v>
      </x:c>
      <x:c r="I2" s="167" t="n">
        <x:v>0</x:v>
      </x:c>
      <x:c r="J2" s="168"/>
      <x:c r="K2" s="168" t="str">
        <x:f>IF(OR(H2="Mastered",J2=""),"",J2+IF(I2&gt;=5,30,IF(I2=4,14,IF(I2=3,7,IF(I2=2,3,1)))))</x:f>
      </x:c>
      <x:c r="L2" s="171" t="str"/>
      <x:c r="M2" s="171" t="str"/>
      <x:c r="N2" s="171" t="str">
        <x:v>Draft — verify in context</x:v>
      </x:c>
      <x:c r="O2" s="167" t="str">
        <x:v>https://www.wgtn.ac.nz/lals/resources/academicwordlist</x:v>
      </x:c>
    </x:row>
    <x:row r="3" ht="26" customHeight="1">
      <x:c r="A3" s="167" t="n">
        <x:v>2</x:v>
      </x:c>
      <x:c r="B3" s="167" t="str">
        <x:v>approach</x:v>
      </x:c>
      <x:c r="C3" s="170" t="str">
        <x:v>підхід; метод</x:v>
      </x:c>
      <x:c r="D3" s="167" t="n">
        <x:v>1</x:v>
      </x:c>
      <x:c r="E3" s="167" t="str">
        <x:v>No</x:v>
      </x:c>
      <x:c r="F3" s="167" t="str">
        <x:v>High</x:v>
      </x:c>
      <x:c r="G3" s="167" t="str">
        <x:v>General</x:v>
      </x:c>
      <x:c r="H3" s="167" t="str">
        <x:v>Not Started</x:v>
      </x:c>
      <x:c r="I3" s="167" t="n">
        <x:v>0</x:v>
      </x:c>
      <x:c r="J3" s="168"/>
      <x:c r="K3" s="168" t="str">
        <x:f>IF(OR(H3="Mastered",J3=""),"",J3+IF(I3&gt;=5,30,IF(I3=4,14,IF(I3=3,7,IF(I3=2,3,1)))))</x:f>
      </x:c>
      <x:c r="L3" s="171" t="str"/>
      <x:c r="M3" s="171" t="str"/>
      <x:c r="N3" s="171" t="str">
        <x:v>Draft — verify in context</x:v>
      </x:c>
      <x:c r="O3" s="167" t="str">
        <x:v>https://www.wgtn.ac.nz/lals/resources/academicwordlist</x:v>
      </x:c>
    </x:row>
    <x:row r="4" ht="26" customHeight="1">
      <x:c r="A4" s="167" t="n">
        <x:v>3</x:v>
      </x:c>
      <x:c r="B4" s="167" t="str">
        <x:v>area</x:v>
      </x:c>
      <x:c r="C4" s="170" t="str">
        <x:v>галузь; сфера; область</x:v>
      </x:c>
      <x:c r="D4" s="167" t="n">
        <x:v>1</x:v>
      </x:c>
      <x:c r="E4" s="167" t="str">
        <x:v>No</x:v>
      </x:c>
      <x:c r="F4" s="167" t="str">
        <x:v>High</x:v>
      </x:c>
      <x:c r="G4" s="167" t="str">
        <x:v>General</x:v>
      </x:c>
      <x:c r="H4" s="167" t="str">
        <x:v>Not Started</x:v>
      </x:c>
      <x:c r="I4" s="167" t="n">
        <x:v>0</x:v>
      </x:c>
      <x:c r="J4" s="168"/>
      <x:c r="K4" s="168" t="str">
        <x:f>IF(OR(H4="Mastered",J4=""),"",J4+IF(I4&gt;=5,30,IF(I4=4,14,IF(I4=3,7,IF(I4=2,3,1)))))</x:f>
      </x:c>
      <x:c r="L4" s="171" t="str"/>
      <x:c r="M4" s="171" t="str"/>
      <x:c r="N4" s="171" t="str">
        <x:v>Draft — verify in context</x:v>
      </x:c>
      <x:c r="O4" s="167" t="str">
        <x:v>https://www.wgtn.ac.nz/lals/resources/academicwordlist</x:v>
      </x:c>
    </x:row>
    <x:row r="5" ht="26" customHeight="1">
      <x:c r="A5" s="167" t="n">
        <x:v>4</x:v>
      </x:c>
      <x:c r="B5" s="167" t="str">
        <x:v>assessment</x:v>
      </x:c>
      <x:c r="C5" s="170" t="str">
        <x:v>оцінювання; оцінка</x:v>
      </x:c>
      <x:c r="D5" s="167" t="n">
        <x:v>1</x:v>
      </x:c>
      <x:c r="E5" s="167" t="str">
        <x:v>No</x:v>
      </x:c>
      <x:c r="F5" s="167" t="str">
        <x:v>High</x:v>
      </x:c>
      <x:c r="G5" s="167" t="str">
        <x:v>General</x:v>
      </x:c>
      <x:c r="H5" s="167" t="str">
        <x:v>Not Started</x:v>
      </x:c>
      <x:c r="I5" s="167" t="n">
        <x:v>0</x:v>
      </x:c>
      <x:c r="J5" s="168"/>
      <x:c r="K5" s="168" t="str">
        <x:f>IF(OR(H5="Mastered",J5=""),"",J5+IF(I5&gt;=5,30,IF(I5=4,14,IF(I5=3,7,IF(I5=2,3,1)))))</x:f>
      </x:c>
      <x:c r="L5" s="171" t="str"/>
      <x:c r="M5" s="171" t="str"/>
      <x:c r="N5" s="171" t="str">
        <x:v>Draft — verify in context</x:v>
      </x:c>
      <x:c r="O5" s="167" t="str">
        <x:v>https://www.wgtn.ac.nz/lals/resources/academicwordlist</x:v>
      </x:c>
    </x:row>
    <x:row r="6" ht="26" customHeight="1">
      <x:c r="A6" s="167" t="n">
        <x:v>5</x:v>
      </x:c>
      <x:c r="B6" s="167" t="str">
        <x:v>assume</x:v>
      </x:c>
      <x:c r="C6" s="170" t="str">
        <x:v>припускати; брати на себе</x:v>
      </x:c>
      <x:c r="D6" s="167" t="n">
        <x:v>1</x:v>
      </x:c>
      <x:c r="E6" s="167" t="str">
        <x:v>No</x:v>
      </x:c>
      <x:c r="F6" s="167" t="str">
        <x:v>High</x:v>
      </x:c>
      <x:c r="G6" s="167" t="str">
        <x:v>General</x:v>
      </x:c>
      <x:c r="H6" s="167" t="str">
        <x:v>Not Started</x:v>
      </x:c>
      <x:c r="I6" s="167" t="n">
        <x:v>0</x:v>
      </x:c>
      <x:c r="J6" s="168"/>
      <x:c r="K6" s="168" t="str">
        <x:f>IF(OR(H6="Mastered",J6=""),"",J6+IF(I6&gt;=5,30,IF(I6=4,14,IF(I6=3,7,IF(I6=2,3,1)))))</x:f>
      </x:c>
      <x:c r="L6" s="171" t="str"/>
      <x:c r="M6" s="171" t="str"/>
      <x:c r="N6" s="171" t="str">
        <x:v>Draft — verify in context</x:v>
      </x:c>
      <x:c r="O6" s="167" t="str">
        <x:v>https://www.wgtn.ac.nz/lals/resources/academicwordlist</x:v>
      </x:c>
    </x:row>
    <x:row r="7" ht="26" customHeight="1">
      <x:c r="A7" s="167" t="n">
        <x:v>6</x:v>
      </x:c>
      <x:c r="B7" s="167" t="str">
        <x:v>authority</x:v>
      </x:c>
      <x:c r="C7" s="170" t="str">
        <x:v>орган влади; повноваження; авторитет</x:v>
      </x:c>
      <x:c r="D7" s="167" t="n">
        <x:v>1</x:v>
      </x:c>
      <x:c r="E7" s="167" t="str">
        <x:v>No</x:v>
      </x:c>
      <x:c r="F7" s="167" t="str">
        <x:v>High</x:v>
      </x:c>
      <x:c r="G7" s="167" t="str">
        <x:v>General</x:v>
      </x:c>
      <x:c r="H7" s="167" t="str">
        <x:v>Not Started</x:v>
      </x:c>
      <x:c r="I7" s="167" t="n">
        <x:v>0</x:v>
      </x:c>
      <x:c r="J7" s="168"/>
      <x:c r="K7" s="168" t="str">
        <x:f>IF(OR(H7="Mastered",J7=""),"",J7+IF(I7&gt;=5,30,IF(I7=4,14,IF(I7=3,7,IF(I7=2,3,1)))))</x:f>
      </x:c>
      <x:c r="L7" s="171" t="str"/>
      <x:c r="M7" s="171" t="str"/>
      <x:c r="N7" s="171" t="str">
        <x:v>Draft — verify in context</x:v>
      </x:c>
      <x:c r="O7" s="167" t="str">
        <x:v>https://www.wgtn.ac.nz/lals/resources/academicwordlist</x:v>
      </x:c>
    </x:row>
    <x:row r="8" ht="26" customHeight="1">
      <x:c r="A8" s="167" t="n">
        <x:v>7</x:v>
      </x:c>
      <x:c r="B8" s="167" t="str">
        <x:v>available</x:v>
      </x:c>
      <x:c r="C8" s="170" t="str">
        <x:v>доступний; наявний</x:v>
      </x:c>
      <x:c r="D8" s="167" t="n">
        <x:v>1</x:v>
      </x:c>
      <x:c r="E8" s="167" t="str">
        <x:v>No</x:v>
      </x:c>
      <x:c r="F8" s="167" t="str">
        <x:v>High</x:v>
      </x:c>
      <x:c r="G8" s="167" t="str">
        <x:v>General</x:v>
      </x:c>
      <x:c r="H8" s="167" t="str">
        <x:v>Not Started</x:v>
      </x:c>
      <x:c r="I8" s="167" t="n">
        <x:v>0</x:v>
      </x:c>
      <x:c r="J8" s="168"/>
      <x:c r="K8" s="168" t="str">
        <x:f>IF(OR(H8="Mastered",J8=""),"",J8+IF(I8&gt;=5,30,IF(I8=4,14,IF(I8=3,7,IF(I8=2,3,1)))))</x:f>
      </x:c>
      <x:c r="L8" s="171" t="str"/>
      <x:c r="M8" s="171" t="str"/>
      <x:c r="N8" s="171" t="str">
        <x:v>Draft — verify in context</x:v>
      </x:c>
      <x:c r="O8" s="167" t="str">
        <x:v>https://www.wgtn.ac.nz/lals/resources/academicwordlist</x:v>
      </x:c>
    </x:row>
    <x:row r="9" ht="26" customHeight="1">
      <x:c r="A9" s="167" t="n">
        <x:v>8</x:v>
      </x:c>
      <x:c r="B9" s="167" t="str">
        <x:v>benefit</x:v>
      </x:c>
      <x:c r="C9" s="170" t="str">
        <x:v>користь; перевага; приносити користь</x:v>
      </x:c>
      <x:c r="D9" s="167" t="n">
        <x:v>1</x:v>
      </x:c>
      <x:c r="E9" s="167" t="str">
        <x:v>No</x:v>
      </x:c>
      <x:c r="F9" s="167" t="str">
        <x:v>High</x:v>
      </x:c>
      <x:c r="G9" s="167" t="str">
        <x:v>General</x:v>
      </x:c>
      <x:c r="H9" s="167" t="str">
        <x:v>Not Started</x:v>
      </x:c>
      <x:c r="I9" s="167" t="n">
        <x:v>0</x:v>
      </x:c>
      <x:c r="J9" s="168"/>
      <x:c r="K9" s="168" t="str">
        <x:f>IF(OR(H9="Mastered",J9=""),"",J9+IF(I9&gt;=5,30,IF(I9=4,14,IF(I9=3,7,IF(I9=2,3,1)))))</x:f>
      </x:c>
      <x:c r="L9" s="171" t="str"/>
      <x:c r="M9" s="171" t="str"/>
      <x:c r="N9" s="171" t="str">
        <x:v>Draft — verify in context</x:v>
      </x:c>
      <x:c r="O9" s="167" t="str">
        <x:v>https://www.wgtn.ac.nz/lals/resources/academicwordlist</x:v>
      </x:c>
    </x:row>
    <x:row r="10" ht="26" customHeight="1">
      <x:c r="A10" s="167" t="n">
        <x:v>9</x:v>
      </x:c>
      <x:c r="B10" s="167" t="str">
        <x:v>concept</x:v>
      </x:c>
      <x:c r="C10" s="170" t="str">
        <x:v>поняття; концепція</x:v>
      </x:c>
      <x:c r="D10" s="167" t="n">
        <x:v>1</x:v>
      </x:c>
      <x:c r="E10" s="167" t="str">
        <x:v>No</x:v>
      </x:c>
      <x:c r="F10" s="167" t="str">
        <x:v>High</x:v>
      </x:c>
      <x:c r="G10" s="167" t="str">
        <x:v>General</x:v>
      </x:c>
      <x:c r="H10" s="167" t="str">
        <x:v>Not Started</x:v>
      </x:c>
      <x:c r="I10" s="167" t="n">
        <x:v>0</x:v>
      </x:c>
      <x:c r="J10" s="168"/>
      <x:c r="K10" s="168" t="str">
        <x:f>IF(OR(H10="Mastered",J10=""),"",J10+IF(I10&gt;=5,30,IF(I10=4,14,IF(I10=3,7,IF(I10=2,3,1)))))</x:f>
      </x:c>
      <x:c r="L10" s="171" t="str"/>
      <x:c r="M10" s="171" t="str"/>
      <x:c r="N10" s="171" t="str">
        <x:v>Draft — verify in context</x:v>
      </x:c>
      <x:c r="O10" s="167" t="str">
        <x:v>https://www.wgtn.ac.nz/lals/resources/academicwordlist</x:v>
      </x:c>
    </x:row>
    <x:row r="11" ht="26" customHeight="1">
      <x:c r="A11" s="167" t="n">
        <x:v>10</x:v>
      </x:c>
      <x:c r="B11" s="167" t="str">
        <x:v>consistent</x:v>
      </x:c>
      <x:c r="C11" s="170" t="str">
        <x:v>послідовний; узгоджений; сталий</x:v>
      </x:c>
      <x:c r="D11" s="167" t="n">
        <x:v>1</x:v>
      </x:c>
      <x:c r="E11" s="167" t="str">
        <x:v>No</x:v>
      </x:c>
      <x:c r="F11" s="167" t="str">
        <x:v>High</x:v>
      </x:c>
      <x:c r="G11" s="167" t="str">
        <x:v>General</x:v>
      </x:c>
      <x:c r="H11" s="167" t="str">
        <x:v>Not Started</x:v>
      </x:c>
      <x:c r="I11" s="167" t="n">
        <x:v>0</x:v>
      </x:c>
      <x:c r="J11" s="168"/>
      <x:c r="K11" s="168" t="str">
        <x:f>IF(OR(H11="Mastered",J11=""),"",J11+IF(I11&gt;=5,30,IF(I11=4,14,IF(I11=3,7,IF(I11=2,3,1)))))</x:f>
      </x:c>
      <x:c r="L11" s="171" t="str"/>
      <x:c r="M11" s="171" t="str"/>
      <x:c r="N11" s="171" t="str">
        <x:v>Draft — verify in context</x:v>
      </x:c>
      <x:c r="O11" s="167" t="str">
        <x:v>https://www.wgtn.ac.nz/lals/resources/academicwordlist</x:v>
      </x:c>
    </x:row>
    <x:row r="12" ht="26" customHeight="1">
      <x:c r="A12" s="167" t="n">
        <x:v>11</x:v>
      </x:c>
      <x:c r="B12" s="167" t="str">
        <x:v>constitutional</x:v>
      </x:c>
      <x:c r="C12" s="170" t="str">
        <x:v>конституційний</x:v>
      </x:c>
      <x:c r="D12" s="167" t="n">
        <x:v>1</x:v>
      </x:c>
      <x:c r="E12" s="167" t="str">
        <x:v>Yes</x:v>
      </x:c>
      <x:c r="F12" s="167" t="str">
        <x:v>High</x:v>
      </x:c>
      <x:c r="G12" s="167" t="str">
        <x:v>Government &amp; law</x:v>
      </x:c>
      <x:c r="H12" s="167" t="str">
        <x:v>Not Started</x:v>
      </x:c>
      <x:c r="I12" s="167" t="n">
        <x:v>0</x:v>
      </x:c>
      <x:c r="J12" s="168"/>
      <x:c r="K12" s="168" t="str">
        <x:f>IF(OR(H12="Mastered",J12=""),"",J12+IF(I12&gt;=5,30,IF(I12=4,14,IF(I12=3,7,IF(I12=2,3,1)))))</x:f>
      </x:c>
      <x:c r="L12" s="171" t="str"/>
      <x:c r="M12" s="171" t="str"/>
      <x:c r="N12" s="171" t="str">
        <x:v>Draft — verify in context</x:v>
      </x:c>
      <x:c r="O12" s="167" t="str">
        <x:v>https://www.wgtn.ac.nz/lals/resources/academicwordlist</x:v>
      </x:c>
    </x:row>
    <x:row r="13" ht="26" customHeight="1">
      <x:c r="A13" s="167" t="n">
        <x:v>12</x:v>
      </x:c>
      <x:c r="B13" s="167" t="str">
        <x:v>context</x:v>
      </x:c>
      <x:c r="C13" s="170" t="str">
        <x:v>контекст</x:v>
      </x:c>
      <x:c r="D13" s="167" t="n">
        <x:v>1</x:v>
      </x:c>
      <x:c r="E13" s="167" t="str">
        <x:v>No</x:v>
      </x:c>
      <x:c r="F13" s="167" t="str">
        <x:v>High</x:v>
      </x:c>
      <x:c r="G13" s="167" t="str">
        <x:v>General</x:v>
      </x:c>
      <x:c r="H13" s="167" t="str">
        <x:v>Not Started</x:v>
      </x:c>
      <x:c r="I13" s="167" t="n">
        <x:v>0</x:v>
      </x:c>
      <x:c r="J13" s="168"/>
      <x:c r="K13" s="168" t="str">
        <x:f>IF(OR(H13="Mastered",J13=""),"",J13+IF(I13&gt;=5,30,IF(I13=4,14,IF(I13=3,7,IF(I13=2,3,1)))))</x:f>
      </x:c>
      <x:c r="L13" s="171" t="str"/>
      <x:c r="M13" s="171" t="str"/>
      <x:c r="N13" s="171" t="str">
        <x:v>Draft — verify in context</x:v>
      </x:c>
      <x:c r="O13" s="167" t="str">
        <x:v>https://www.wgtn.ac.nz/lals/resources/academicwordlist</x:v>
      </x:c>
    </x:row>
    <x:row r="14" ht="26" customHeight="1">
      <x:c r="A14" s="167" t="n">
        <x:v>13</x:v>
      </x:c>
      <x:c r="B14" s="167" t="str">
        <x:v>contract</x:v>
      </x:c>
      <x:c r="C14" s="170" t="str">
        <x:v>договір; укладати контракт; скорочуватися</x:v>
      </x:c>
      <x:c r="D14" s="167" t="n">
        <x:v>1</x:v>
      </x:c>
      <x:c r="E14" s="167" t="str">
        <x:v>No</x:v>
      </x:c>
      <x:c r="F14" s="167" t="str">
        <x:v>High</x:v>
      </x:c>
      <x:c r="G14" s="167" t="str">
        <x:v>General</x:v>
      </x:c>
      <x:c r="H14" s="167" t="str">
        <x:v>Not Started</x:v>
      </x:c>
      <x:c r="I14" s="167" t="n">
        <x:v>0</x:v>
      </x:c>
      <x:c r="J14" s="168"/>
      <x:c r="K14" s="168" t="str">
        <x:f>IF(OR(H14="Mastered",J14=""),"",J14+IF(I14&gt;=5,30,IF(I14=4,14,IF(I14=3,7,IF(I14=2,3,1)))))</x:f>
      </x:c>
      <x:c r="L14" s="171" t="str"/>
      <x:c r="M14" s="171" t="str"/>
      <x:c r="N14" s="171" t="str">
        <x:v>Draft — verify in context</x:v>
      </x:c>
      <x:c r="O14" s="167" t="str">
        <x:v>https://www.wgtn.ac.nz/lals/resources/academicwordlist</x:v>
      </x:c>
    </x:row>
    <x:row r="15" ht="26" customHeight="1">
      <x:c r="A15" s="167" t="n">
        <x:v>14</x:v>
      </x:c>
      <x:c r="B15" s="167" t="str">
        <x:v>create</x:v>
      </x:c>
      <x:c r="C15" s="170" t="str">
        <x:v>створювати</x:v>
      </x:c>
      <x:c r="D15" s="167" t="n">
        <x:v>1</x:v>
      </x:c>
      <x:c r="E15" s="167" t="str">
        <x:v>No</x:v>
      </x:c>
      <x:c r="F15" s="167" t="str">
        <x:v>High</x:v>
      </x:c>
      <x:c r="G15" s="167" t="str">
        <x:v>General</x:v>
      </x:c>
      <x:c r="H15" s="167" t="str">
        <x:v>Not Started</x:v>
      </x:c>
      <x:c r="I15" s="167" t="n">
        <x:v>0</x:v>
      </x:c>
      <x:c r="J15" s="168"/>
      <x:c r="K15" s="168" t="str">
        <x:f>IF(OR(H15="Mastered",J15=""),"",J15+IF(I15&gt;=5,30,IF(I15=4,14,IF(I15=3,7,IF(I15=2,3,1)))))</x:f>
      </x:c>
      <x:c r="L15" s="171" t="str"/>
      <x:c r="M15" s="171" t="str"/>
      <x:c r="N15" s="171" t="str">
        <x:v>Draft — verify in context</x:v>
      </x:c>
      <x:c r="O15" s="167" t="str">
        <x:v>https://www.wgtn.ac.nz/lals/resources/academicwordlist</x:v>
      </x:c>
    </x:row>
    <x:row r="16" ht="26" customHeight="1">
      <x:c r="A16" s="167" t="n">
        <x:v>15</x:v>
      </x:c>
      <x:c r="B16" s="167" t="str">
        <x:v>data</x:v>
      </x:c>
      <x:c r="C16" s="170" t="str">
        <x:v>дані</x:v>
      </x:c>
      <x:c r="D16" s="167" t="n">
        <x:v>1</x:v>
      </x:c>
      <x:c r="E16" s="167" t="str">
        <x:v>No</x:v>
      </x:c>
      <x:c r="F16" s="167" t="str">
        <x:v>High</x:v>
      </x:c>
      <x:c r="G16" s="167" t="str">
        <x:v>General</x:v>
      </x:c>
      <x:c r="H16" s="167" t="str">
        <x:v>Not Started</x:v>
      </x:c>
      <x:c r="I16" s="167" t="n">
        <x:v>0</x:v>
      </x:c>
      <x:c r="J16" s="168"/>
      <x:c r="K16" s="168" t="str">
        <x:f>IF(OR(H16="Mastered",J16=""),"",J16+IF(I16&gt;=5,30,IF(I16=4,14,IF(I16=3,7,IF(I16=2,3,1)))))</x:f>
      </x:c>
      <x:c r="L16" s="171" t="str"/>
      <x:c r="M16" s="171" t="str"/>
      <x:c r="N16" s="171" t="str">
        <x:v>Draft — verify in context</x:v>
      </x:c>
      <x:c r="O16" s="167" t="str">
        <x:v>https://www.wgtn.ac.nz/lals/resources/academicwordlist</x:v>
      </x:c>
    </x:row>
    <x:row r="17" ht="26" customHeight="1">
      <x:c r="A17" s="167" t="n">
        <x:v>16</x:v>
      </x:c>
      <x:c r="B17" s="167" t="str">
        <x:v>definition</x:v>
      </x:c>
      <x:c r="C17" s="170" t="str">
        <x:v>визначення</x:v>
      </x:c>
      <x:c r="D17" s="167" t="n">
        <x:v>1</x:v>
      </x:c>
      <x:c r="E17" s="167" t="str">
        <x:v>No</x:v>
      </x:c>
      <x:c r="F17" s="167" t="str">
        <x:v>High</x:v>
      </x:c>
      <x:c r="G17" s="167" t="str">
        <x:v>General</x:v>
      </x:c>
      <x:c r="H17" s="167" t="str">
        <x:v>Not Started</x:v>
      </x:c>
      <x:c r="I17" s="167" t="n">
        <x:v>0</x:v>
      </x:c>
      <x:c r="J17" s="168"/>
      <x:c r="K17" s="168" t="str">
        <x:f>IF(OR(H17="Mastered",J17=""),"",J17+IF(I17&gt;=5,30,IF(I17=4,14,IF(I17=3,7,IF(I17=2,3,1)))))</x:f>
      </x:c>
      <x:c r="L17" s="171" t="str"/>
      <x:c r="M17" s="171" t="str"/>
      <x:c r="N17" s="171" t="str">
        <x:v>Draft — verify in context</x:v>
      </x:c>
      <x:c r="O17" s="167" t="str">
        <x:v>https://www.wgtn.ac.nz/lals/resources/academicwordlist</x:v>
      </x:c>
    </x:row>
    <x:row r="18" ht="26" customHeight="1">
      <x:c r="A18" s="167" t="n">
        <x:v>17</x:v>
      </x:c>
      <x:c r="B18" s="167" t="str">
        <x:v>derived</x:v>
      </x:c>
      <x:c r="C18" s="170" t="str">
        <x:v>похідний; отриманий</x:v>
      </x:c>
      <x:c r="D18" s="167" t="n">
        <x:v>1</x:v>
      </x:c>
      <x:c r="E18" s="167" t="str">
        <x:v>No</x:v>
      </x:c>
      <x:c r="F18" s="167" t="str">
        <x:v>High</x:v>
      </x:c>
      <x:c r="G18" s="167" t="str">
        <x:v>General</x:v>
      </x:c>
      <x:c r="H18" s="167" t="str">
        <x:v>Not Started</x:v>
      </x:c>
      <x:c r="I18" s="167" t="n">
        <x:v>0</x:v>
      </x:c>
      <x:c r="J18" s="168"/>
      <x:c r="K18" s="168" t="str">
        <x:f>IF(OR(H18="Mastered",J18=""),"",J18+IF(I18&gt;=5,30,IF(I18=4,14,IF(I18=3,7,IF(I18=2,3,1)))))</x:f>
      </x:c>
      <x:c r="L18" s="171" t="str"/>
      <x:c r="M18" s="171" t="str"/>
      <x:c r="N18" s="171" t="str">
        <x:v>Draft — verify in context</x:v>
      </x:c>
      <x:c r="O18" s="167" t="str">
        <x:v>https://www.wgtn.ac.nz/lals/resources/academicwordlist</x:v>
      </x:c>
    </x:row>
    <x:row r="19" ht="26" customHeight="1">
      <x:c r="A19" s="167" t="n">
        <x:v>18</x:v>
      </x:c>
      <x:c r="B19" s="167" t="str">
        <x:v>distribution</x:v>
      </x:c>
      <x:c r="C19" s="170" t="str">
        <x:v>розподіл; поширення</x:v>
      </x:c>
      <x:c r="D19" s="167" t="n">
        <x:v>1</x:v>
      </x:c>
      <x:c r="E19" s="167" t="str">
        <x:v>No</x:v>
      </x:c>
      <x:c r="F19" s="167" t="str">
        <x:v>High</x:v>
      </x:c>
      <x:c r="G19" s="167" t="str">
        <x:v>General</x:v>
      </x:c>
      <x:c r="H19" s="167" t="str">
        <x:v>Not Started</x:v>
      </x:c>
      <x:c r="I19" s="167" t="n">
        <x:v>0</x:v>
      </x:c>
      <x:c r="J19" s="168"/>
      <x:c r="K19" s="168" t="str">
        <x:f>IF(OR(H19="Mastered",J19=""),"",J19+IF(I19&gt;=5,30,IF(I19=4,14,IF(I19=3,7,IF(I19=2,3,1)))))</x:f>
      </x:c>
      <x:c r="L19" s="171" t="str"/>
      <x:c r="M19" s="171" t="str"/>
      <x:c r="N19" s="171" t="str">
        <x:v>Draft — verify in context</x:v>
      </x:c>
      <x:c r="O19" s="167" t="str">
        <x:v>https://www.wgtn.ac.nz/lals/resources/academicwordlist</x:v>
      </x:c>
    </x:row>
    <x:row r="20" ht="26" customHeight="1">
      <x:c r="A20" s="167" t="n">
        <x:v>19</x:v>
      </x:c>
      <x:c r="B20" s="167" t="str">
        <x:v>economic</x:v>
      </x:c>
      <x:c r="C20" s="170" t="str">
        <x:v>економічний</x:v>
      </x:c>
      <x:c r="D20" s="167" t="n">
        <x:v>1</x:v>
      </x:c>
      <x:c r="E20" s="167" t="str">
        <x:v>No</x:v>
      </x:c>
      <x:c r="F20" s="167" t="str">
        <x:v>High</x:v>
      </x:c>
      <x:c r="G20" s="167" t="str">
        <x:v>General</x:v>
      </x:c>
      <x:c r="H20" s="167" t="str">
        <x:v>Not Started</x:v>
      </x:c>
      <x:c r="I20" s="167" t="n">
        <x:v>0</x:v>
      </x:c>
      <x:c r="J20" s="168"/>
      <x:c r="K20" s="168" t="str">
        <x:f>IF(OR(H20="Mastered",J20=""),"",J20+IF(I20&gt;=5,30,IF(I20=4,14,IF(I20=3,7,IF(I20=2,3,1)))))</x:f>
      </x:c>
      <x:c r="L20" s="171" t="str"/>
      <x:c r="M20" s="171" t="str"/>
      <x:c r="N20" s="171" t="str">
        <x:v>Draft — verify in context</x:v>
      </x:c>
      <x:c r="O20" s="167" t="str">
        <x:v>https://www.wgtn.ac.nz/lals/resources/academicwordlist</x:v>
      </x:c>
    </x:row>
    <x:row r="21" ht="26" customHeight="1">
      <x:c r="A21" s="167" t="n">
        <x:v>20</x:v>
      </x:c>
      <x:c r="B21" s="167" t="str">
        <x:v>environment</x:v>
      </x:c>
      <x:c r="C21" s="170" t="str">
        <x:v>довкілля; середовище</x:v>
      </x:c>
      <x:c r="D21" s="167" t="n">
        <x:v>1</x:v>
      </x:c>
      <x:c r="E21" s="167" t="str">
        <x:v>No</x:v>
      </x:c>
      <x:c r="F21" s="167" t="str">
        <x:v>High</x:v>
      </x:c>
      <x:c r="G21" s="167" t="str">
        <x:v>General</x:v>
      </x:c>
      <x:c r="H21" s="167" t="str">
        <x:v>Not Started</x:v>
      </x:c>
      <x:c r="I21" s="167" t="n">
        <x:v>0</x:v>
      </x:c>
      <x:c r="J21" s="168"/>
      <x:c r="K21" s="168" t="str">
        <x:f>IF(OR(H21="Mastered",J21=""),"",J21+IF(I21&gt;=5,30,IF(I21=4,14,IF(I21=3,7,IF(I21=2,3,1)))))</x:f>
      </x:c>
      <x:c r="L21" s="171" t="str"/>
      <x:c r="M21" s="171" t="str"/>
      <x:c r="N21" s="171" t="str">
        <x:v>Draft — verify in context</x:v>
      </x:c>
      <x:c r="O21" s="167" t="str">
        <x:v>https://www.wgtn.ac.nz/lals/resources/academicwordlist</x:v>
      </x:c>
    </x:row>
    <x:row r="22" ht="26" customHeight="1">
      <x:c r="A22" s="167" t="n">
        <x:v>21</x:v>
      </x:c>
      <x:c r="B22" s="167" t="str">
        <x:v>established</x:v>
      </x:c>
      <x:c r="C22" s="170" t="str">
        <x:v>встановлений; усталений</x:v>
      </x:c>
      <x:c r="D22" s="167" t="n">
        <x:v>1</x:v>
      </x:c>
      <x:c r="E22" s="167" t="str">
        <x:v>No</x:v>
      </x:c>
      <x:c r="F22" s="167" t="str">
        <x:v>High</x:v>
      </x:c>
      <x:c r="G22" s="167" t="str">
        <x:v>General</x:v>
      </x:c>
      <x:c r="H22" s="167" t="str">
        <x:v>Not Started</x:v>
      </x:c>
      <x:c r="I22" s="167" t="n">
        <x:v>0</x:v>
      </x:c>
      <x:c r="J22" s="168"/>
      <x:c r="K22" s="168" t="str">
        <x:f>IF(OR(H22="Mastered",J22=""),"",J22+IF(I22&gt;=5,30,IF(I22=4,14,IF(I22=3,7,IF(I22=2,3,1)))))</x:f>
      </x:c>
      <x:c r="L22" s="171" t="str"/>
      <x:c r="M22" s="171" t="str"/>
      <x:c r="N22" s="171" t="str">
        <x:v>Draft — verify in context</x:v>
      </x:c>
      <x:c r="O22" s="167" t="str">
        <x:v>https://www.wgtn.ac.nz/lals/resources/academicwordlist</x:v>
      </x:c>
    </x:row>
    <x:row r="23" ht="26" customHeight="1">
      <x:c r="A23" s="167" t="n">
        <x:v>22</x:v>
      </x:c>
      <x:c r="B23" s="167" t="str">
        <x:v>estimate</x:v>
      </x:c>
      <x:c r="C23" s="170" t="str">
        <x:v>оцінка; оцінювати</x:v>
      </x:c>
      <x:c r="D23" s="167" t="n">
        <x:v>1</x:v>
      </x:c>
      <x:c r="E23" s="167" t="str">
        <x:v>No</x:v>
      </x:c>
      <x:c r="F23" s="167" t="str">
        <x:v>High</x:v>
      </x:c>
      <x:c r="G23" s="167" t="str">
        <x:v>General</x:v>
      </x:c>
      <x:c r="H23" s="167" t="str">
        <x:v>Not Started</x:v>
      </x:c>
      <x:c r="I23" s="167" t="n">
        <x:v>0</x:v>
      </x:c>
      <x:c r="J23" s="168"/>
      <x:c r="K23" s="168" t="str">
        <x:f>IF(OR(H23="Mastered",J23=""),"",J23+IF(I23&gt;=5,30,IF(I23=4,14,IF(I23=3,7,IF(I23=2,3,1)))))</x:f>
      </x:c>
      <x:c r="L23" s="171" t="str"/>
      <x:c r="M23" s="171" t="str"/>
      <x:c r="N23" s="171" t="str">
        <x:v>Draft — verify in context</x:v>
      </x:c>
      <x:c r="O23" s="167" t="str">
        <x:v>https://www.wgtn.ac.nz/lals/resources/academicwordlist</x:v>
      </x:c>
    </x:row>
    <x:row r="24" ht="26" customHeight="1">
      <x:c r="A24" s="167" t="n">
        <x:v>23</x:v>
      </x:c>
      <x:c r="B24" s="167" t="str">
        <x:v>evidence</x:v>
      </x:c>
      <x:c r="C24" s="170" t="str">
        <x:v>докази; свідчення</x:v>
      </x:c>
      <x:c r="D24" s="167" t="n">
        <x:v>1</x:v>
      </x:c>
      <x:c r="E24" s="167" t="str">
        <x:v>No</x:v>
      </x:c>
      <x:c r="F24" s="167" t="str">
        <x:v>High</x:v>
      </x:c>
      <x:c r="G24" s="167" t="str">
        <x:v>General</x:v>
      </x:c>
      <x:c r="H24" s="167" t="str">
        <x:v>Not Started</x:v>
      </x:c>
      <x:c r="I24" s="167" t="n">
        <x:v>0</x:v>
      </x:c>
      <x:c r="J24" s="168"/>
      <x:c r="K24" s="168" t="str">
        <x:f>IF(OR(H24="Mastered",J24=""),"",J24+IF(I24&gt;=5,30,IF(I24=4,14,IF(I24=3,7,IF(I24=2,3,1)))))</x:f>
      </x:c>
      <x:c r="L24" s="171" t="str"/>
      <x:c r="M24" s="171" t="str"/>
      <x:c r="N24" s="171" t="str">
        <x:v>Draft — verify in context</x:v>
      </x:c>
      <x:c r="O24" s="167" t="str">
        <x:v>https://www.wgtn.ac.nz/lals/resources/academicwordlist</x:v>
      </x:c>
    </x:row>
    <x:row r="25" ht="26" customHeight="1">
      <x:c r="A25" s="167" t="n">
        <x:v>24</x:v>
      </x:c>
      <x:c r="B25" s="167" t="str">
        <x:v>export</x:v>
      </x:c>
      <x:c r="C25" s="170" t="str">
        <x:v>експорт; експортувати</x:v>
      </x:c>
      <x:c r="D25" s="167" t="n">
        <x:v>1</x:v>
      </x:c>
      <x:c r="E25" s="167" t="str">
        <x:v>No</x:v>
      </x:c>
      <x:c r="F25" s="167" t="str">
        <x:v>High</x:v>
      </x:c>
      <x:c r="G25" s="167" t="str">
        <x:v>General</x:v>
      </x:c>
      <x:c r="H25" s="167" t="str">
        <x:v>Not Started</x:v>
      </x:c>
      <x:c r="I25" s="167" t="n">
        <x:v>0</x:v>
      </x:c>
      <x:c r="J25" s="168"/>
      <x:c r="K25" s="168" t="str">
        <x:f>IF(OR(H25="Mastered",J25=""),"",J25+IF(I25&gt;=5,30,IF(I25=4,14,IF(I25=3,7,IF(I25=2,3,1)))))</x:f>
      </x:c>
      <x:c r="L25" s="171" t="str"/>
      <x:c r="M25" s="171" t="str"/>
      <x:c r="N25" s="171" t="str">
        <x:v>Draft — verify in context</x:v>
      </x:c>
      <x:c r="O25" s="167" t="str">
        <x:v>https://www.wgtn.ac.nz/lals/resources/academicwordlist</x:v>
      </x:c>
    </x:row>
    <x:row r="26" ht="26" customHeight="1">
      <x:c r="A26" s="167" t="n">
        <x:v>25</x:v>
      </x:c>
      <x:c r="B26" s="167" t="str">
        <x:v>factors</x:v>
      </x:c>
      <x:c r="C26" s="170" t="str">
        <x:v>чинники; фактори</x:v>
      </x:c>
      <x:c r="D26" s="167" t="n">
        <x:v>1</x:v>
      </x:c>
      <x:c r="E26" s="167" t="str">
        <x:v>No</x:v>
      </x:c>
      <x:c r="F26" s="167" t="str">
        <x:v>High</x:v>
      </x:c>
      <x:c r="G26" s="167" t="str">
        <x:v>General</x:v>
      </x:c>
      <x:c r="H26" s="167" t="str">
        <x:v>Not Started</x:v>
      </x:c>
      <x:c r="I26" s="167" t="n">
        <x:v>0</x:v>
      </x:c>
      <x:c r="J26" s="168"/>
      <x:c r="K26" s="168" t="str">
        <x:f>IF(OR(H26="Mastered",J26=""),"",J26+IF(I26&gt;=5,30,IF(I26=4,14,IF(I26=3,7,IF(I26=2,3,1)))))</x:f>
      </x:c>
      <x:c r="L26" s="171" t="str"/>
      <x:c r="M26" s="171" t="str"/>
      <x:c r="N26" s="171" t="str">
        <x:v>Draft — verify in context</x:v>
      </x:c>
      <x:c r="O26" s="167" t="str">
        <x:v>https://www.wgtn.ac.nz/lals/resources/academicwordlist</x:v>
      </x:c>
    </x:row>
    <x:row r="27" ht="26" customHeight="1">
      <x:c r="A27" s="167" t="n">
        <x:v>26</x:v>
      </x:c>
      <x:c r="B27" s="167" t="str">
        <x:v>financial</x:v>
      </x:c>
      <x:c r="C27" s="170" t="str">
        <x:v>фінансовий</x:v>
      </x:c>
      <x:c r="D27" s="167" t="n">
        <x:v>1</x:v>
      </x:c>
      <x:c r="E27" s="167" t="str">
        <x:v>No</x:v>
      </x:c>
      <x:c r="F27" s="167" t="str">
        <x:v>High</x:v>
      </x:c>
      <x:c r="G27" s="167" t="str">
        <x:v>General</x:v>
      </x:c>
      <x:c r="H27" s="167" t="str">
        <x:v>Not Started</x:v>
      </x:c>
      <x:c r="I27" s="167" t="n">
        <x:v>0</x:v>
      </x:c>
      <x:c r="J27" s="168"/>
      <x:c r="K27" s="168" t="str">
        <x:f>IF(OR(H27="Mastered",J27=""),"",J27+IF(I27&gt;=5,30,IF(I27=4,14,IF(I27=3,7,IF(I27=2,3,1)))))</x:f>
      </x:c>
      <x:c r="L27" s="171" t="str"/>
      <x:c r="M27" s="171" t="str"/>
      <x:c r="N27" s="171" t="str">
        <x:v>Draft — verify in context</x:v>
      </x:c>
      <x:c r="O27" s="167" t="str">
        <x:v>https://www.wgtn.ac.nz/lals/resources/academicwordlist</x:v>
      </x:c>
    </x:row>
    <x:row r="28" ht="26" customHeight="1">
      <x:c r="A28" s="167" t="n">
        <x:v>27</x:v>
      </x:c>
      <x:c r="B28" s="167" t="str">
        <x:v>formula</x:v>
      </x:c>
      <x:c r="C28" s="170" t="str">
        <x:v>формула</x:v>
      </x:c>
      <x:c r="D28" s="167" t="n">
        <x:v>1</x:v>
      </x:c>
      <x:c r="E28" s="167" t="str">
        <x:v>Yes</x:v>
      </x:c>
      <x:c r="F28" s="167" t="str">
        <x:v>High</x:v>
      </x:c>
      <x:c r="G28" s="167" t="str">
        <x:v>General</x:v>
      </x:c>
      <x:c r="H28" s="167" t="str">
        <x:v>Not Started</x:v>
      </x:c>
      <x:c r="I28" s="167" t="n">
        <x:v>0</x:v>
      </x:c>
      <x:c r="J28" s="168"/>
      <x:c r="K28" s="168" t="str">
        <x:f>IF(OR(H28="Mastered",J28=""),"",J28+IF(I28&gt;=5,30,IF(I28=4,14,IF(I28=3,7,IF(I28=2,3,1)))))</x:f>
      </x:c>
      <x:c r="L28" s="171" t="str"/>
      <x:c r="M28" s="171" t="str"/>
      <x:c r="N28" s="171" t="str">
        <x:v>Draft — verify in context</x:v>
      </x:c>
      <x:c r="O28" s="167" t="str">
        <x:v>https://www.wgtn.ac.nz/lals/resources/academicwordlist</x:v>
      </x:c>
    </x:row>
    <x:row r="29" ht="26" customHeight="1">
      <x:c r="A29" s="167" t="n">
        <x:v>28</x:v>
      </x:c>
      <x:c r="B29" s="167" t="str">
        <x:v>function</x:v>
      </x:c>
      <x:c r="C29" s="170" t="str">
        <x:v>функція; функціонувати</x:v>
      </x:c>
      <x:c r="D29" s="167" t="n">
        <x:v>1</x:v>
      </x:c>
      <x:c r="E29" s="167" t="str">
        <x:v>No</x:v>
      </x:c>
      <x:c r="F29" s="167" t="str">
        <x:v>High</x:v>
      </x:c>
      <x:c r="G29" s="167" t="str">
        <x:v>General</x:v>
      </x:c>
      <x:c r="H29" s="167" t="str">
        <x:v>Not Started</x:v>
      </x:c>
      <x:c r="I29" s="167" t="n">
        <x:v>0</x:v>
      </x:c>
      <x:c r="J29" s="168"/>
      <x:c r="K29" s="168" t="str">
        <x:f>IF(OR(H29="Mastered",J29=""),"",J29+IF(I29&gt;=5,30,IF(I29=4,14,IF(I29=3,7,IF(I29=2,3,1)))))</x:f>
      </x:c>
      <x:c r="L29" s="171" t="str"/>
      <x:c r="M29" s="171" t="str"/>
      <x:c r="N29" s="171" t="str">
        <x:v>Draft — verify in context</x:v>
      </x:c>
      <x:c r="O29" s="167" t="str">
        <x:v>https://www.wgtn.ac.nz/lals/resources/academicwordlist</x:v>
      </x:c>
    </x:row>
    <x:row r="30" ht="26" customHeight="1">
      <x:c r="A30" s="167" t="n">
        <x:v>29</x:v>
      </x:c>
      <x:c r="B30" s="167" t="str">
        <x:v>identified</x:v>
      </x:c>
      <x:c r="C30" s="170" t="str">
        <x:v>визначений; ідентифікований</x:v>
      </x:c>
      <x:c r="D30" s="167" t="n">
        <x:v>1</x:v>
      </x:c>
      <x:c r="E30" s="167" t="str">
        <x:v>No</x:v>
      </x:c>
      <x:c r="F30" s="167" t="str">
        <x:v>High</x:v>
      </x:c>
      <x:c r="G30" s="167" t="str">
        <x:v>General</x:v>
      </x:c>
      <x:c r="H30" s="167" t="str">
        <x:v>Not Started</x:v>
      </x:c>
      <x:c r="I30" s="167" t="n">
        <x:v>0</x:v>
      </x:c>
      <x:c r="J30" s="168"/>
      <x:c r="K30" s="168" t="str">
        <x:f>IF(OR(H30="Mastered",J30=""),"",J30+IF(I30&gt;=5,30,IF(I30=4,14,IF(I30=3,7,IF(I30=2,3,1)))))</x:f>
      </x:c>
      <x:c r="L30" s="171" t="str"/>
      <x:c r="M30" s="171" t="str"/>
      <x:c r="N30" s="171" t="str">
        <x:v>Draft — verify in context</x:v>
      </x:c>
      <x:c r="O30" s="167" t="str">
        <x:v>https://www.wgtn.ac.nz/lals/resources/academicwordlist</x:v>
      </x:c>
    </x:row>
    <x:row r="31" ht="26" customHeight="1">
      <x:c r="A31" s="167" t="n">
        <x:v>30</x:v>
      </x:c>
      <x:c r="B31" s="167" t="str">
        <x:v>income</x:v>
      </x:c>
      <x:c r="C31" s="170" t="str">
        <x:v>дохід</x:v>
      </x:c>
      <x:c r="D31" s="167" t="n">
        <x:v>1</x:v>
      </x:c>
      <x:c r="E31" s="167" t="str">
        <x:v>No</x:v>
      </x:c>
      <x:c r="F31" s="167" t="str">
        <x:v>High</x:v>
      </x:c>
      <x:c r="G31" s="167" t="str">
        <x:v>General</x:v>
      </x:c>
      <x:c r="H31" s="167" t="str">
        <x:v>Not Started</x:v>
      </x:c>
      <x:c r="I31" s="167" t="n">
        <x:v>0</x:v>
      </x:c>
      <x:c r="J31" s="168"/>
      <x:c r="K31" s="168" t="str">
        <x:f>IF(OR(H31="Mastered",J31=""),"",J31+IF(I31&gt;=5,30,IF(I31=4,14,IF(I31=3,7,IF(I31=2,3,1)))))</x:f>
      </x:c>
      <x:c r="L31" s="171" t="str"/>
      <x:c r="M31" s="171" t="str"/>
      <x:c r="N31" s="171" t="str">
        <x:v>Draft — verify in context</x:v>
      </x:c>
      <x:c r="O31" s="167" t="str">
        <x:v>https://www.wgtn.ac.nz/lals/resources/academicwordlist</x:v>
      </x:c>
    </x:row>
    <x:row r="32" ht="26" customHeight="1">
      <x:c r="A32" s="167" t="n">
        <x:v>31</x:v>
      </x:c>
      <x:c r="B32" s="167" t="str">
        <x:v>indicate</x:v>
      </x:c>
      <x:c r="C32" s="170" t="str">
        <x:v>вказувати; свідчити</x:v>
      </x:c>
      <x:c r="D32" s="167" t="n">
        <x:v>1</x:v>
      </x:c>
      <x:c r="E32" s="167" t="str">
        <x:v>No</x:v>
      </x:c>
      <x:c r="F32" s="167" t="str">
        <x:v>High</x:v>
      </x:c>
      <x:c r="G32" s="167" t="str">
        <x:v>General</x:v>
      </x:c>
      <x:c r="H32" s="167" t="str">
        <x:v>Not Started</x:v>
      </x:c>
      <x:c r="I32" s="167" t="n">
        <x:v>0</x:v>
      </x:c>
      <x:c r="J32" s="168"/>
      <x:c r="K32" s="168" t="str">
        <x:f>IF(OR(H32="Mastered",J32=""),"",J32+IF(I32&gt;=5,30,IF(I32=4,14,IF(I32=3,7,IF(I32=2,3,1)))))</x:f>
      </x:c>
      <x:c r="L32" s="171" t="str"/>
      <x:c r="M32" s="171" t="str"/>
      <x:c r="N32" s="171" t="str">
        <x:v>Draft — verify in context</x:v>
      </x:c>
      <x:c r="O32" s="167" t="str">
        <x:v>https://www.wgtn.ac.nz/lals/resources/academicwordlist</x:v>
      </x:c>
    </x:row>
    <x:row r="33" ht="26" customHeight="1">
      <x:c r="A33" s="167" t="n">
        <x:v>32</x:v>
      </x:c>
      <x:c r="B33" s="167" t="str">
        <x:v>individual</x:v>
      </x:c>
      <x:c r="C33" s="170" t="str">
        <x:v>окремий; індивідуальний; особа</x:v>
      </x:c>
      <x:c r="D33" s="167" t="n">
        <x:v>1</x:v>
      </x:c>
      <x:c r="E33" s="167" t="str">
        <x:v>No</x:v>
      </x:c>
      <x:c r="F33" s="167" t="str">
        <x:v>High</x:v>
      </x:c>
      <x:c r="G33" s="167" t="str">
        <x:v>General</x:v>
      </x:c>
      <x:c r="H33" s="167" t="str">
        <x:v>Not Started</x:v>
      </x:c>
      <x:c r="I33" s="167" t="n">
        <x:v>0</x:v>
      </x:c>
      <x:c r="J33" s="168"/>
      <x:c r="K33" s="168" t="str">
        <x:f>IF(OR(H33="Mastered",J33=""),"",J33+IF(I33&gt;=5,30,IF(I33=4,14,IF(I33=3,7,IF(I33=2,3,1)))))</x:f>
      </x:c>
      <x:c r="L33" s="171" t="str"/>
      <x:c r="M33" s="171" t="str"/>
      <x:c r="N33" s="171" t="str">
        <x:v>Draft — verify in context</x:v>
      </x:c>
      <x:c r="O33" s="167" t="str">
        <x:v>https://www.wgtn.ac.nz/lals/resources/academicwordlist</x:v>
      </x:c>
    </x:row>
    <x:row r="34" ht="26" customHeight="1">
      <x:c r="A34" s="167" t="n">
        <x:v>33</x:v>
      </x:c>
      <x:c r="B34" s="167" t="str">
        <x:v>interpretation</x:v>
      </x:c>
      <x:c r="C34" s="170" t="str">
        <x:v>тлумачення; інтерпретація</x:v>
      </x:c>
      <x:c r="D34" s="167" t="n">
        <x:v>1</x:v>
      </x:c>
      <x:c r="E34" s="167" t="str">
        <x:v>No</x:v>
      </x:c>
      <x:c r="F34" s="167" t="str">
        <x:v>High</x:v>
      </x:c>
      <x:c r="G34" s="167" t="str">
        <x:v>Research &amp; data</x:v>
      </x:c>
      <x:c r="H34" s="167" t="str">
        <x:v>Not Started</x:v>
      </x:c>
      <x:c r="I34" s="167" t="n">
        <x:v>0</x:v>
      </x:c>
      <x:c r="J34" s="168"/>
      <x:c r="K34" s="168" t="str">
        <x:f>IF(OR(H34="Mastered",J34=""),"",J34+IF(I34&gt;=5,30,IF(I34=4,14,IF(I34=3,7,IF(I34=2,3,1)))))</x:f>
      </x:c>
      <x:c r="L34" s="171" t="str"/>
      <x:c r="M34" s="171" t="str"/>
      <x:c r="N34" s="171" t="str">
        <x:v>Draft — verify in context</x:v>
      </x:c>
      <x:c r="O34" s="167" t="str">
        <x:v>https://www.wgtn.ac.nz/lals/resources/academicwordlist</x:v>
      </x:c>
    </x:row>
    <x:row r="35" ht="26" customHeight="1">
      <x:c r="A35" s="167" t="n">
        <x:v>34</x:v>
      </x:c>
      <x:c r="B35" s="167" t="str">
        <x:v>involved</x:v>
      </x:c>
      <x:c r="C35" s="170" t="str">
        <x:v>залучений; пов’язаний</x:v>
      </x:c>
      <x:c r="D35" s="167" t="n">
        <x:v>1</x:v>
      </x:c>
      <x:c r="E35" s="167" t="str">
        <x:v>No</x:v>
      </x:c>
      <x:c r="F35" s="167" t="str">
        <x:v>High</x:v>
      </x:c>
      <x:c r="G35" s="167" t="str">
        <x:v>General</x:v>
      </x:c>
      <x:c r="H35" s="167" t="str">
        <x:v>Not Started</x:v>
      </x:c>
      <x:c r="I35" s="167" t="n">
        <x:v>0</x:v>
      </x:c>
      <x:c r="J35" s="168"/>
      <x:c r="K35" s="168" t="str">
        <x:f>IF(OR(H35="Mastered",J35=""),"",J35+IF(I35&gt;=5,30,IF(I35=4,14,IF(I35=3,7,IF(I35=2,3,1)))))</x:f>
      </x:c>
      <x:c r="L35" s="171" t="str"/>
      <x:c r="M35" s="171" t="str"/>
      <x:c r="N35" s="171" t="str">
        <x:v>Draft — verify in context</x:v>
      </x:c>
      <x:c r="O35" s="167" t="str">
        <x:v>https://www.wgtn.ac.nz/lals/resources/academicwordlist</x:v>
      </x:c>
    </x:row>
    <x:row r="36" ht="26" customHeight="1">
      <x:c r="A36" s="167" t="n">
        <x:v>35</x:v>
      </x:c>
      <x:c r="B36" s="167" t="str">
        <x:v>issues</x:v>
      </x:c>
      <x:c r="C36" s="170" t="str">
        <x:v>питання; проблеми</x:v>
      </x:c>
      <x:c r="D36" s="167" t="n">
        <x:v>1</x:v>
      </x:c>
      <x:c r="E36" s="167" t="str">
        <x:v>No</x:v>
      </x:c>
      <x:c r="F36" s="167" t="str">
        <x:v>High</x:v>
      </x:c>
      <x:c r="G36" s="167" t="str">
        <x:v>General</x:v>
      </x:c>
      <x:c r="H36" s="167" t="str">
        <x:v>Not Started</x:v>
      </x:c>
      <x:c r="I36" s="167" t="n">
        <x:v>0</x:v>
      </x:c>
      <x:c r="J36" s="168"/>
      <x:c r="K36" s="168" t="str">
        <x:f>IF(OR(H36="Mastered",J36=""),"",J36+IF(I36&gt;=5,30,IF(I36=4,14,IF(I36=3,7,IF(I36=2,3,1)))))</x:f>
      </x:c>
      <x:c r="L36" s="171" t="str"/>
      <x:c r="M36" s="171" t="str"/>
      <x:c r="N36" s="171" t="str">
        <x:v>Draft — verify in context</x:v>
      </x:c>
      <x:c r="O36" s="167" t="str">
        <x:v>https://www.wgtn.ac.nz/lals/resources/academicwordlist</x:v>
      </x:c>
    </x:row>
    <x:row r="37" ht="26" customHeight="1">
      <x:c r="A37" s="167" t="n">
        <x:v>36</x:v>
      </x:c>
      <x:c r="B37" s="167" t="str">
        <x:v>labour</x:v>
      </x:c>
      <x:c r="C37" s="170" t="str">
        <x:v>праця; робоча сила</x:v>
      </x:c>
      <x:c r="D37" s="167" t="n">
        <x:v>1</x:v>
      </x:c>
      <x:c r="E37" s="167" t="str">
        <x:v>No</x:v>
      </x:c>
      <x:c r="F37" s="167" t="str">
        <x:v>High</x:v>
      </x:c>
      <x:c r="G37" s="167" t="str">
        <x:v>General</x:v>
      </x:c>
      <x:c r="H37" s="167" t="str">
        <x:v>Not Started</x:v>
      </x:c>
      <x:c r="I37" s="167" t="n">
        <x:v>0</x:v>
      </x:c>
      <x:c r="J37" s="168"/>
      <x:c r="K37" s="168" t="str">
        <x:f>IF(OR(H37="Mastered",J37=""),"",J37+IF(I37&gt;=5,30,IF(I37=4,14,IF(I37=3,7,IF(I37=2,3,1)))))</x:f>
      </x:c>
      <x:c r="L37" s="171" t="str"/>
      <x:c r="M37" s="171" t="str"/>
      <x:c r="N37" s="171" t="str">
        <x:v>Draft — verify in context</x:v>
      </x:c>
      <x:c r="O37" s="167" t="str">
        <x:v>https://www.wgtn.ac.nz/lals/resources/academicwordlist</x:v>
      </x:c>
    </x:row>
    <x:row r="38" ht="26" customHeight="1">
      <x:c r="A38" s="167" t="n">
        <x:v>37</x:v>
      </x:c>
      <x:c r="B38" s="167" t="str">
        <x:v>legal</x:v>
      </x:c>
      <x:c r="C38" s="170" t="str">
        <x:v>правовий; юридичний</x:v>
      </x:c>
      <x:c r="D38" s="167" t="n">
        <x:v>1</x:v>
      </x:c>
      <x:c r="E38" s="167" t="str">
        <x:v>No</x:v>
      </x:c>
      <x:c r="F38" s="167" t="str">
        <x:v>High</x:v>
      </x:c>
      <x:c r="G38" s="167" t="str">
        <x:v>General</x:v>
      </x:c>
      <x:c r="H38" s="167" t="str">
        <x:v>Not Started</x:v>
      </x:c>
      <x:c r="I38" s="167" t="n">
        <x:v>0</x:v>
      </x:c>
      <x:c r="J38" s="168"/>
      <x:c r="K38" s="168" t="str">
        <x:f>IF(OR(H38="Mastered",J38=""),"",J38+IF(I38&gt;=5,30,IF(I38=4,14,IF(I38=3,7,IF(I38=2,3,1)))))</x:f>
      </x:c>
      <x:c r="L38" s="171" t="str"/>
      <x:c r="M38" s="171" t="str"/>
      <x:c r="N38" s="171" t="str">
        <x:v>Draft — verify in context</x:v>
      </x:c>
      <x:c r="O38" s="167" t="str">
        <x:v>https://www.wgtn.ac.nz/lals/resources/academicwordlist</x:v>
      </x:c>
    </x:row>
    <x:row r="39" ht="26" customHeight="1">
      <x:c r="A39" s="167" t="n">
        <x:v>38</x:v>
      </x:c>
      <x:c r="B39" s="167" t="str">
        <x:v>legislation</x:v>
      </x:c>
      <x:c r="C39" s="170" t="str">
        <x:v>законодавство</x:v>
      </x:c>
      <x:c r="D39" s="167" t="n">
        <x:v>1</x:v>
      </x:c>
      <x:c r="E39" s="167" t="str">
        <x:v>Yes</x:v>
      </x:c>
      <x:c r="F39" s="167" t="str">
        <x:v>High</x:v>
      </x:c>
      <x:c r="G39" s="167" t="str">
        <x:v>Government &amp; law</x:v>
      </x:c>
      <x:c r="H39" s="167" t="str">
        <x:v>Not Started</x:v>
      </x:c>
      <x:c r="I39" s="167" t="n">
        <x:v>0</x:v>
      </x:c>
      <x:c r="J39" s="168"/>
      <x:c r="K39" s="168" t="str">
        <x:f>IF(OR(H39="Mastered",J39=""),"",J39+IF(I39&gt;=5,30,IF(I39=4,14,IF(I39=3,7,IF(I39=2,3,1)))))</x:f>
      </x:c>
      <x:c r="L39" s="171" t="str"/>
      <x:c r="M39" s="171" t="str"/>
      <x:c r="N39" s="171" t="str">
        <x:v>Draft — verify in context</x:v>
      </x:c>
      <x:c r="O39" s="167" t="str">
        <x:v>https://www.wgtn.ac.nz/lals/resources/academicwordlist</x:v>
      </x:c>
    </x:row>
    <x:row r="40" ht="26" customHeight="1">
      <x:c r="A40" s="167" t="n">
        <x:v>39</x:v>
      </x:c>
      <x:c r="B40" s="167" t="str">
        <x:v>major</x:v>
      </x:c>
      <x:c r="C40" s="170" t="str">
        <x:v>головний; основний; спеціальність</x:v>
      </x:c>
      <x:c r="D40" s="167" t="n">
        <x:v>1</x:v>
      </x:c>
      <x:c r="E40" s="167" t="str">
        <x:v>No</x:v>
      </x:c>
      <x:c r="F40" s="167" t="str">
        <x:v>High</x:v>
      </x:c>
      <x:c r="G40" s="167" t="str">
        <x:v>General</x:v>
      </x:c>
      <x:c r="H40" s="167" t="str">
        <x:v>Not Started</x:v>
      </x:c>
      <x:c r="I40" s="167" t="n">
        <x:v>0</x:v>
      </x:c>
      <x:c r="J40" s="168"/>
      <x:c r="K40" s="168" t="str">
        <x:f>IF(OR(H40="Mastered",J40=""),"",J40+IF(I40&gt;=5,30,IF(I40=4,14,IF(I40=3,7,IF(I40=2,3,1)))))</x:f>
      </x:c>
      <x:c r="L40" s="171" t="str"/>
      <x:c r="M40" s="171" t="str"/>
      <x:c r="N40" s="171" t="str">
        <x:v>Draft — verify in context</x:v>
      </x:c>
      <x:c r="O40" s="167" t="str">
        <x:v>https://www.wgtn.ac.nz/lals/resources/academicwordlist</x:v>
      </x:c>
    </x:row>
    <x:row r="41" ht="26" customHeight="1">
      <x:c r="A41" s="167" t="n">
        <x:v>40</x:v>
      </x:c>
      <x:c r="B41" s="167" t="str">
        <x:v>method</x:v>
      </x:c>
      <x:c r="C41" s="170" t="str">
        <x:v>метод</x:v>
      </x:c>
      <x:c r="D41" s="167" t="n">
        <x:v>1</x:v>
      </x:c>
      <x:c r="E41" s="167" t="str">
        <x:v>No</x:v>
      </x:c>
      <x:c r="F41" s="167" t="str">
        <x:v>High</x:v>
      </x:c>
      <x:c r="G41" s="167" t="str">
        <x:v>General</x:v>
      </x:c>
      <x:c r="H41" s="167" t="str">
        <x:v>Not Started</x:v>
      </x:c>
      <x:c r="I41" s="167" t="n">
        <x:v>0</x:v>
      </x:c>
      <x:c r="J41" s="168"/>
      <x:c r="K41" s="168" t="str">
        <x:f>IF(OR(H41="Mastered",J41=""),"",J41+IF(I41&gt;=5,30,IF(I41=4,14,IF(I41=3,7,IF(I41=2,3,1)))))</x:f>
      </x:c>
      <x:c r="L41" s="171" t="str"/>
      <x:c r="M41" s="171" t="str"/>
      <x:c r="N41" s="171" t="str">
        <x:v>Draft — verify in context</x:v>
      </x:c>
      <x:c r="O41" s="167" t="str">
        <x:v>https://www.wgtn.ac.nz/lals/resources/academicwordlist</x:v>
      </x:c>
    </x:row>
    <x:row r="42" ht="26" customHeight="1">
      <x:c r="A42" s="167" t="n">
        <x:v>41</x:v>
      </x:c>
      <x:c r="B42" s="167" t="str">
        <x:v>occur</x:v>
      </x:c>
      <x:c r="C42" s="170" t="str">
        <x:v>відбуватися; траплятися</x:v>
      </x:c>
      <x:c r="D42" s="167" t="n">
        <x:v>1</x:v>
      </x:c>
      <x:c r="E42" s="167" t="str">
        <x:v>No</x:v>
      </x:c>
      <x:c r="F42" s="167" t="str">
        <x:v>High</x:v>
      </x:c>
      <x:c r="G42" s="167" t="str">
        <x:v>General</x:v>
      </x:c>
      <x:c r="H42" s="167" t="str">
        <x:v>Not Started</x:v>
      </x:c>
      <x:c r="I42" s="167" t="n">
        <x:v>0</x:v>
      </x:c>
      <x:c r="J42" s="168"/>
      <x:c r="K42" s="168" t="str">
        <x:f>IF(OR(H42="Mastered",J42=""),"",J42+IF(I42&gt;=5,30,IF(I42=4,14,IF(I42=3,7,IF(I42=2,3,1)))))</x:f>
      </x:c>
      <x:c r="L42" s="171" t="str"/>
      <x:c r="M42" s="171" t="str"/>
      <x:c r="N42" s="171" t="str">
        <x:v>Draft — verify in context</x:v>
      </x:c>
      <x:c r="O42" s="167" t="str">
        <x:v>https://www.wgtn.ac.nz/lals/resources/academicwordlist</x:v>
      </x:c>
    </x:row>
    <x:row r="43" ht="26" customHeight="1">
      <x:c r="A43" s="167" t="n">
        <x:v>42</x:v>
      </x:c>
      <x:c r="B43" s="167" t="str">
        <x:v>percent</x:v>
      </x:c>
      <x:c r="C43" s="170" t="str">
        <x:v>відсоток</x:v>
      </x:c>
      <x:c r="D43" s="167" t="n">
        <x:v>1</x:v>
      </x:c>
      <x:c r="E43" s="167" t="str">
        <x:v>No</x:v>
      </x:c>
      <x:c r="F43" s="167" t="str">
        <x:v>High</x:v>
      </x:c>
      <x:c r="G43" s="167" t="str">
        <x:v>General</x:v>
      </x:c>
      <x:c r="H43" s="167" t="str">
        <x:v>Not Started</x:v>
      </x:c>
      <x:c r="I43" s="167" t="n">
        <x:v>0</x:v>
      </x:c>
      <x:c r="J43" s="168"/>
      <x:c r="K43" s="168" t="str">
        <x:f>IF(OR(H43="Mastered",J43=""),"",J43+IF(I43&gt;=5,30,IF(I43=4,14,IF(I43=3,7,IF(I43=2,3,1)))))</x:f>
      </x:c>
      <x:c r="L43" s="171" t="str"/>
      <x:c r="M43" s="171" t="str"/>
      <x:c r="N43" s="171" t="str">
        <x:v>Draft — verify in context</x:v>
      </x:c>
      <x:c r="O43" s="167" t="str">
        <x:v>https://www.wgtn.ac.nz/lals/resources/academicwordlist</x:v>
      </x:c>
    </x:row>
    <x:row r="44" ht="26" customHeight="1">
      <x:c r="A44" s="167" t="n">
        <x:v>43</x:v>
      </x:c>
      <x:c r="B44" s="167" t="str">
        <x:v>period</x:v>
      </x:c>
      <x:c r="C44" s="170" t="str">
        <x:v>період</x:v>
      </x:c>
      <x:c r="D44" s="167" t="n">
        <x:v>1</x:v>
      </x:c>
      <x:c r="E44" s="167" t="str">
        <x:v>No</x:v>
      </x:c>
      <x:c r="F44" s="167" t="str">
        <x:v>High</x:v>
      </x:c>
      <x:c r="G44" s="167" t="str">
        <x:v>General</x:v>
      </x:c>
      <x:c r="H44" s="167" t="str">
        <x:v>Not Started</x:v>
      </x:c>
      <x:c r="I44" s="167" t="n">
        <x:v>0</x:v>
      </x:c>
      <x:c r="J44" s="168"/>
      <x:c r="K44" s="168" t="str">
        <x:f>IF(OR(H44="Mastered",J44=""),"",J44+IF(I44&gt;=5,30,IF(I44=4,14,IF(I44=3,7,IF(I44=2,3,1)))))</x:f>
      </x:c>
      <x:c r="L44" s="171" t="str"/>
      <x:c r="M44" s="171" t="str"/>
      <x:c r="N44" s="171" t="str">
        <x:v>Draft — verify in context</x:v>
      </x:c>
      <x:c r="O44" s="167" t="str">
        <x:v>https://www.wgtn.ac.nz/lals/resources/academicwordlist</x:v>
      </x:c>
    </x:row>
    <x:row r="45" ht="26" customHeight="1">
      <x:c r="A45" s="167" t="n">
        <x:v>44</x:v>
      </x:c>
      <x:c r="B45" s="167" t="str">
        <x:v>policy</x:v>
      </x:c>
      <x:c r="C45" s="170" t="str">
        <x:v>політика; стратегічний курс</x:v>
      </x:c>
      <x:c r="D45" s="167" t="n">
        <x:v>1</x:v>
      </x:c>
      <x:c r="E45" s="167" t="str">
        <x:v>No</x:v>
      </x:c>
      <x:c r="F45" s="167" t="str">
        <x:v>High</x:v>
      </x:c>
      <x:c r="G45" s="167" t="str">
        <x:v>General</x:v>
      </x:c>
      <x:c r="H45" s="167" t="str">
        <x:v>Not Started</x:v>
      </x:c>
      <x:c r="I45" s="167" t="n">
        <x:v>0</x:v>
      </x:c>
      <x:c r="J45" s="168"/>
      <x:c r="K45" s="168" t="str">
        <x:f>IF(OR(H45="Mastered",J45=""),"",J45+IF(I45&gt;=5,30,IF(I45=4,14,IF(I45=3,7,IF(I45=2,3,1)))))</x:f>
      </x:c>
      <x:c r="L45" s="171" t="str"/>
      <x:c r="M45" s="171" t="str"/>
      <x:c r="N45" s="171" t="str">
        <x:v>Draft — verify in context</x:v>
      </x:c>
      <x:c r="O45" s="167" t="str">
        <x:v>https://www.wgtn.ac.nz/lals/resources/academicwordlist</x:v>
      </x:c>
    </x:row>
    <x:row r="46" ht="26" customHeight="1">
      <x:c r="A46" s="167" t="n">
        <x:v>45</x:v>
      </x:c>
      <x:c r="B46" s="167" t="str">
        <x:v>principle</x:v>
      </x:c>
      <x:c r="C46" s="170" t="str">
        <x:v>принцип</x:v>
      </x:c>
      <x:c r="D46" s="167" t="n">
        <x:v>1</x:v>
      </x:c>
      <x:c r="E46" s="167" t="str">
        <x:v>No</x:v>
      </x:c>
      <x:c r="F46" s="167" t="str">
        <x:v>High</x:v>
      </x:c>
      <x:c r="G46" s="167" t="str">
        <x:v>General</x:v>
      </x:c>
      <x:c r="H46" s="167" t="str">
        <x:v>Not Started</x:v>
      </x:c>
      <x:c r="I46" s="167" t="n">
        <x:v>0</x:v>
      </x:c>
      <x:c r="J46" s="168"/>
      <x:c r="K46" s="168" t="str">
        <x:f>IF(OR(H46="Mastered",J46=""),"",J46+IF(I46&gt;=5,30,IF(I46=4,14,IF(I46=3,7,IF(I46=2,3,1)))))</x:f>
      </x:c>
      <x:c r="L46" s="171" t="str"/>
      <x:c r="M46" s="171" t="str"/>
      <x:c r="N46" s="171" t="str">
        <x:v>Draft — verify in context</x:v>
      </x:c>
      <x:c r="O46" s="167" t="str">
        <x:v>https://www.wgtn.ac.nz/lals/resources/academicwordlist</x:v>
      </x:c>
    </x:row>
    <x:row r="47" ht="26" customHeight="1">
      <x:c r="A47" s="167" t="n">
        <x:v>46</x:v>
      </x:c>
      <x:c r="B47" s="167" t="str">
        <x:v>procedure</x:v>
      </x:c>
      <x:c r="C47" s="170" t="str">
        <x:v>процедура</x:v>
      </x:c>
      <x:c r="D47" s="167" t="n">
        <x:v>1</x:v>
      </x:c>
      <x:c r="E47" s="167" t="str">
        <x:v>No</x:v>
      </x:c>
      <x:c r="F47" s="167" t="str">
        <x:v>High</x:v>
      </x:c>
      <x:c r="G47" s="167" t="str">
        <x:v>General</x:v>
      </x:c>
      <x:c r="H47" s="167" t="str">
        <x:v>Not Started</x:v>
      </x:c>
      <x:c r="I47" s="167" t="n">
        <x:v>0</x:v>
      </x:c>
      <x:c r="J47" s="168"/>
      <x:c r="K47" s="168" t="str">
        <x:f>IF(OR(H47="Mastered",J47=""),"",J47+IF(I47&gt;=5,30,IF(I47=4,14,IF(I47=3,7,IF(I47=2,3,1)))))</x:f>
      </x:c>
      <x:c r="L47" s="171" t="str"/>
      <x:c r="M47" s="171" t="str"/>
      <x:c r="N47" s="171" t="str">
        <x:v>Draft — verify in context</x:v>
      </x:c>
      <x:c r="O47" s="167" t="str">
        <x:v>https://www.wgtn.ac.nz/lals/resources/academicwordlist</x:v>
      </x:c>
    </x:row>
    <x:row r="48" ht="26" customHeight="1">
      <x:c r="A48" s="167" t="n">
        <x:v>47</x:v>
      </x:c>
      <x:c r="B48" s="167" t="str">
        <x:v>process</x:v>
      </x:c>
      <x:c r="C48" s="170" t="str">
        <x:v>процес; обробляти</x:v>
      </x:c>
      <x:c r="D48" s="167" t="n">
        <x:v>1</x:v>
      </x:c>
      <x:c r="E48" s="167" t="str">
        <x:v>No</x:v>
      </x:c>
      <x:c r="F48" s="167" t="str">
        <x:v>High</x:v>
      </x:c>
      <x:c r="G48" s="167" t="str">
        <x:v>General</x:v>
      </x:c>
      <x:c r="H48" s="167" t="str">
        <x:v>Not Started</x:v>
      </x:c>
      <x:c r="I48" s="167" t="n">
        <x:v>0</x:v>
      </x:c>
      <x:c r="J48" s="168"/>
      <x:c r="K48" s="168" t="str">
        <x:f>IF(OR(H48="Mastered",J48=""),"",J48+IF(I48&gt;=5,30,IF(I48=4,14,IF(I48=3,7,IF(I48=2,3,1)))))</x:f>
      </x:c>
      <x:c r="L48" s="171" t="str"/>
      <x:c r="M48" s="171" t="str"/>
      <x:c r="N48" s="171" t="str">
        <x:v>Draft — verify in context</x:v>
      </x:c>
      <x:c r="O48" s="167" t="str">
        <x:v>https://www.wgtn.ac.nz/lals/resources/academicwordlist</x:v>
      </x:c>
    </x:row>
    <x:row r="49" ht="26" customHeight="1">
      <x:c r="A49" s="167" t="n">
        <x:v>48</x:v>
      </x:c>
      <x:c r="B49" s="167" t="str">
        <x:v>required</x:v>
      </x:c>
      <x:c r="C49" s="170" t="str">
        <x:v>необхідний; обов’язковий</x:v>
      </x:c>
      <x:c r="D49" s="167" t="n">
        <x:v>1</x:v>
      </x:c>
      <x:c r="E49" s="167" t="str">
        <x:v>No</x:v>
      </x:c>
      <x:c r="F49" s="167" t="str">
        <x:v>High</x:v>
      </x:c>
      <x:c r="G49" s="167" t="str">
        <x:v>General</x:v>
      </x:c>
      <x:c r="H49" s="167" t="str">
        <x:v>Not Started</x:v>
      </x:c>
      <x:c r="I49" s="167" t="n">
        <x:v>0</x:v>
      </x:c>
      <x:c r="J49" s="168"/>
      <x:c r="K49" s="168" t="str">
        <x:f>IF(OR(H49="Mastered",J49=""),"",J49+IF(I49&gt;=5,30,IF(I49=4,14,IF(I49=3,7,IF(I49=2,3,1)))))</x:f>
      </x:c>
      <x:c r="L49" s="171" t="str"/>
      <x:c r="M49" s="171" t="str"/>
      <x:c r="N49" s="171" t="str">
        <x:v>Draft — verify in context</x:v>
      </x:c>
      <x:c r="O49" s="167" t="str">
        <x:v>https://www.wgtn.ac.nz/lals/resources/academicwordlist</x:v>
      </x:c>
    </x:row>
    <x:row r="50" ht="26" customHeight="1">
      <x:c r="A50" s="167" t="n">
        <x:v>49</x:v>
      </x:c>
      <x:c r="B50" s="167" t="str">
        <x:v>research</x:v>
      </x:c>
      <x:c r="C50" s="170" t="str">
        <x:v>дослідження; досліджувати</x:v>
      </x:c>
      <x:c r="D50" s="167" t="n">
        <x:v>1</x:v>
      </x:c>
      <x:c r="E50" s="167" t="str">
        <x:v>No</x:v>
      </x:c>
      <x:c r="F50" s="167" t="str">
        <x:v>High</x:v>
      </x:c>
      <x:c r="G50" s="167" t="str">
        <x:v>General</x:v>
      </x:c>
      <x:c r="H50" s="167" t="str">
        <x:v>Not Started</x:v>
      </x:c>
      <x:c r="I50" s="167" t="n">
        <x:v>0</x:v>
      </x:c>
      <x:c r="J50" s="168"/>
      <x:c r="K50" s="168" t="str">
        <x:f>IF(OR(H50="Mastered",J50=""),"",J50+IF(I50&gt;=5,30,IF(I50=4,14,IF(I50=3,7,IF(I50=2,3,1)))))</x:f>
      </x:c>
      <x:c r="L50" s="171" t="str"/>
      <x:c r="M50" s="171" t="str"/>
      <x:c r="N50" s="171" t="str">
        <x:v>Draft — verify in context</x:v>
      </x:c>
      <x:c r="O50" s="167" t="str">
        <x:v>https://www.wgtn.ac.nz/lals/resources/academicwordlist</x:v>
      </x:c>
    </x:row>
    <x:row r="51" ht="26" customHeight="1">
      <x:c r="A51" s="167" t="n">
        <x:v>50</x:v>
      </x:c>
      <x:c r="B51" s="167" t="str">
        <x:v>response</x:v>
      </x:c>
      <x:c r="C51" s="170" t="str">
        <x:v>відповідь; реакція</x:v>
      </x:c>
      <x:c r="D51" s="167" t="n">
        <x:v>1</x:v>
      </x:c>
      <x:c r="E51" s="167" t="str">
        <x:v>No</x:v>
      </x:c>
      <x:c r="F51" s="167" t="str">
        <x:v>High</x:v>
      </x:c>
      <x:c r="G51" s="167" t="str">
        <x:v>General</x:v>
      </x:c>
      <x:c r="H51" s="167" t="str">
        <x:v>Not Started</x:v>
      </x:c>
      <x:c r="I51" s="167" t="n">
        <x:v>0</x:v>
      </x:c>
      <x:c r="J51" s="168"/>
      <x:c r="K51" s="168" t="str">
        <x:f>IF(OR(H51="Mastered",J51=""),"",J51+IF(I51&gt;=5,30,IF(I51=4,14,IF(I51=3,7,IF(I51=2,3,1)))))</x:f>
      </x:c>
      <x:c r="L51" s="171" t="str"/>
      <x:c r="M51" s="171" t="str"/>
      <x:c r="N51" s="171" t="str">
        <x:v>Draft — verify in context</x:v>
      </x:c>
      <x:c r="O51" s="167" t="str">
        <x:v>https://www.wgtn.ac.nz/lals/resources/academicwordlist</x:v>
      </x:c>
    </x:row>
    <x:row r="52" ht="26" customHeight="1">
      <x:c r="A52" s="167" t="n">
        <x:v>51</x:v>
      </x:c>
      <x:c r="B52" s="167" t="str">
        <x:v>role</x:v>
      </x:c>
      <x:c r="C52" s="170" t="str">
        <x:v>роль</x:v>
      </x:c>
      <x:c r="D52" s="167" t="n">
        <x:v>1</x:v>
      </x:c>
      <x:c r="E52" s="167" t="str">
        <x:v>No</x:v>
      </x:c>
      <x:c r="F52" s="167" t="str">
        <x:v>High</x:v>
      </x:c>
      <x:c r="G52" s="167" t="str">
        <x:v>General</x:v>
      </x:c>
      <x:c r="H52" s="167" t="str">
        <x:v>Not Started</x:v>
      </x:c>
      <x:c r="I52" s="167" t="n">
        <x:v>0</x:v>
      </x:c>
      <x:c r="J52" s="168"/>
      <x:c r="K52" s="168" t="str">
        <x:f>IF(OR(H52="Mastered",J52=""),"",J52+IF(I52&gt;=5,30,IF(I52=4,14,IF(I52=3,7,IF(I52=2,3,1)))))</x:f>
      </x:c>
      <x:c r="L52" s="171" t="str"/>
      <x:c r="M52" s="171" t="str"/>
      <x:c r="N52" s="171" t="str">
        <x:v>Draft — verify in context</x:v>
      </x:c>
      <x:c r="O52" s="167" t="str">
        <x:v>https://www.wgtn.ac.nz/lals/resources/academicwordlist</x:v>
      </x:c>
    </x:row>
    <x:row r="53" ht="26" customHeight="1">
      <x:c r="A53" s="167" t="n">
        <x:v>52</x:v>
      </x:c>
      <x:c r="B53" s="167" t="str">
        <x:v>section</x:v>
      </x:c>
      <x:c r="C53" s="170" t="str">
        <x:v>розділ</x:v>
      </x:c>
      <x:c r="D53" s="167" t="n">
        <x:v>1</x:v>
      </x:c>
      <x:c r="E53" s="167" t="str">
        <x:v>No</x:v>
      </x:c>
      <x:c r="F53" s="167" t="str">
        <x:v>High</x:v>
      </x:c>
      <x:c r="G53" s="167" t="str">
        <x:v>General</x:v>
      </x:c>
      <x:c r="H53" s="167" t="str">
        <x:v>Not Started</x:v>
      </x:c>
      <x:c r="I53" s="167" t="n">
        <x:v>0</x:v>
      </x:c>
      <x:c r="J53" s="168"/>
      <x:c r="K53" s="168" t="str">
        <x:f>IF(OR(H53="Mastered",J53=""),"",J53+IF(I53&gt;=5,30,IF(I53=4,14,IF(I53=3,7,IF(I53=2,3,1)))))</x:f>
      </x:c>
      <x:c r="L53" s="171" t="str"/>
      <x:c r="M53" s="171" t="str"/>
      <x:c r="N53" s="171" t="str">
        <x:v>Draft — verify in context</x:v>
      </x:c>
      <x:c r="O53" s="167" t="str">
        <x:v>https://www.wgtn.ac.nz/lals/resources/academicwordlist</x:v>
      </x:c>
    </x:row>
    <x:row r="54" ht="26" customHeight="1">
      <x:c r="A54" s="167" t="n">
        <x:v>53</x:v>
      </x:c>
      <x:c r="B54" s="167" t="str">
        <x:v>sector</x:v>
      </x:c>
      <x:c r="C54" s="170" t="str">
        <x:v>сектор; галузь</x:v>
      </x:c>
      <x:c r="D54" s="167" t="n">
        <x:v>1</x:v>
      </x:c>
      <x:c r="E54" s="167" t="str">
        <x:v>No</x:v>
      </x:c>
      <x:c r="F54" s="167" t="str">
        <x:v>High</x:v>
      </x:c>
      <x:c r="G54" s="167" t="str">
        <x:v>General</x:v>
      </x:c>
      <x:c r="H54" s="167" t="str">
        <x:v>Not Started</x:v>
      </x:c>
      <x:c r="I54" s="167" t="n">
        <x:v>0</x:v>
      </x:c>
      <x:c r="J54" s="168"/>
      <x:c r="K54" s="168" t="str">
        <x:f>IF(OR(H54="Mastered",J54=""),"",J54+IF(I54&gt;=5,30,IF(I54=4,14,IF(I54=3,7,IF(I54=2,3,1)))))</x:f>
      </x:c>
      <x:c r="L54" s="171" t="str"/>
      <x:c r="M54" s="171" t="str"/>
      <x:c r="N54" s="171" t="str">
        <x:v>Draft — verify in context</x:v>
      </x:c>
      <x:c r="O54" s="167" t="str">
        <x:v>https://www.wgtn.ac.nz/lals/resources/academicwordlist</x:v>
      </x:c>
    </x:row>
    <x:row r="55" ht="26" customHeight="1">
      <x:c r="A55" s="167" t="n">
        <x:v>54</x:v>
      </x:c>
      <x:c r="B55" s="167" t="str">
        <x:v>significant</x:v>
      </x:c>
      <x:c r="C55" s="170" t="str">
        <x:v>значний; суттєвий</x:v>
      </x:c>
      <x:c r="D55" s="167" t="n">
        <x:v>1</x:v>
      </x:c>
      <x:c r="E55" s="167" t="str">
        <x:v>No</x:v>
      </x:c>
      <x:c r="F55" s="167" t="str">
        <x:v>High</x:v>
      </x:c>
      <x:c r="G55" s="167" t="str">
        <x:v>General</x:v>
      </x:c>
      <x:c r="H55" s="167" t="str">
        <x:v>Not Started</x:v>
      </x:c>
      <x:c r="I55" s="167" t="n">
        <x:v>0</x:v>
      </x:c>
      <x:c r="J55" s="168"/>
      <x:c r="K55" s="168" t="str">
        <x:f>IF(OR(H55="Mastered",J55=""),"",J55+IF(I55&gt;=5,30,IF(I55=4,14,IF(I55=3,7,IF(I55=2,3,1)))))</x:f>
      </x:c>
      <x:c r="L55" s="171" t="str"/>
      <x:c r="M55" s="171" t="str"/>
      <x:c r="N55" s="171" t="str">
        <x:v>Draft — verify in context</x:v>
      </x:c>
      <x:c r="O55" s="167" t="str">
        <x:v>https://www.wgtn.ac.nz/lals/resources/academicwordlist</x:v>
      </x:c>
    </x:row>
    <x:row r="56" ht="26" customHeight="1">
      <x:c r="A56" s="167" t="n">
        <x:v>55</x:v>
      </x:c>
      <x:c r="B56" s="167" t="str">
        <x:v>similar</x:v>
      </x:c>
      <x:c r="C56" s="170" t="str">
        <x:v>подібний</x:v>
      </x:c>
      <x:c r="D56" s="167" t="n">
        <x:v>1</x:v>
      </x:c>
      <x:c r="E56" s="167" t="str">
        <x:v>No</x:v>
      </x:c>
      <x:c r="F56" s="167" t="str">
        <x:v>High</x:v>
      </x:c>
      <x:c r="G56" s="167" t="str">
        <x:v>General</x:v>
      </x:c>
      <x:c r="H56" s="167" t="str">
        <x:v>Not Started</x:v>
      </x:c>
      <x:c r="I56" s="167" t="n">
        <x:v>0</x:v>
      </x:c>
      <x:c r="J56" s="168"/>
      <x:c r="K56" s="168" t="str">
        <x:f>IF(OR(H56="Mastered",J56=""),"",J56+IF(I56&gt;=5,30,IF(I56=4,14,IF(I56=3,7,IF(I56=2,3,1)))))</x:f>
      </x:c>
      <x:c r="L56" s="171" t="str"/>
      <x:c r="M56" s="171" t="str"/>
      <x:c r="N56" s="171" t="str">
        <x:v>Draft — verify in context</x:v>
      </x:c>
      <x:c r="O56" s="167" t="str">
        <x:v>https://www.wgtn.ac.nz/lals/resources/academicwordlist</x:v>
      </x:c>
    </x:row>
    <x:row r="57" ht="26" customHeight="1">
      <x:c r="A57" s="167" t="n">
        <x:v>56</x:v>
      </x:c>
      <x:c r="B57" s="167" t="str">
        <x:v>source</x:v>
      </x:c>
      <x:c r="C57" s="170" t="str">
        <x:v>джерело</x:v>
      </x:c>
      <x:c r="D57" s="167" t="n">
        <x:v>1</x:v>
      </x:c>
      <x:c r="E57" s="167" t="str">
        <x:v>No</x:v>
      </x:c>
      <x:c r="F57" s="167" t="str">
        <x:v>High</x:v>
      </x:c>
      <x:c r="G57" s="167" t="str">
        <x:v>General</x:v>
      </x:c>
      <x:c r="H57" s="167" t="str">
        <x:v>Not Started</x:v>
      </x:c>
      <x:c r="I57" s="167" t="n">
        <x:v>0</x:v>
      </x:c>
      <x:c r="J57" s="168"/>
      <x:c r="K57" s="168" t="str">
        <x:f>IF(OR(H57="Mastered",J57=""),"",J57+IF(I57&gt;=5,30,IF(I57=4,14,IF(I57=3,7,IF(I57=2,3,1)))))</x:f>
      </x:c>
      <x:c r="L57" s="171" t="str"/>
      <x:c r="M57" s="171" t="str"/>
      <x:c r="N57" s="171" t="str">
        <x:v>Draft — verify in context</x:v>
      </x:c>
      <x:c r="O57" s="167" t="str">
        <x:v>https://www.wgtn.ac.nz/lals/resources/academicwordlist</x:v>
      </x:c>
    </x:row>
    <x:row r="58" ht="26" customHeight="1">
      <x:c r="A58" s="167" t="n">
        <x:v>57</x:v>
      </x:c>
      <x:c r="B58" s="167" t="str">
        <x:v>specific</x:v>
      </x:c>
      <x:c r="C58" s="170" t="str">
        <x:v>конкретний; специфічний</x:v>
      </x:c>
      <x:c r="D58" s="167" t="n">
        <x:v>1</x:v>
      </x:c>
      <x:c r="E58" s="167" t="str">
        <x:v>No</x:v>
      </x:c>
      <x:c r="F58" s="167" t="str">
        <x:v>High</x:v>
      </x:c>
      <x:c r="G58" s="167" t="str">
        <x:v>General</x:v>
      </x:c>
      <x:c r="H58" s="167" t="str">
        <x:v>Not Started</x:v>
      </x:c>
      <x:c r="I58" s="167" t="n">
        <x:v>0</x:v>
      </x:c>
      <x:c r="J58" s="168"/>
      <x:c r="K58" s="168" t="str">
        <x:f>IF(OR(H58="Mastered",J58=""),"",J58+IF(I58&gt;=5,30,IF(I58=4,14,IF(I58=3,7,IF(I58=2,3,1)))))</x:f>
      </x:c>
      <x:c r="L58" s="171" t="str"/>
      <x:c r="M58" s="171" t="str"/>
      <x:c r="N58" s="171" t="str">
        <x:v>Draft — verify in context</x:v>
      </x:c>
      <x:c r="O58" s="167" t="str">
        <x:v>https://www.wgtn.ac.nz/lals/resources/academicwordlist</x:v>
      </x:c>
    </x:row>
    <x:row r="59" ht="26" customHeight="1">
      <x:c r="A59" s="167" t="n">
        <x:v>58</x:v>
      </x:c>
      <x:c r="B59" s="167" t="str">
        <x:v>structure</x:v>
      </x:c>
      <x:c r="C59" s="170" t="str">
        <x:v>структура; структурувати</x:v>
      </x:c>
      <x:c r="D59" s="167" t="n">
        <x:v>1</x:v>
      </x:c>
      <x:c r="E59" s="167" t="str">
        <x:v>No</x:v>
      </x:c>
      <x:c r="F59" s="167" t="str">
        <x:v>High</x:v>
      </x:c>
      <x:c r="G59" s="167" t="str">
        <x:v>General</x:v>
      </x:c>
      <x:c r="H59" s="167" t="str">
        <x:v>Not Started</x:v>
      </x:c>
      <x:c r="I59" s="167" t="n">
        <x:v>0</x:v>
      </x:c>
      <x:c r="J59" s="168"/>
      <x:c r="K59" s="168" t="str">
        <x:f>IF(OR(H59="Mastered",J59=""),"",J59+IF(I59&gt;=5,30,IF(I59=4,14,IF(I59=3,7,IF(I59=2,3,1)))))</x:f>
      </x:c>
      <x:c r="L59" s="171" t="str"/>
      <x:c r="M59" s="171" t="str"/>
      <x:c r="N59" s="171" t="str">
        <x:v>Draft — verify in context</x:v>
      </x:c>
      <x:c r="O59" s="167" t="str">
        <x:v>https://www.wgtn.ac.nz/lals/resources/academicwordlist</x:v>
      </x:c>
    </x:row>
    <x:row r="60" ht="26" customHeight="1">
      <x:c r="A60" s="167" t="n">
        <x:v>59</x:v>
      </x:c>
      <x:c r="B60" s="167" t="str">
        <x:v>theory</x:v>
      </x:c>
      <x:c r="C60" s="170" t="str">
        <x:v>теорія</x:v>
      </x:c>
      <x:c r="D60" s="167" t="n">
        <x:v>1</x:v>
      </x:c>
      <x:c r="E60" s="167" t="str">
        <x:v>No</x:v>
      </x:c>
      <x:c r="F60" s="167" t="str">
        <x:v>High</x:v>
      </x:c>
      <x:c r="G60" s="167" t="str">
        <x:v>General</x:v>
      </x:c>
      <x:c r="H60" s="167" t="str">
        <x:v>Not Started</x:v>
      </x:c>
      <x:c r="I60" s="167" t="n">
        <x:v>0</x:v>
      </x:c>
      <x:c r="J60" s="168"/>
      <x:c r="K60" s="168" t="str">
        <x:f>IF(OR(H60="Mastered",J60=""),"",J60+IF(I60&gt;=5,30,IF(I60=4,14,IF(I60=3,7,IF(I60=2,3,1)))))</x:f>
      </x:c>
      <x:c r="L60" s="171" t="str"/>
      <x:c r="M60" s="171" t="str"/>
      <x:c r="N60" s="171" t="str">
        <x:v>Draft — verify in context</x:v>
      </x:c>
      <x:c r="O60" s="167" t="str">
        <x:v>https://www.wgtn.ac.nz/lals/resources/academicwordlist</x:v>
      </x:c>
    </x:row>
    <x:row r="61" ht="26" customHeight="1">
      <x:c r="A61" s="167" t="n">
        <x:v>60</x:v>
      </x:c>
      <x:c r="B61" s="167" t="str">
        <x:v>variables</x:v>
      </x:c>
      <x:c r="C61" s="170" t="str">
        <x:v>змінні</x:v>
      </x:c>
      <x:c r="D61" s="167" t="n">
        <x:v>1</x:v>
      </x:c>
      <x:c r="E61" s="167" t="str">
        <x:v>No</x:v>
      </x:c>
      <x:c r="F61" s="167" t="str">
        <x:v>High</x:v>
      </x:c>
      <x:c r="G61" s="167" t="str">
        <x:v>General</x:v>
      </x:c>
      <x:c r="H61" s="167" t="str">
        <x:v>Not Started</x:v>
      </x:c>
      <x:c r="I61" s="167" t="n">
        <x:v>0</x:v>
      </x:c>
      <x:c r="J61" s="168"/>
      <x:c r="K61" s="168" t="str">
        <x:f>IF(OR(H61="Mastered",J61=""),"",J61+IF(I61&gt;=5,30,IF(I61=4,14,IF(I61=3,7,IF(I61=2,3,1)))))</x:f>
      </x:c>
      <x:c r="L61" s="171" t="str"/>
      <x:c r="M61" s="171" t="str"/>
      <x:c r="N61" s="171" t="str">
        <x:v>Draft — verify in context</x:v>
      </x:c>
      <x:c r="O61" s="167" t="str">
        <x:v>https://www.wgtn.ac.nz/lals/resources/academicwordlist</x:v>
      </x:c>
    </x:row>
    <x:row r="62" ht="26" customHeight="1">
      <x:c r="A62" s="167" t="n">
        <x:v>61</x:v>
      </x:c>
      <x:c r="B62" s="167" t="str">
        <x:v>achieve</x:v>
      </x:c>
      <x:c r="C62" s="170" t="str">
        <x:v>досягти</x:v>
      </x:c>
      <x:c r="D62" s="167" t="n">
        <x:v>2</x:v>
      </x:c>
      <x:c r="E62" s="167" t="str">
        <x:v>No</x:v>
      </x:c>
      <x:c r="F62" s="167" t="str">
        <x:v>High</x:v>
      </x:c>
      <x:c r="G62" s="167" t="str">
        <x:v>General</x:v>
      </x:c>
      <x:c r="H62" s="167" t="str">
        <x:v>Not Started</x:v>
      </x:c>
      <x:c r="I62" s="167" t="n">
        <x:v>0</x:v>
      </x:c>
      <x:c r="J62" s="168"/>
      <x:c r="K62" s="168" t="str">
        <x:f>IF(OR(H62="Mastered",J62=""),"",J62+IF(I62&gt;=5,30,IF(I62=4,14,IF(I62=3,7,IF(I62=2,3,1)))))</x:f>
      </x:c>
      <x:c r="L62" s="171" t="str"/>
      <x:c r="M62" s="171" t="str"/>
      <x:c r="N62" s="171" t="str">
        <x:v>Draft — verify in context</x:v>
      </x:c>
      <x:c r="O62" s="167" t="str">
        <x:v>https://www.wgtn.ac.nz/lals/resources/academicwordlist</x:v>
      </x:c>
    </x:row>
    <x:row r="63" ht="26" customHeight="1">
      <x:c r="A63" s="167" t="n">
        <x:v>62</x:v>
      </x:c>
      <x:c r="B63" s="167" t="str">
        <x:v>acquisition</x:v>
      </x:c>
      <x:c r="C63" s="170" t="str">
        <x:v>придбання</x:v>
      </x:c>
      <x:c r="D63" s="167" t="n">
        <x:v>2</x:v>
      </x:c>
      <x:c r="E63" s="167" t="str">
        <x:v>Yes</x:v>
      </x:c>
      <x:c r="F63" s="167" t="str">
        <x:v>High</x:v>
      </x:c>
      <x:c r="G63" s="167" t="str">
        <x:v>General</x:v>
      </x:c>
      <x:c r="H63" s="167" t="str">
        <x:v>Not Started</x:v>
      </x:c>
      <x:c r="I63" s="167" t="n">
        <x:v>0</x:v>
      </x:c>
      <x:c r="J63" s="168"/>
      <x:c r="K63" s="168" t="str">
        <x:f>IF(OR(H63="Mastered",J63=""),"",J63+IF(I63&gt;=5,30,IF(I63=4,14,IF(I63=3,7,IF(I63=2,3,1)))))</x:f>
      </x:c>
      <x:c r="L63" s="171" t="str"/>
      <x:c r="M63" s="171" t="str"/>
      <x:c r="N63" s="171" t="str">
        <x:v>Draft — verify in context</x:v>
      </x:c>
      <x:c r="O63" s="167" t="str">
        <x:v>https://www.wgtn.ac.nz/lals/resources/academicwordlist</x:v>
      </x:c>
    </x:row>
    <x:row r="64" ht="26" customHeight="1">
      <x:c r="A64" s="167" t="n">
        <x:v>63</x:v>
      </x:c>
      <x:c r="B64" s="167" t="str">
        <x:v>administration</x:v>
      </x:c>
      <x:c r="C64" s="170" t="str">
        <x:v>адміністрування</x:v>
      </x:c>
      <x:c r="D64" s="167" t="n">
        <x:v>2</x:v>
      </x:c>
      <x:c r="E64" s="167" t="str">
        <x:v>No</x:v>
      </x:c>
      <x:c r="F64" s="167" t="str">
        <x:v>High</x:v>
      </x:c>
      <x:c r="G64" s="167" t="str">
        <x:v>General</x:v>
      </x:c>
      <x:c r="H64" s="167" t="str">
        <x:v>Not Started</x:v>
      </x:c>
      <x:c r="I64" s="167" t="n">
        <x:v>0</x:v>
      </x:c>
      <x:c r="J64" s="168"/>
      <x:c r="K64" s="168" t="str">
        <x:f>IF(OR(H64="Mastered",J64=""),"",J64+IF(I64&gt;=5,30,IF(I64=4,14,IF(I64=3,7,IF(I64=2,3,1)))))</x:f>
      </x:c>
      <x:c r="L64" s="171" t="str"/>
      <x:c r="M64" s="171" t="str"/>
      <x:c r="N64" s="171" t="str">
        <x:v>Draft — verify in context</x:v>
      </x:c>
      <x:c r="O64" s="167" t="str">
        <x:v>https://www.wgtn.ac.nz/lals/resources/academicwordlist</x:v>
      </x:c>
    </x:row>
    <x:row r="65" ht="26" customHeight="1">
      <x:c r="A65" s="167" t="n">
        <x:v>64</x:v>
      </x:c>
      <x:c r="B65" s="167" t="str">
        <x:v>affect</x:v>
      </x:c>
      <x:c r="C65" s="170" t="str">
        <x:v>впливати</x:v>
      </x:c>
      <x:c r="D65" s="167" t="n">
        <x:v>2</x:v>
      </x:c>
      <x:c r="E65" s="167" t="str">
        <x:v>No</x:v>
      </x:c>
      <x:c r="F65" s="167" t="str">
        <x:v>High</x:v>
      </x:c>
      <x:c r="G65" s="167" t="str">
        <x:v>General</x:v>
      </x:c>
      <x:c r="H65" s="167" t="str">
        <x:v>Not Started</x:v>
      </x:c>
      <x:c r="I65" s="167" t="n">
        <x:v>0</x:v>
      </x:c>
      <x:c r="J65" s="168"/>
      <x:c r="K65" s="168" t="str">
        <x:f>IF(OR(H65="Mastered",J65=""),"",J65+IF(I65&gt;=5,30,IF(I65=4,14,IF(I65=3,7,IF(I65=2,3,1)))))</x:f>
      </x:c>
      <x:c r="L65" s="171" t="str"/>
      <x:c r="M65" s="171" t="str"/>
      <x:c r="N65" s="171" t="str">
        <x:v>Draft — verify in context</x:v>
      </x:c>
      <x:c r="O65" s="167" t="str">
        <x:v>https://www.wgtn.ac.nz/lals/resources/academicwordlist</x:v>
      </x:c>
    </x:row>
    <x:row r="66" ht="26" customHeight="1">
      <x:c r="A66" s="167" t="n">
        <x:v>65</x:v>
      </x:c>
      <x:c r="B66" s="167" t="str">
        <x:v>appropriate</x:v>
      </x:c>
      <x:c r="C66" s="170" t="str">
        <x:v>відповідний</x:v>
      </x:c>
      <x:c r="D66" s="167" t="n">
        <x:v>2</x:v>
      </x:c>
      <x:c r="E66" s="167" t="str">
        <x:v>No</x:v>
      </x:c>
      <x:c r="F66" s="167" t="str">
        <x:v>High</x:v>
      </x:c>
      <x:c r="G66" s="167" t="str">
        <x:v>General</x:v>
      </x:c>
      <x:c r="H66" s="167" t="str">
        <x:v>Not Started</x:v>
      </x:c>
      <x:c r="I66" s="167" t="n">
        <x:v>0</x:v>
      </x:c>
      <x:c r="J66" s="168"/>
      <x:c r="K66" s="168" t="str">
        <x:f>IF(OR(H66="Mastered",J66=""),"",J66+IF(I66&gt;=5,30,IF(I66=4,14,IF(I66=3,7,IF(I66=2,3,1)))))</x:f>
      </x:c>
      <x:c r="L66" s="171" t="str"/>
      <x:c r="M66" s="171" t="str"/>
      <x:c r="N66" s="171" t="str">
        <x:v>Draft — verify in context</x:v>
      </x:c>
      <x:c r="O66" s="167" t="str">
        <x:v>https://www.wgtn.ac.nz/lals/resources/academicwordlist</x:v>
      </x:c>
    </x:row>
    <x:row r="67" ht="26" customHeight="1">
      <x:c r="A67" s="167" t="n">
        <x:v>66</x:v>
      </x:c>
      <x:c r="B67" s="167" t="str">
        <x:v>aspects</x:v>
      </x:c>
      <x:c r="C67" s="170" t="str">
        <x:v>аспекти</x:v>
      </x:c>
      <x:c r="D67" s="167" t="n">
        <x:v>2</x:v>
      </x:c>
      <x:c r="E67" s="167" t="str">
        <x:v>No</x:v>
      </x:c>
      <x:c r="F67" s="167" t="str">
        <x:v>High</x:v>
      </x:c>
      <x:c r="G67" s="167" t="str">
        <x:v>General</x:v>
      </x:c>
      <x:c r="H67" s="167" t="str">
        <x:v>Not Started</x:v>
      </x:c>
      <x:c r="I67" s="167" t="n">
        <x:v>0</x:v>
      </x:c>
      <x:c r="J67" s="168"/>
      <x:c r="K67" s="168" t="str">
        <x:f>IF(OR(H67="Mastered",J67=""),"",J67+IF(I67&gt;=5,30,IF(I67=4,14,IF(I67=3,7,IF(I67=2,3,1)))))</x:f>
      </x:c>
      <x:c r="L67" s="171" t="str"/>
      <x:c r="M67" s="171" t="str"/>
      <x:c r="N67" s="171" t="str">
        <x:v>Draft — verify in context</x:v>
      </x:c>
      <x:c r="O67" s="167" t="str">
        <x:v>https://www.wgtn.ac.nz/lals/resources/academicwordlist</x:v>
      </x:c>
    </x:row>
    <x:row r="68" ht="26" customHeight="1">
      <x:c r="A68" s="167" t="n">
        <x:v>67</x:v>
      </x:c>
      <x:c r="B68" s="167" t="str">
        <x:v>assistance</x:v>
      </x:c>
      <x:c r="C68" s="170" t="str">
        <x:v>допомогу</x:v>
      </x:c>
      <x:c r="D68" s="167" t="n">
        <x:v>2</x:v>
      </x:c>
      <x:c r="E68" s="167" t="str">
        <x:v>No</x:v>
      </x:c>
      <x:c r="F68" s="167" t="str">
        <x:v>High</x:v>
      </x:c>
      <x:c r="G68" s="167" t="str">
        <x:v>General</x:v>
      </x:c>
      <x:c r="H68" s="167" t="str">
        <x:v>Not Started</x:v>
      </x:c>
      <x:c r="I68" s="167" t="n">
        <x:v>0</x:v>
      </x:c>
      <x:c r="J68" s="168"/>
      <x:c r="K68" s="168" t="str">
        <x:f>IF(OR(H68="Mastered",J68=""),"",J68+IF(I68&gt;=5,30,IF(I68=4,14,IF(I68=3,7,IF(I68=2,3,1)))))</x:f>
      </x:c>
      <x:c r="L68" s="171" t="str"/>
      <x:c r="M68" s="171" t="str"/>
      <x:c r="N68" s="171" t="str">
        <x:v>Draft — verify in context</x:v>
      </x:c>
      <x:c r="O68" s="167" t="str">
        <x:v>https://www.wgtn.ac.nz/lals/resources/academicwordlist</x:v>
      </x:c>
    </x:row>
    <x:row r="69" ht="26" customHeight="1">
      <x:c r="A69" s="167" t="n">
        <x:v>68</x:v>
      </x:c>
      <x:c r="B69" s="167" t="str">
        <x:v>categories</x:v>
      </x:c>
      <x:c r="C69" s="170" t="str">
        <x:v>категорії</x:v>
      </x:c>
      <x:c r="D69" s="167" t="n">
        <x:v>2</x:v>
      </x:c>
      <x:c r="E69" s="167" t="str">
        <x:v>No</x:v>
      </x:c>
      <x:c r="F69" s="167" t="str">
        <x:v>High</x:v>
      </x:c>
      <x:c r="G69" s="167" t="str">
        <x:v>General</x:v>
      </x:c>
      <x:c r="H69" s="167" t="str">
        <x:v>Not Started</x:v>
      </x:c>
      <x:c r="I69" s="167" t="n">
        <x:v>0</x:v>
      </x:c>
      <x:c r="J69" s="168"/>
      <x:c r="K69" s="168" t="str">
        <x:f>IF(OR(H69="Mastered",J69=""),"",J69+IF(I69&gt;=5,30,IF(I69=4,14,IF(I69=3,7,IF(I69=2,3,1)))))</x:f>
      </x:c>
      <x:c r="L69" s="171" t="str"/>
      <x:c r="M69" s="171" t="str"/>
      <x:c r="N69" s="171" t="str">
        <x:v>Draft — verify in context</x:v>
      </x:c>
      <x:c r="O69" s="167" t="str">
        <x:v>https://www.wgtn.ac.nz/lals/resources/academicwordlist</x:v>
      </x:c>
    </x:row>
    <x:row r="70" ht="26" customHeight="1">
      <x:c r="A70" s="167" t="n">
        <x:v>69</x:v>
      </x:c>
      <x:c r="B70" s="167" t="str">
        <x:v>chapter</x:v>
      </x:c>
      <x:c r="C70" s="170" t="str">
        <x:v>розділ</x:v>
      </x:c>
      <x:c r="D70" s="167" t="n">
        <x:v>2</x:v>
      </x:c>
      <x:c r="E70" s="167" t="str">
        <x:v>No</x:v>
      </x:c>
      <x:c r="F70" s="167" t="str">
        <x:v>High</x:v>
      </x:c>
      <x:c r="G70" s="167" t="str">
        <x:v>General</x:v>
      </x:c>
      <x:c r="H70" s="167" t="str">
        <x:v>Not Started</x:v>
      </x:c>
      <x:c r="I70" s="167" t="n">
        <x:v>0</x:v>
      </x:c>
      <x:c r="J70" s="168"/>
      <x:c r="K70" s="168" t="str">
        <x:f>IF(OR(H70="Mastered",J70=""),"",J70+IF(I70&gt;=5,30,IF(I70=4,14,IF(I70=3,7,IF(I70=2,3,1)))))</x:f>
      </x:c>
      <x:c r="L70" s="171" t="str"/>
      <x:c r="M70" s="171" t="str"/>
      <x:c r="N70" s="171" t="str">
        <x:v>Draft — verify in context</x:v>
      </x:c>
      <x:c r="O70" s="167" t="str">
        <x:v>https://www.wgtn.ac.nz/lals/resources/academicwordlist</x:v>
      </x:c>
    </x:row>
    <x:row r="71" ht="26" customHeight="1">
      <x:c r="A71" s="167" t="n">
        <x:v>70</x:v>
      </x:c>
      <x:c r="B71" s="167" t="str">
        <x:v>commission</x:v>
      </x:c>
      <x:c r="C71" s="170" t="str">
        <x:v>комісія</x:v>
      </x:c>
      <x:c r="D71" s="167" t="n">
        <x:v>2</x:v>
      </x:c>
      <x:c r="E71" s="167" t="str">
        <x:v>No</x:v>
      </x:c>
      <x:c r="F71" s="167" t="str">
        <x:v>High</x:v>
      </x:c>
      <x:c r="G71" s="167" t="str">
        <x:v>General</x:v>
      </x:c>
      <x:c r="H71" s="167" t="str">
        <x:v>Not Started</x:v>
      </x:c>
      <x:c r="I71" s="167" t="n">
        <x:v>0</x:v>
      </x:c>
      <x:c r="J71" s="168"/>
      <x:c r="K71" s="168" t="str">
        <x:f>IF(OR(H71="Mastered",J71=""),"",J71+IF(I71&gt;=5,30,IF(I71=4,14,IF(I71=3,7,IF(I71=2,3,1)))))</x:f>
      </x:c>
      <x:c r="L71" s="171" t="str"/>
      <x:c r="M71" s="171" t="str"/>
      <x:c r="N71" s="171" t="str">
        <x:v>Draft — verify in context</x:v>
      </x:c>
      <x:c r="O71" s="167" t="str">
        <x:v>https://www.wgtn.ac.nz/lals/resources/academicwordlist</x:v>
      </x:c>
    </x:row>
    <x:row r="72" ht="26" customHeight="1">
      <x:c r="A72" s="167" t="n">
        <x:v>71</x:v>
      </x:c>
      <x:c r="B72" s="167" t="str">
        <x:v>community</x:v>
      </x:c>
      <x:c r="C72" s="170" t="str">
        <x:v>громада</x:v>
      </x:c>
      <x:c r="D72" s="167" t="n">
        <x:v>2</x:v>
      </x:c>
      <x:c r="E72" s="167" t="str">
        <x:v>No</x:v>
      </x:c>
      <x:c r="F72" s="167" t="str">
        <x:v>High</x:v>
      </x:c>
      <x:c r="G72" s="167" t="str">
        <x:v>General</x:v>
      </x:c>
      <x:c r="H72" s="167" t="str">
        <x:v>Not Started</x:v>
      </x:c>
      <x:c r="I72" s="167" t="n">
        <x:v>0</x:v>
      </x:c>
      <x:c r="J72" s="168"/>
      <x:c r="K72" s="168" t="str">
        <x:f>IF(OR(H72="Mastered",J72=""),"",J72+IF(I72&gt;=5,30,IF(I72=4,14,IF(I72=3,7,IF(I72=2,3,1)))))</x:f>
      </x:c>
      <x:c r="L72" s="171" t="str"/>
      <x:c r="M72" s="171" t="str"/>
      <x:c r="N72" s="171" t="str">
        <x:v>Draft — verify in context</x:v>
      </x:c>
      <x:c r="O72" s="167" t="str">
        <x:v>https://www.wgtn.ac.nz/lals/resources/academicwordlist</x:v>
      </x:c>
    </x:row>
    <x:row r="73" ht="26" customHeight="1">
      <x:c r="A73" s="167" t="n">
        <x:v>72</x:v>
      </x:c>
      <x:c r="B73" s="167" t="str">
        <x:v>complex</x:v>
      </x:c>
      <x:c r="C73" s="170" t="str">
        <x:v>складні</x:v>
      </x:c>
      <x:c r="D73" s="167" t="n">
        <x:v>2</x:v>
      </x:c>
      <x:c r="E73" s="167" t="str">
        <x:v>No</x:v>
      </x:c>
      <x:c r="F73" s="167" t="str">
        <x:v>High</x:v>
      </x:c>
      <x:c r="G73" s="167" t="str">
        <x:v>General</x:v>
      </x:c>
      <x:c r="H73" s="167" t="str">
        <x:v>Not Started</x:v>
      </x:c>
      <x:c r="I73" s="167" t="n">
        <x:v>0</x:v>
      </x:c>
      <x:c r="J73" s="168"/>
      <x:c r="K73" s="168" t="str">
        <x:f>IF(OR(H73="Mastered",J73=""),"",J73+IF(I73&gt;=5,30,IF(I73=4,14,IF(I73=3,7,IF(I73=2,3,1)))))</x:f>
      </x:c>
      <x:c r="L73" s="171" t="str"/>
      <x:c r="M73" s="171" t="str"/>
      <x:c r="N73" s="171" t="str">
        <x:v>Draft — verify in context</x:v>
      </x:c>
      <x:c r="O73" s="167" t="str">
        <x:v>https://www.wgtn.ac.nz/lals/resources/academicwordlist</x:v>
      </x:c>
    </x:row>
    <x:row r="74" ht="26" customHeight="1">
      <x:c r="A74" s="167" t="n">
        <x:v>73</x:v>
      </x:c>
      <x:c r="B74" s="167" t="str">
        <x:v>computer</x:v>
      </x:c>
      <x:c r="C74" s="170" t="str">
        <x:v>комп'ютер</x:v>
      </x:c>
      <x:c r="D74" s="167" t="n">
        <x:v>2</x:v>
      </x:c>
      <x:c r="E74" s="167" t="str">
        <x:v>No</x:v>
      </x:c>
      <x:c r="F74" s="167" t="str">
        <x:v>High</x:v>
      </x:c>
      <x:c r="G74" s="167" t="str">
        <x:v>General</x:v>
      </x:c>
      <x:c r="H74" s="167" t="str">
        <x:v>Not Started</x:v>
      </x:c>
      <x:c r="I74" s="167" t="n">
        <x:v>0</x:v>
      </x:c>
      <x:c r="J74" s="168"/>
      <x:c r="K74" s="168" t="str">
        <x:f>IF(OR(H74="Mastered",J74=""),"",J74+IF(I74&gt;=5,30,IF(I74=4,14,IF(I74=3,7,IF(I74=2,3,1)))))</x:f>
      </x:c>
      <x:c r="L74" s="171" t="str"/>
      <x:c r="M74" s="171" t="str"/>
      <x:c r="N74" s="171" t="str">
        <x:v>Draft — verify in context</x:v>
      </x:c>
      <x:c r="O74" s="167" t="str">
        <x:v>https://www.wgtn.ac.nz/lals/resources/academicwordlist</x:v>
      </x:c>
    </x:row>
    <x:row r="75" ht="26" customHeight="1">
      <x:c r="A75" s="167" t="n">
        <x:v>74</x:v>
      </x:c>
      <x:c r="B75" s="167" t="str">
        <x:v>conclusion</x:v>
      </x:c>
      <x:c r="C75" s="170" t="str">
        <x:v>висновок</x:v>
      </x:c>
      <x:c r="D75" s="167" t="n">
        <x:v>2</x:v>
      </x:c>
      <x:c r="E75" s="167" t="str">
        <x:v>No</x:v>
      </x:c>
      <x:c r="F75" s="167" t="str">
        <x:v>High</x:v>
      </x:c>
      <x:c r="G75" s="167" t="str">
        <x:v>General</x:v>
      </x:c>
      <x:c r="H75" s="167" t="str">
        <x:v>Not Started</x:v>
      </x:c>
      <x:c r="I75" s="167" t="n">
        <x:v>0</x:v>
      </x:c>
      <x:c r="J75" s="168"/>
      <x:c r="K75" s="168" t="str">
        <x:f>IF(OR(H75="Mastered",J75=""),"",J75+IF(I75&gt;=5,30,IF(I75=4,14,IF(I75=3,7,IF(I75=2,3,1)))))</x:f>
      </x:c>
      <x:c r="L75" s="171" t="str"/>
      <x:c r="M75" s="171" t="str"/>
      <x:c r="N75" s="171" t="str">
        <x:v>Draft — verify in context</x:v>
      </x:c>
      <x:c r="O75" s="167" t="str">
        <x:v>https://www.wgtn.ac.nz/lals/resources/academicwordlist</x:v>
      </x:c>
    </x:row>
    <x:row r="76" ht="26" customHeight="1">
      <x:c r="A76" s="167" t="n">
        <x:v>75</x:v>
      </x:c>
      <x:c r="B76" s="167" t="str">
        <x:v>conduct</x:v>
      </x:c>
      <x:c r="C76" s="170" t="str">
        <x:v>поведінка</x:v>
      </x:c>
      <x:c r="D76" s="167" t="n">
        <x:v>2</x:v>
      </x:c>
      <x:c r="E76" s="167" t="str">
        <x:v>No</x:v>
      </x:c>
      <x:c r="F76" s="167" t="str">
        <x:v>High</x:v>
      </x:c>
      <x:c r="G76" s="167" t="str">
        <x:v>General</x:v>
      </x:c>
      <x:c r="H76" s="167" t="str">
        <x:v>Not Started</x:v>
      </x:c>
      <x:c r="I76" s="167" t="n">
        <x:v>0</x:v>
      </x:c>
      <x:c r="J76" s="168"/>
      <x:c r="K76" s="168" t="str">
        <x:f>IF(OR(H76="Mastered",J76=""),"",J76+IF(I76&gt;=5,30,IF(I76=4,14,IF(I76=3,7,IF(I76=2,3,1)))))</x:f>
      </x:c>
      <x:c r="L76" s="171" t="str"/>
      <x:c r="M76" s="171" t="str"/>
      <x:c r="N76" s="171" t="str">
        <x:v>Draft — verify in context</x:v>
      </x:c>
      <x:c r="O76" s="167" t="str">
        <x:v>https://www.wgtn.ac.nz/lals/resources/academicwordlist</x:v>
      </x:c>
    </x:row>
    <x:row r="77" ht="26" customHeight="1">
      <x:c r="A77" s="167" t="n">
        <x:v>76</x:v>
      </x:c>
      <x:c r="B77" s="167" t="str">
        <x:v>consequences</x:v>
      </x:c>
      <x:c r="C77" s="170" t="str">
        <x:v>наслідки</x:v>
      </x:c>
      <x:c r="D77" s="167" t="n">
        <x:v>2</x:v>
      </x:c>
      <x:c r="E77" s="167" t="str">
        <x:v>No</x:v>
      </x:c>
      <x:c r="F77" s="167" t="str">
        <x:v>High</x:v>
      </x:c>
      <x:c r="G77" s="167" t="str">
        <x:v>General</x:v>
      </x:c>
      <x:c r="H77" s="167" t="str">
        <x:v>Not Started</x:v>
      </x:c>
      <x:c r="I77" s="167" t="n">
        <x:v>0</x:v>
      </x:c>
      <x:c r="J77" s="168"/>
      <x:c r="K77" s="168" t="str">
        <x:f>IF(OR(H77="Mastered",J77=""),"",J77+IF(I77&gt;=5,30,IF(I77=4,14,IF(I77=3,7,IF(I77=2,3,1)))))</x:f>
      </x:c>
      <x:c r="L77" s="171" t="str"/>
      <x:c r="M77" s="171" t="str"/>
      <x:c r="N77" s="171" t="str">
        <x:v>Draft — verify in context</x:v>
      </x:c>
      <x:c r="O77" s="167" t="str">
        <x:v>https://www.wgtn.ac.nz/lals/resources/academicwordlist</x:v>
      </x:c>
    </x:row>
    <x:row r="78" ht="26" customHeight="1">
      <x:c r="A78" s="167" t="n">
        <x:v>77</x:v>
      </x:c>
      <x:c r="B78" s="167" t="str">
        <x:v>construction</x:v>
      </x:c>
      <x:c r="C78" s="170" t="str">
        <x:v>будівництво</x:v>
      </x:c>
      <x:c r="D78" s="167" t="n">
        <x:v>2</x:v>
      </x:c>
      <x:c r="E78" s="167" t="str">
        <x:v>No</x:v>
      </x:c>
      <x:c r="F78" s="167" t="str">
        <x:v>High</x:v>
      </x:c>
      <x:c r="G78" s="167" t="str">
        <x:v>General</x:v>
      </x:c>
      <x:c r="H78" s="167" t="str">
        <x:v>Not Started</x:v>
      </x:c>
      <x:c r="I78" s="167" t="n">
        <x:v>0</x:v>
      </x:c>
      <x:c r="J78" s="168"/>
      <x:c r="K78" s="168" t="str">
        <x:f>IF(OR(H78="Mastered",J78=""),"",J78+IF(I78&gt;=5,30,IF(I78=4,14,IF(I78=3,7,IF(I78=2,3,1)))))</x:f>
      </x:c>
      <x:c r="L78" s="171" t="str"/>
      <x:c r="M78" s="171" t="str"/>
      <x:c r="N78" s="171" t="str">
        <x:v>Draft — verify in context</x:v>
      </x:c>
      <x:c r="O78" s="167" t="str">
        <x:v>https://www.wgtn.ac.nz/lals/resources/academicwordlist</x:v>
      </x:c>
    </x:row>
    <x:row r="79" ht="26" customHeight="1">
      <x:c r="A79" s="167" t="n">
        <x:v>78</x:v>
      </x:c>
      <x:c r="B79" s="167" t="str">
        <x:v>consumer</x:v>
      </x:c>
      <x:c r="C79" s="170" t="str">
        <x:v>споживач</x:v>
      </x:c>
      <x:c r="D79" s="167" t="n">
        <x:v>2</x:v>
      </x:c>
      <x:c r="E79" s="167" t="str">
        <x:v>No</x:v>
      </x:c>
      <x:c r="F79" s="167" t="str">
        <x:v>High</x:v>
      </x:c>
      <x:c r="G79" s="167" t="str">
        <x:v>General</x:v>
      </x:c>
      <x:c r="H79" s="167" t="str">
        <x:v>Not Started</x:v>
      </x:c>
      <x:c r="I79" s="167" t="n">
        <x:v>0</x:v>
      </x:c>
      <x:c r="J79" s="168"/>
      <x:c r="K79" s="168" t="str">
        <x:f>IF(OR(H79="Mastered",J79=""),"",J79+IF(I79&gt;=5,30,IF(I79=4,14,IF(I79=3,7,IF(I79=2,3,1)))))</x:f>
      </x:c>
      <x:c r="L79" s="171" t="str"/>
      <x:c r="M79" s="171" t="str"/>
      <x:c r="N79" s="171" t="str">
        <x:v>Draft — verify in context</x:v>
      </x:c>
      <x:c r="O79" s="167" t="str">
        <x:v>https://www.wgtn.ac.nz/lals/resources/academicwordlist</x:v>
      </x:c>
    </x:row>
    <x:row r="80" ht="26" customHeight="1">
      <x:c r="A80" s="167" t="n">
        <x:v>79</x:v>
      </x:c>
      <x:c r="B80" s="167" t="str">
        <x:v>credit</x:v>
      </x:c>
      <x:c r="C80" s="170" t="str">
        <x:v>кредит</x:v>
      </x:c>
      <x:c r="D80" s="167" t="n">
        <x:v>2</x:v>
      </x:c>
      <x:c r="E80" s="167" t="str">
        <x:v>No</x:v>
      </x:c>
      <x:c r="F80" s="167" t="str">
        <x:v>High</x:v>
      </x:c>
      <x:c r="G80" s="167" t="str">
        <x:v>General</x:v>
      </x:c>
      <x:c r="H80" s="167" t="str">
        <x:v>Not Started</x:v>
      </x:c>
      <x:c r="I80" s="167" t="n">
        <x:v>0</x:v>
      </x:c>
      <x:c r="J80" s="168"/>
      <x:c r="K80" s="168" t="str">
        <x:f>IF(OR(H80="Mastered",J80=""),"",J80+IF(I80&gt;=5,30,IF(I80=4,14,IF(I80=3,7,IF(I80=2,3,1)))))</x:f>
      </x:c>
      <x:c r="L80" s="171" t="str"/>
      <x:c r="M80" s="171" t="str"/>
      <x:c r="N80" s="171" t="str">
        <x:v>Draft — verify in context</x:v>
      </x:c>
      <x:c r="O80" s="167" t="str">
        <x:v>https://www.wgtn.ac.nz/lals/resources/academicwordlist</x:v>
      </x:c>
    </x:row>
    <x:row r="81" ht="26" customHeight="1">
      <x:c r="A81" s="167" t="n">
        <x:v>80</x:v>
      </x:c>
      <x:c r="B81" s="167" t="str">
        <x:v>cultural</x:v>
      </x:c>
      <x:c r="C81" s="170" t="str">
        <x:v>культурний</x:v>
      </x:c>
      <x:c r="D81" s="167" t="n">
        <x:v>2</x:v>
      </x:c>
      <x:c r="E81" s="167" t="str">
        <x:v>No</x:v>
      </x:c>
      <x:c r="F81" s="167" t="str">
        <x:v>High</x:v>
      </x:c>
      <x:c r="G81" s="167" t="str">
        <x:v>General</x:v>
      </x:c>
      <x:c r="H81" s="167" t="str">
        <x:v>Not Started</x:v>
      </x:c>
      <x:c r="I81" s="167" t="n">
        <x:v>0</x:v>
      </x:c>
      <x:c r="J81" s="168"/>
      <x:c r="K81" s="168" t="str">
        <x:f>IF(OR(H81="Mastered",J81=""),"",J81+IF(I81&gt;=5,30,IF(I81=4,14,IF(I81=3,7,IF(I81=2,3,1)))))</x:f>
      </x:c>
      <x:c r="L81" s="171" t="str"/>
      <x:c r="M81" s="171" t="str"/>
      <x:c r="N81" s="171" t="str">
        <x:v>Draft — verify in context</x:v>
      </x:c>
      <x:c r="O81" s="167" t="str">
        <x:v>https://www.wgtn.ac.nz/lals/resources/academicwordlist</x:v>
      </x:c>
    </x:row>
    <x:row r="82" ht="26" customHeight="1">
      <x:c r="A82" s="167" t="n">
        <x:v>81</x:v>
      </x:c>
      <x:c r="B82" s="167" t="str">
        <x:v>design</x:v>
      </x:c>
      <x:c r="C82" s="170" t="str">
        <x:v>дизайн</x:v>
      </x:c>
      <x:c r="D82" s="167" t="n">
        <x:v>2</x:v>
      </x:c>
      <x:c r="E82" s="167" t="str">
        <x:v>No</x:v>
      </x:c>
      <x:c r="F82" s="167" t="str">
        <x:v>High</x:v>
      </x:c>
      <x:c r="G82" s="167" t="str">
        <x:v>General</x:v>
      </x:c>
      <x:c r="H82" s="167" t="str">
        <x:v>Not Started</x:v>
      </x:c>
      <x:c r="I82" s="167" t="n">
        <x:v>0</x:v>
      </x:c>
      <x:c r="J82" s="168"/>
      <x:c r="K82" s="168" t="str">
        <x:f>IF(OR(H82="Mastered",J82=""),"",J82+IF(I82&gt;=5,30,IF(I82=4,14,IF(I82=3,7,IF(I82=2,3,1)))))</x:f>
      </x:c>
      <x:c r="L82" s="171" t="str"/>
      <x:c r="M82" s="171" t="str"/>
      <x:c r="N82" s="171" t="str">
        <x:v>Draft — verify in context</x:v>
      </x:c>
      <x:c r="O82" s="167" t="str">
        <x:v>https://www.wgtn.ac.nz/lals/resources/academicwordlist</x:v>
      </x:c>
    </x:row>
    <x:row r="83" ht="26" customHeight="1">
      <x:c r="A83" s="167" t="n">
        <x:v>82</x:v>
      </x:c>
      <x:c r="B83" s="167" t="str">
        <x:v>distinction</x:v>
      </x:c>
      <x:c r="C83" s="170" t="str">
        <x:v>відзнака</x:v>
      </x:c>
      <x:c r="D83" s="167" t="n">
        <x:v>2</x:v>
      </x:c>
      <x:c r="E83" s="167" t="str">
        <x:v>Yes</x:v>
      </x:c>
      <x:c r="F83" s="167" t="str">
        <x:v>High</x:v>
      </x:c>
      <x:c r="G83" s="167" t="str">
        <x:v>General</x:v>
      </x:c>
      <x:c r="H83" s="167" t="str">
        <x:v>Not Started</x:v>
      </x:c>
      <x:c r="I83" s="167" t="n">
        <x:v>0</x:v>
      </x:c>
      <x:c r="J83" s="168"/>
      <x:c r="K83" s="168" t="str">
        <x:f>IF(OR(H83="Mastered",J83=""),"",J83+IF(I83&gt;=5,30,IF(I83=4,14,IF(I83=3,7,IF(I83=2,3,1)))))</x:f>
      </x:c>
      <x:c r="L83" s="171" t="str"/>
      <x:c r="M83" s="171" t="str"/>
      <x:c r="N83" s="171" t="str">
        <x:v>Draft — verify in context</x:v>
      </x:c>
      <x:c r="O83" s="167" t="str">
        <x:v>https://www.wgtn.ac.nz/lals/resources/academicwordlist</x:v>
      </x:c>
    </x:row>
    <x:row r="84" ht="26" customHeight="1">
      <x:c r="A84" s="167" t="n">
        <x:v>83</x:v>
      </x:c>
      <x:c r="B84" s="167" t="str">
        <x:v>elements</x:v>
      </x:c>
      <x:c r="C84" s="170" t="str">
        <x:v>елементів</x:v>
      </x:c>
      <x:c r="D84" s="167" t="n">
        <x:v>2</x:v>
      </x:c>
      <x:c r="E84" s="167" t="str">
        <x:v>No</x:v>
      </x:c>
      <x:c r="F84" s="167" t="str">
        <x:v>High</x:v>
      </x:c>
      <x:c r="G84" s="167" t="str">
        <x:v>General</x:v>
      </x:c>
      <x:c r="H84" s="167" t="str">
        <x:v>Not Started</x:v>
      </x:c>
      <x:c r="I84" s="167" t="n">
        <x:v>0</x:v>
      </x:c>
      <x:c r="J84" s="168"/>
      <x:c r="K84" s="168" t="str">
        <x:f>IF(OR(H84="Mastered",J84=""),"",J84+IF(I84&gt;=5,30,IF(I84=4,14,IF(I84=3,7,IF(I84=2,3,1)))))</x:f>
      </x:c>
      <x:c r="L84" s="171" t="str"/>
      <x:c r="M84" s="171" t="str"/>
      <x:c r="N84" s="171" t="str">
        <x:v>Draft — verify in context</x:v>
      </x:c>
      <x:c r="O84" s="167" t="str">
        <x:v>https://www.wgtn.ac.nz/lals/resources/academicwordlist</x:v>
      </x:c>
    </x:row>
    <x:row r="85" ht="26" customHeight="1">
      <x:c r="A85" s="167" t="n">
        <x:v>84</x:v>
      </x:c>
      <x:c r="B85" s="167" t="str">
        <x:v>equation</x:v>
      </x:c>
      <x:c r="C85" s="170" t="str">
        <x:v>рівняння</x:v>
      </x:c>
      <x:c r="D85" s="167" t="n">
        <x:v>2</x:v>
      </x:c>
      <x:c r="E85" s="167" t="str">
        <x:v>Yes</x:v>
      </x:c>
      <x:c r="F85" s="167" t="str">
        <x:v>High</x:v>
      </x:c>
      <x:c r="G85" s="167" t="str">
        <x:v>General</x:v>
      </x:c>
      <x:c r="H85" s="167" t="str">
        <x:v>Not Started</x:v>
      </x:c>
      <x:c r="I85" s="167" t="n">
        <x:v>0</x:v>
      </x:c>
      <x:c r="J85" s="168"/>
      <x:c r="K85" s="168" t="str">
        <x:f>IF(OR(H85="Mastered",J85=""),"",J85+IF(I85&gt;=5,30,IF(I85=4,14,IF(I85=3,7,IF(I85=2,3,1)))))</x:f>
      </x:c>
      <x:c r="L85" s="171" t="str"/>
      <x:c r="M85" s="171" t="str"/>
      <x:c r="N85" s="171" t="str">
        <x:v>Draft — verify in context</x:v>
      </x:c>
      <x:c r="O85" s="167" t="str">
        <x:v>https://www.wgtn.ac.nz/lals/resources/academicwordlist</x:v>
      </x:c>
    </x:row>
    <x:row r="86" ht="26" customHeight="1">
      <x:c r="A86" s="167" t="n">
        <x:v>85</x:v>
      </x:c>
      <x:c r="B86" s="167" t="str">
        <x:v>evaluation</x:v>
      </x:c>
      <x:c r="C86" s="170" t="str">
        <x:v>оцінка</x:v>
      </x:c>
      <x:c r="D86" s="167" t="n">
        <x:v>2</x:v>
      </x:c>
      <x:c r="E86" s="167" t="str">
        <x:v>No</x:v>
      </x:c>
      <x:c r="F86" s="167" t="str">
        <x:v>High</x:v>
      </x:c>
      <x:c r="G86" s="167" t="str">
        <x:v>General</x:v>
      </x:c>
      <x:c r="H86" s="167" t="str">
        <x:v>Not Started</x:v>
      </x:c>
      <x:c r="I86" s="167" t="n">
        <x:v>0</x:v>
      </x:c>
      <x:c r="J86" s="168"/>
      <x:c r="K86" s="168" t="str">
        <x:f>IF(OR(H86="Mastered",J86=""),"",J86+IF(I86&gt;=5,30,IF(I86=4,14,IF(I86=3,7,IF(I86=2,3,1)))))</x:f>
      </x:c>
      <x:c r="L86" s="171" t="str"/>
      <x:c r="M86" s="171" t="str"/>
      <x:c r="N86" s="171" t="str">
        <x:v>Draft — verify in context</x:v>
      </x:c>
      <x:c r="O86" s="167" t="str">
        <x:v>https://www.wgtn.ac.nz/lals/resources/academicwordlist</x:v>
      </x:c>
    </x:row>
    <x:row r="87" ht="26" customHeight="1">
      <x:c r="A87" s="167" t="n">
        <x:v>86</x:v>
      </x:c>
      <x:c r="B87" s="167" t="str">
        <x:v>features</x:v>
      </x:c>
      <x:c r="C87" s="170" t="str">
        <x:v>особливості</x:v>
      </x:c>
      <x:c r="D87" s="167" t="n">
        <x:v>2</x:v>
      </x:c>
      <x:c r="E87" s="167" t="str">
        <x:v>No</x:v>
      </x:c>
      <x:c r="F87" s="167" t="str">
        <x:v>High</x:v>
      </x:c>
      <x:c r="G87" s="167" t="str">
        <x:v>General</x:v>
      </x:c>
      <x:c r="H87" s="167" t="str">
        <x:v>Not Started</x:v>
      </x:c>
      <x:c r="I87" s="167" t="n">
        <x:v>0</x:v>
      </x:c>
      <x:c r="J87" s="168"/>
      <x:c r="K87" s="168" t="str">
        <x:f>IF(OR(H87="Mastered",J87=""),"",J87+IF(I87&gt;=5,30,IF(I87=4,14,IF(I87=3,7,IF(I87=2,3,1)))))</x:f>
      </x:c>
      <x:c r="L87" s="171" t="str"/>
      <x:c r="M87" s="171" t="str"/>
      <x:c r="N87" s="171" t="str">
        <x:v>Draft — verify in context</x:v>
      </x:c>
      <x:c r="O87" s="167" t="str">
        <x:v>https://www.wgtn.ac.nz/lals/resources/academicwordlist</x:v>
      </x:c>
    </x:row>
    <x:row r="88" ht="26" customHeight="1">
      <x:c r="A88" s="167" t="n">
        <x:v>87</x:v>
      </x:c>
      <x:c r="B88" s="167" t="str">
        <x:v>final</x:v>
      </x:c>
      <x:c r="C88" s="170" t="str">
        <x:v>остаточний</x:v>
      </x:c>
      <x:c r="D88" s="167" t="n">
        <x:v>2</x:v>
      </x:c>
      <x:c r="E88" s="167" t="str">
        <x:v>No</x:v>
      </x:c>
      <x:c r="F88" s="167" t="str">
        <x:v>High</x:v>
      </x:c>
      <x:c r="G88" s="167" t="str">
        <x:v>General</x:v>
      </x:c>
      <x:c r="H88" s="167" t="str">
        <x:v>Not Started</x:v>
      </x:c>
      <x:c r="I88" s="167" t="n">
        <x:v>0</x:v>
      </x:c>
      <x:c r="J88" s="168"/>
      <x:c r="K88" s="168" t="str">
        <x:f>IF(OR(H88="Mastered",J88=""),"",J88+IF(I88&gt;=5,30,IF(I88=4,14,IF(I88=3,7,IF(I88=2,3,1)))))</x:f>
      </x:c>
      <x:c r="L88" s="171" t="str"/>
      <x:c r="M88" s="171" t="str"/>
      <x:c r="N88" s="171" t="str">
        <x:v>Draft — verify in context</x:v>
      </x:c>
      <x:c r="O88" s="167" t="str">
        <x:v>https://www.wgtn.ac.nz/lals/resources/academicwordlist</x:v>
      </x:c>
    </x:row>
    <x:row r="89" ht="26" customHeight="1">
      <x:c r="A89" s="167" t="n">
        <x:v>88</x:v>
      </x:c>
      <x:c r="B89" s="167" t="str">
        <x:v>focus</x:v>
      </x:c>
      <x:c r="C89" s="170" t="str">
        <x:v>фокус</x:v>
      </x:c>
      <x:c r="D89" s="167" t="n">
        <x:v>2</x:v>
      </x:c>
      <x:c r="E89" s="167" t="str">
        <x:v>No</x:v>
      </x:c>
      <x:c r="F89" s="167" t="str">
        <x:v>High</x:v>
      </x:c>
      <x:c r="G89" s="167" t="str">
        <x:v>General</x:v>
      </x:c>
      <x:c r="H89" s="167" t="str">
        <x:v>Not Started</x:v>
      </x:c>
      <x:c r="I89" s="167" t="n">
        <x:v>0</x:v>
      </x:c>
      <x:c r="J89" s="168"/>
      <x:c r="K89" s="168" t="str">
        <x:f>IF(OR(H89="Mastered",J89=""),"",J89+IF(I89&gt;=5,30,IF(I89=4,14,IF(I89=3,7,IF(I89=2,3,1)))))</x:f>
      </x:c>
      <x:c r="L89" s="171" t="str"/>
      <x:c r="M89" s="171" t="str"/>
      <x:c r="N89" s="171" t="str">
        <x:v>Draft — verify in context</x:v>
      </x:c>
      <x:c r="O89" s="167" t="str">
        <x:v>https://www.wgtn.ac.nz/lals/resources/academicwordlist</x:v>
      </x:c>
    </x:row>
    <x:row r="90" ht="26" customHeight="1">
      <x:c r="A90" s="167" t="n">
        <x:v>89</x:v>
      </x:c>
      <x:c r="B90" s="167" t="str">
        <x:v>impact</x:v>
      </x:c>
      <x:c r="C90" s="170" t="str">
        <x:v>вплив</x:v>
      </x:c>
      <x:c r="D90" s="167" t="n">
        <x:v>2</x:v>
      </x:c>
      <x:c r="E90" s="167" t="str">
        <x:v>No</x:v>
      </x:c>
      <x:c r="F90" s="167" t="str">
        <x:v>High</x:v>
      </x:c>
      <x:c r="G90" s="167" t="str">
        <x:v>General</x:v>
      </x:c>
      <x:c r="H90" s="167" t="str">
        <x:v>Not Started</x:v>
      </x:c>
      <x:c r="I90" s="167" t="n">
        <x:v>0</x:v>
      </x:c>
      <x:c r="J90" s="168"/>
      <x:c r="K90" s="168" t="str">
        <x:f>IF(OR(H90="Mastered",J90=""),"",J90+IF(I90&gt;=5,30,IF(I90=4,14,IF(I90=3,7,IF(I90=2,3,1)))))</x:f>
      </x:c>
      <x:c r="L90" s="171" t="str"/>
      <x:c r="M90" s="171" t="str"/>
      <x:c r="N90" s="171" t="str">
        <x:v>Draft — verify in context</x:v>
      </x:c>
      <x:c r="O90" s="167" t="str">
        <x:v>https://www.wgtn.ac.nz/lals/resources/academicwordlist</x:v>
      </x:c>
    </x:row>
    <x:row r="91" ht="26" customHeight="1">
      <x:c r="A91" s="167" t="n">
        <x:v>90</x:v>
      </x:c>
      <x:c r="B91" s="167" t="str">
        <x:v>injury</x:v>
      </x:c>
      <x:c r="C91" s="170" t="str">
        <x:v>травма</x:v>
      </x:c>
      <x:c r="D91" s="167" t="n">
        <x:v>2</x:v>
      </x:c>
      <x:c r="E91" s="167" t="str">
        <x:v>No</x:v>
      </x:c>
      <x:c r="F91" s="167" t="str">
        <x:v>High</x:v>
      </x:c>
      <x:c r="G91" s="167" t="str">
        <x:v>General</x:v>
      </x:c>
      <x:c r="H91" s="167" t="str">
        <x:v>Not Started</x:v>
      </x:c>
      <x:c r="I91" s="167" t="n">
        <x:v>0</x:v>
      </x:c>
      <x:c r="J91" s="168"/>
      <x:c r="K91" s="168" t="str">
        <x:f>IF(OR(H91="Mastered",J91=""),"",J91+IF(I91&gt;=5,30,IF(I91=4,14,IF(I91=3,7,IF(I91=2,3,1)))))</x:f>
      </x:c>
      <x:c r="L91" s="171" t="str"/>
      <x:c r="M91" s="171" t="str"/>
      <x:c r="N91" s="171" t="str">
        <x:v>Draft — verify in context</x:v>
      </x:c>
      <x:c r="O91" s="167" t="str">
        <x:v>https://www.wgtn.ac.nz/lals/resources/academicwordlist</x:v>
      </x:c>
    </x:row>
    <x:row r="92" ht="26" customHeight="1">
      <x:c r="A92" s="167" t="n">
        <x:v>91</x:v>
      </x:c>
      <x:c r="B92" s="167" t="str">
        <x:v>institute</x:v>
      </x:c>
      <x:c r="C92" s="170" t="str">
        <x:v>інститут</x:v>
      </x:c>
      <x:c r="D92" s="167" t="n">
        <x:v>2</x:v>
      </x:c>
      <x:c r="E92" s="167" t="str">
        <x:v>No</x:v>
      </x:c>
      <x:c r="F92" s="167" t="str">
        <x:v>High</x:v>
      </x:c>
      <x:c r="G92" s="167" t="str">
        <x:v>General</x:v>
      </x:c>
      <x:c r="H92" s="167" t="str">
        <x:v>Not Started</x:v>
      </x:c>
      <x:c r="I92" s="167" t="n">
        <x:v>0</x:v>
      </x:c>
      <x:c r="J92" s="168"/>
      <x:c r="K92" s="168" t="str">
        <x:f>IF(OR(H92="Mastered",J92=""),"",J92+IF(I92&gt;=5,30,IF(I92=4,14,IF(I92=3,7,IF(I92=2,3,1)))))</x:f>
      </x:c>
      <x:c r="L92" s="171" t="str"/>
      <x:c r="M92" s="171" t="str"/>
      <x:c r="N92" s="171" t="str">
        <x:v>Draft — verify in context</x:v>
      </x:c>
      <x:c r="O92" s="167" t="str">
        <x:v>https://www.wgtn.ac.nz/lals/resources/academicwordlist</x:v>
      </x:c>
    </x:row>
    <x:row r="93" ht="26" customHeight="1">
      <x:c r="A93" s="167" t="n">
        <x:v>92</x:v>
      </x:c>
      <x:c r="B93" s="167" t="str">
        <x:v>investment</x:v>
      </x:c>
      <x:c r="C93" s="170" t="str">
        <x:v>інвестиції</x:v>
      </x:c>
      <x:c r="D93" s="167" t="n">
        <x:v>2</x:v>
      </x:c>
      <x:c r="E93" s="167" t="str">
        <x:v>No</x:v>
      </x:c>
      <x:c r="F93" s="167" t="str">
        <x:v>High</x:v>
      </x:c>
      <x:c r="G93" s="167" t="str">
        <x:v>General</x:v>
      </x:c>
      <x:c r="H93" s="167" t="str">
        <x:v>Not Started</x:v>
      </x:c>
      <x:c r="I93" s="167" t="n">
        <x:v>0</x:v>
      </x:c>
      <x:c r="J93" s="168"/>
      <x:c r="K93" s="168" t="str">
        <x:f>IF(OR(H93="Mastered",J93=""),"",J93+IF(I93&gt;=5,30,IF(I93=4,14,IF(I93=3,7,IF(I93=2,3,1)))))</x:f>
      </x:c>
      <x:c r="L93" s="171" t="str"/>
      <x:c r="M93" s="171" t="str"/>
      <x:c r="N93" s="171" t="str">
        <x:v>Draft — verify in context</x:v>
      </x:c>
      <x:c r="O93" s="167" t="str">
        <x:v>https://www.wgtn.ac.nz/lals/resources/academicwordlist</x:v>
      </x:c>
    </x:row>
    <x:row r="94" ht="26" customHeight="1">
      <x:c r="A94" s="167" t="n">
        <x:v>93</x:v>
      </x:c>
      <x:c r="B94" s="167" t="str">
        <x:v>items</x:v>
      </x:c>
      <x:c r="C94" s="170" t="str">
        <x:v>елементи</x:v>
      </x:c>
      <x:c r="D94" s="167" t="n">
        <x:v>2</x:v>
      </x:c>
      <x:c r="E94" s="167" t="str">
        <x:v>No</x:v>
      </x:c>
      <x:c r="F94" s="167" t="str">
        <x:v>High</x:v>
      </x:c>
      <x:c r="G94" s="167" t="str">
        <x:v>General</x:v>
      </x:c>
      <x:c r="H94" s="167" t="str">
        <x:v>Not Started</x:v>
      </x:c>
      <x:c r="I94" s="167" t="n">
        <x:v>0</x:v>
      </x:c>
      <x:c r="J94" s="168"/>
      <x:c r="K94" s="168" t="str">
        <x:f>IF(OR(H94="Mastered",J94=""),"",J94+IF(I94&gt;=5,30,IF(I94=4,14,IF(I94=3,7,IF(I94=2,3,1)))))</x:f>
      </x:c>
      <x:c r="L94" s="171" t="str"/>
      <x:c r="M94" s="171" t="str"/>
      <x:c r="N94" s="171" t="str">
        <x:v>Draft — verify in context</x:v>
      </x:c>
      <x:c r="O94" s="167" t="str">
        <x:v>https://www.wgtn.ac.nz/lals/resources/academicwordlist</x:v>
      </x:c>
    </x:row>
    <x:row r="95" ht="26" customHeight="1">
      <x:c r="A95" s="167" t="n">
        <x:v>94</x:v>
      </x:c>
      <x:c r="B95" s="167" t="str">
        <x:v>journal</x:v>
      </x:c>
      <x:c r="C95" s="170" t="str">
        <x:v>журнал</x:v>
      </x:c>
      <x:c r="D95" s="167" t="n">
        <x:v>2</x:v>
      </x:c>
      <x:c r="E95" s="167" t="str">
        <x:v>No</x:v>
      </x:c>
      <x:c r="F95" s="167" t="str">
        <x:v>High</x:v>
      </x:c>
      <x:c r="G95" s="167" t="str">
        <x:v>General</x:v>
      </x:c>
      <x:c r="H95" s="167" t="str">
        <x:v>Not Started</x:v>
      </x:c>
      <x:c r="I95" s="167" t="n">
        <x:v>0</x:v>
      </x:c>
      <x:c r="J95" s="168"/>
      <x:c r="K95" s="168" t="str">
        <x:f>IF(OR(H95="Mastered",J95=""),"",J95+IF(I95&gt;=5,30,IF(I95=4,14,IF(I95=3,7,IF(I95=2,3,1)))))</x:f>
      </x:c>
      <x:c r="L95" s="171" t="str"/>
      <x:c r="M95" s="171" t="str"/>
      <x:c r="N95" s="171" t="str">
        <x:v>Draft — verify in context</x:v>
      </x:c>
      <x:c r="O95" s="167" t="str">
        <x:v>https://www.wgtn.ac.nz/lals/resources/academicwordlist</x:v>
      </x:c>
    </x:row>
    <x:row r="96" ht="26" customHeight="1">
      <x:c r="A96" s="167" t="n">
        <x:v>95</x:v>
      </x:c>
      <x:c r="B96" s="167" t="str">
        <x:v>maintenance</x:v>
      </x:c>
      <x:c r="C96" s="170" t="str">
        <x:v>обслуговування</x:v>
      </x:c>
      <x:c r="D96" s="167" t="n">
        <x:v>2</x:v>
      </x:c>
      <x:c r="E96" s="167" t="str">
        <x:v>Yes</x:v>
      </x:c>
      <x:c r="F96" s="167" t="str">
        <x:v>High</x:v>
      </x:c>
      <x:c r="G96" s="167" t="str">
        <x:v>General</x:v>
      </x:c>
      <x:c r="H96" s="167" t="str">
        <x:v>Not Started</x:v>
      </x:c>
      <x:c r="I96" s="167" t="n">
        <x:v>0</x:v>
      </x:c>
      <x:c r="J96" s="168"/>
      <x:c r="K96" s="168" t="str">
        <x:f>IF(OR(H96="Mastered",J96=""),"",J96+IF(I96&gt;=5,30,IF(I96=4,14,IF(I96=3,7,IF(I96=2,3,1)))))</x:f>
      </x:c>
      <x:c r="L96" s="171" t="str"/>
      <x:c r="M96" s="171" t="str"/>
      <x:c r="N96" s="171" t="str">
        <x:v>Draft — verify in context</x:v>
      </x:c>
      <x:c r="O96" s="167" t="str">
        <x:v>https://www.wgtn.ac.nz/lals/resources/academicwordlist</x:v>
      </x:c>
    </x:row>
    <x:row r="97" ht="26" customHeight="1">
      <x:c r="A97" s="167" t="n">
        <x:v>96</x:v>
      </x:c>
      <x:c r="B97" s="167" t="str">
        <x:v>normal</x:v>
      </x:c>
      <x:c r="C97" s="170" t="str">
        <x:v>нормально</x:v>
      </x:c>
      <x:c r="D97" s="167" t="n">
        <x:v>2</x:v>
      </x:c>
      <x:c r="E97" s="167" t="str">
        <x:v>No</x:v>
      </x:c>
      <x:c r="F97" s="167" t="str">
        <x:v>High</x:v>
      </x:c>
      <x:c r="G97" s="167" t="str">
        <x:v>General</x:v>
      </x:c>
      <x:c r="H97" s="167" t="str">
        <x:v>Not Started</x:v>
      </x:c>
      <x:c r="I97" s="167" t="n">
        <x:v>0</x:v>
      </x:c>
      <x:c r="J97" s="168"/>
      <x:c r="K97" s="168" t="str">
        <x:f>IF(OR(H97="Mastered",J97=""),"",J97+IF(I97&gt;=5,30,IF(I97=4,14,IF(I97=3,7,IF(I97=2,3,1)))))</x:f>
      </x:c>
      <x:c r="L97" s="171" t="str"/>
      <x:c r="M97" s="171" t="str"/>
      <x:c r="N97" s="171" t="str">
        <x:v>Draft — verify in context</x:v>
      </x:c>
      <x:c r="O97" s="167" t="str">
        <x:v>https://www.wgtn.ac.nz/lals/resources/academicwordlist</x:v>
      </x:c>
    </x:row>
    <x:row r="98" ht="26" customHeight="1">
      <x:c r="A98" s="167" t="n">
        <x:v>97</x:v>
      </x:c>
      <x:c r="B98" s="167" t="str">
        <x:v>obtained</x:v>
      </x:c>
      <x:c r="C98" s="170" t="str">
        <x:v>отримано</x:v>
      </x:c>
      <x:c r="D98" s="167" t="n">
        <x:v>2</x:v>
      </x:c>
      <x:c r="E98" s="167" t="str">
        <x:v>No</x:v>
      </x:c>
      <x:c r="F98" s="167" t="str">
        <x:v>High</x:v>
      </x:c>
      <x:c r="G98" s="167" t="str">
        <x:v>General</x:v>
      </x:c>
      <x:c r="H98" s="167" t="str">
        <x:v>Not Started</x:v>
      </x:c>
      <x:c r="I98" s="167" t="n">
        <x:v>0</x:v>
      </x:c>
      <x:c r="J98" s="168"/>
      <x:c r="K98" s="168" t="str">
        <x:f>IF(OR(H98="Mastered",J98=""),"",J98+IF(I98&gt;=5,30,IF(I98=4,14,IF(I98=3,7,IF(I98=2,3,1)))))</x:f>
      </x:c>
      <x:c r="L98" s="171" t="str"/>
      <x:c r="M98" s="171" t="str"/>
      <x:c r="N98" s="171" t="str">
        <x:v>Draft — verify in context</x:v>
      </x:c>
      <x:c r="O98" s="167" t="str">
        <x:v>https://www.wgtn.ac.nz/lals/resources/academicwordlist</x:v>
      </x:c>
    </x:row>
    <x:row r="99" ht="26" customHeight="1">
      <x:c r="A99" s="167" t="n">
        <x:v>98</x:v>
      </x:c>
      <x:c r="B99" s="167" t="str">
        <x:v>participation</x:v>
      </x:c>
      <x:c r="C99" s="170" t="str">
        <x:v>участь</x:v>
      </x:c>
      <x:c r="D99" s="167" t="n">
        <x:v>2</x:v>
      </x:c>
      <x:c r="E99" s="167" t="str">
        <x:v>No</x:v>
      </x:c>
      <x:c r="F99" s="167" t="str">
        <x:v>High</x:v>
      </x:c>
      <x:c r="G99" s="167" t="str">
        <x:v>General</x:v>
      </x:c>
      <x:c r="H99" s="167" t="str">
        <x:v>Not Started</x:v>
      </x:c>
      <x:c r="I99" s="167" t="n">
        <x:v>0</x:v>
      </x:c>
      <x:c r="J99" s="168"/>
      <x:c r="K99" s="168" t="str">
        <x:f>IF(OR(H99="Mastered",J99=""),"",J99+IF(I99&gt;=5,30,IF(I99=4,14,IF(I99=3,7,IF(I99=2,3,1)))))</x:f>
      </x:c>
      <x:c r="L99" s="171" t="str"/>
      <x:c r="M99" s="171" t="str"/>
      <x:c r="N99" s="171" t="str">
        <x:v>Draft — verify in context</x:v>
      </x:c>
      <x:c r="O99" s="167" t="str">
        <x:v>https://www.wgtn.ac.nz/lals/resources/academicwordlist</x:v>
      </x:c>
    </x:row>
    <x:row r="100" ht="26" customHeight="1">
      <x:c r="A100" s="167" t="n">
        <x:v>99</x:v>
      </x:c>
      <x:c r="B100" s="167" t="str">
        <x:v>perceived</x:v>
      </x:c>
      <x:c r="C100" s="170" t="str">
        <x:v>сприймається</x:v>
      </x:c>
      <x:c r="D100" s="167" t="n">
        <x:v>2</x:v>
      </x:c>
      <x:c r="E100" s="167" t="str">
        <x:v>No</x:v>
      </x:c>
      <x:c r="F100" s="167" t="str">
        <x:v>High</x:v>
      </x:c>
      <x:c r="G100" s="167" t="str">
        <x:v>General</x:v>
      </x:c>
      <x:c r="H100" s="167" t="str">
        <x:v>Not Started</x:v>
      </x:c>
      <x:c r="I100" s="167" t="n">
        <x:v>0</x:v>
      </x:c>
      <x:c r="J100" s="168"/>
      <x:c r="K100" s="168" t="str">
        <x:f>IF(OR(H100="Mastered",J100=""),"",J100+IF(I100&gt;=5,30,IF(I100=4,14,IF(I100=3,7,IF(I100=2,3,1)))))</x:f>
      </x:c>
      <x:c r="L100" s="171" t="str"/>
      <x:c r="M100" s="171" t="str"/>
      <x:c r="N100" s="171" t="str">
        <x:v>Draft — verify in context</x:v>
      </x:c>
      <x:c r="O100" s="167" t="str">
        <x:v>https://www.wgtn.ac.nz/lals/resources/academicwordlist</x:v>
      </x:c>
    </x:row>
    <x:row r="101" ht="26" customHeight="1">
      <x:c r="A101" s="167" t="n">
        <x:v>100</x:v>
      </x:c>
      <x:c r="B101" s="167" t="str">
        <x:v>positive</x:v>
      </x:c>
      <x:c r="C101" s="170" t="str">
        <x:v>позитивний</x:v>
      </x:c>
      <x:c r="D101" s="167" t="n">
        <x:v>2</x:v>
      </x:c>
      <x:c r="E101" s="167" t="str">
        <x:v>No</x:v>
      </x:c>
      <x:c r="F101" s="167" t="str">
        <x:v>High</x:v>
      </x:c>
      <x:c r="G101" s="167" t="str">
        <x:v>General</x:v>
      </x:c>
      <x:c r="H101" s="167" t="str">
        <x:v>Not Started</x:v>
      </x:c>
      <x:c r="I101" s="167" t="n">
        <x:v>0</x:v>
      </x:c>
      <x:c r="J101" s="168"/>
      <x:c r="K101" s="168" t="str">
        <x:f>IF(OR(H101="Mastered",J101=""),"",J101+IF(I101&gt;=5,30,IF(I101=4,14,IF(I101=3,7,IF(I101=2,3,1)))))</x:f>
      </x:c>
      <x:c r="L101" s="171" t="str"/>
      <x:c r="M101" s="171" t="str"/>
      <x:c r="N101" s="171" t="str">
        <x:v>Draft — verify in context</x:v>
      </x:c>
      <x:c r="O101" s="167" t="str">
        <x:v>https://www.wgtn.ac.nz/lals/resources/academicwordlist</x:v>
      </x:c>
    </x:row>
    <x:row r="102" ht="26" customHeight="1">
      <x:c r="A102" s="167" t="n">
        <x:v>101</x:v>
      </x:c>
      <x:c r="B102" s="167" t="str">
        <x:v>potential</x:v>
      </x:c>
      <x:c r="C102" s="170" t="str">
        <x:v>потенціал</x:v>
      </x:c>
      <x:c r="D102" s="167" t="n">
        <x:v>2</x:v>
      </x:c>
      <x:c r="E102" s="167" t="str">
        <x:v>No</x:v>
      </x:c>
      <x:c r="F102" s="167" t="str">
        <x:v>High</x:v>
      </x:c>
      <x:c r="G102" s="167" t="str">
        <x:v>General</x:v>
      </x:c>
      <x:c r="H102" s="167" t="str">
        <x:v>Not Started</x:v>
      </x:c>
      <x:c r="I102" s="167" t="n">
        <x:v>0</x:v>
      </x:c>
      <x:c r="J102" s="168"/>
      <x:c r="K102" s="168" t="str">
        <x:f>IF(OR(H102="Mastered",J102=""),"",J102+IF(I102&gt;=5,30,IF(I102=4,14,IF(I102=3,7,IF(I102=2,3,1)))))</x:f>
      </x:c>
      <x:c r="L102" s="171" t="str"/>
      <x:c r="M102" s="171" t="str"/>
      <x:c r="N102" s="171" t="str">
        <x:v>Draft — verify in context</x:v>
      </x:c>
      <x:c r="O102" s="167" t="str">
        <x:v>https://www.wgtn.ac.nz/lals/resources/academicwordlist</x:v>
      </x:c>
    </x:row>
    <x:row r="103" ht="26" customHeight="1">
      <x:c r="A103" s="167" t="n">
        <x:v>102</x:v>
      </x:c>
      <x:c r="B103" s="167" t="str">
        <x:v>previous</x:v>
      </x:c>
      <x:c r="C103" s="170" t="str">
        <x:v>попередній</x:v>
      </x:c>
      <x:c r="D103" s="167" t="n">
        <x:v>2</x:v>
      </x:c>
      <x:c r="E103" s="167" t="str">
        <x:v>No</x:v>
      </x:c>
      <x:c r="F103" s="167" t="str">
        <x:v>High</x:v>
      </x:c>
      <x:c r="G103" s="167" t="str">
        <x:v>General</x:v>
      </x:c>
      <x:c r="H103" s="167" t="str">
        <x:v>Not Started</x:v>
      </x:c>
      <x:c r="I103" s="167" t="n">
        <x:v>0</x:v>
      </x:c>
      <x:c r="J103" s="168"/>
      <x:c r="K103" s="168" t="str">
        <x:f>IF(OR(H103="Mastered",J103=""),"",J103+IF(I103&gt;=5,30,IF(I103=4,14,IF(I103=3,7,IF(I103=2,3,1)))))</x:f>
      </x:c>
      <x:c r="L103" s="171" t="str"/>
      <x:c r="M103" s="171" t="str"/>
      <x:c r="N103" s="171" t="str">
        <x:v>Draft — verify in context</x:v>
      </x:c>
      <x:c r="O103" s="167" t="str">
        <x:v>https://www.wgtn.ac.nz/lals/resources/academicwordlist</x:v>
      </x:c>
    </x:row>
    <x:row r="104" ht="26" customHeight="1">
      <x:c r="A104" s="167" t="n">
        <x:v>103</x:v>
      </x:c>
      <x:c r="B104" s="167" t="str">
        <x:v>primary</x:v>
      </x:c>
      <x:c r="C104" s="170" t="str">
        <x:v>первинний</x:v>
      </x:c>
      <x:c r="D104" s="167" t="n">
        <x:v>2</x:v>
      </x:c>
      <x:c r="E104" s="167" t="str">
        <x:v>No</x:v>
      </x:c>
      <x:c r="F104" s="167" t="str">
        <x:v>High</x:v>
      </x:c>
      <x:c r="G104" s="167" t="str">
        <x:v>General</x:v>
      </x:c>
      <x:c r="H104" s="167" t="str">
        <x:v>Not Started</x:v>
      </x:c>
      <x:c r="I104" s="167" t="n">
        <x:v>0</x:v>
      </x:c>
      <x:c r="J104" s="168"/>
      <x:c r="K104" s="168" t="str">
        <x:f>IF(OR(H104="Mastered",J104=""),"",J104+IF(I104&gt;=5,30,IF(I104=4,14,IF(I104=3,7,IF(I104=2,3,1)))))</x:f>
      </x:c>
      <x:c r="L104" s="171" t="str"/>
      <x:c r="M104" s="171" t="str"/>
      <x:c r="N104" s="171" t="str">
        <x:v>Draft — verify in context</x:v>
      </x:c>
      <x:c r="O104" s="167" t="str">
        <x:v>https://www.wgtn.ac.nz/lals/resources/academicwordlist</x:v>
      </x:c>
    </x:row>
    <x:row r="105" ht="26" customHeight="1">
      <x:c r="A105" s="167" t="n">
        <x:v>104</x:v>
      </x:c>
      <x:c r="B105" s="167" t="str">
        <x:v>purchase</x:v>
      </x:c>
      <x:c r="C105" s="170" t="str">
        <x:v>покупка</x:v>
      </x:c>
      <x:c r="D105" s="167" t="n">
        <x:v>2</x:v>
      </x:c>
      <x:c r="E105" s="167" t="str">
        <x:v>No</x:v>
      </x:c>
      <x:c r="F105" s="167" t="str">
        <x:v>High</x:v>
      </x:c>
      <x:c r="G105" s="167" t="str">
        <x:v>General</x:v>
      </x:c>
      <x:c r="H105" s="167" t="str">
        <x:v>Not Started</x:v>
      </x:c>
      <x:c r="I105" s="167" t="n">
        <x:v>0</x:v>
      </x:c>
      <x:c r="J105" s="168"/>
      <x:c r="K105" s="168" t="str">
        <x:f>IF(OR(H105="Mastered",J105=""),"",J105+IF(I105&gt;=5,30,IF(I105=4,14,IF(I105=3,7,IF(I105=2,3,1)))))</x:f>
      </x:c>
      <x:c r="L105" s="171" t="str"/>
      <x:c r="M105" s="171" t="str"/>
      <x:c r="N105" s="171" t="str">
        <x:v>Draft — verify in context</x:v>
      </x:c>
      <x:c r="O105" s="167" t="str">
        <x:v>https://www.wgtn.ac.nz/lals/resources/academicwordlist</x:v>
      </x:c>
    </x:row>
    <x:row r="106" ht="26" customHeight="1">
      <x:c r="A106" s="167" t="n">
        <x:v>105</x:v>
      </x:c>
      <x:c r="B106" s="167" t="str">
        <x:v>range</x:v>
      </x:c>
      <x:c r="C106" s="170" t="str">
        <x:v>діапазон</x:v>
      </x:c>
      <x:c r="D106" s="167" t="n">
        <x:v>2</x:v>
      </x:c>
      <x:c r="E106" s="167" t="str">
        <x:v>No</x:v>
      </x:c>
      <x:c r="F106" s="167" t="str">
        <x:v>High</x:v>
      </x:c>
      <x:c r="G106" s="167" t="str">
        <x:v>General</x:v>
      </x:c>
      <x:c r="H106" s="167" t="str">
        <x:v>Not Started</x:v>
      </x:c>
      <x:c r="I106" s="167" t="n">
        <x:v>0</x:v>
      </x:c>
      <x:c r="J106" s="168"/>
      <x:c r="K106" s="168" t="str">
        <x:f>IF(OR(H106="Mastered",J106=""),"",J106+IF(I106&gt;=5,30,IF(I106=4,14,IF(I106=3,7,IF(I106=2,3,1)))))</x:f>
      </x:c>
      <x:c r="L106" s="171" t="str"/>
      <x:c r="M106" s="171" t="str"/>
      <x:c r="N106" s="171" t="str">
        <x:v>Draft — verify in context</x:v>
      </x:c>
      <x:c r="O106" s="167" t="str">
        <x:v>https://www.wgtn.ac.nz/lals/resources/academicwordlist</x:v>
      </x:c>
    </x:row>
    <x:row r="107" ht="26" customHeight="1">
      <x:c r="A107" s="167" t="n">
        <x:v>106</x:v>
      </x:c>
      <x:c r="B107" s="167" t="str">
        <x:v>region</x:v>
      </x:c>
      <x:c r="C107" s="170" t="str">
        <x:v>область</x:v>
      </x:c>
      <x:c r="D107" s="167" t="n">
        <x:v>2</x:v>
      </x:c>
      <x:c r="E107" s="167" t="str">
        <x:v>No</x:v>
      </x:c>
      <x:c r="F107" s="167" t="str">
        <x:v>High</x:v>
      </x:c>
      <x:c r="G107" s="167" t="str">
        <x:v>General</x:v>
      </x:c>
      <x:c r="H107" s="167" t="str">
        <x:v>Not Started</x:v>
      </x:c>
      <x:c r="I107" s="167" t="n">
        <x:v>0</x:v>
      </x:c>
      <x:c r="J107" s="168"/>
      <x:c r="K107" s="168" t="str">
        <x:f>IF(OR(H107="Mastered",J107=""),"",J107+IF(I107&gt;=5,30,IF(I107=4,14,IF(I107=3,7,IF(I107=2,3,1)))))</x:f>
      </x:c>
      <x:c r="L107" s="171" t="str"/>
      <x:c r="M107" s="171" t="str"/>
      <x:c r="N107" s="171" t="str">
        <x:v>Draft — verify in context</x:v>
      </x:c>
      <x:c r="O107" s="167" t="str">
        <x:v>https://www.wgtn.ac.nz/lals/resources/academicwordlist</x:v>
      </x:c>
    </x:row>
    <x:row r="108" ht="26" customHeight="1">
      <x:c r="A108" s="167" t="n">
        <x:v>107</x:v>
      </x:c>
      <x:c r="B108" s="167" t="str">
        <x:v>regulations</x:v>
      </x:c>
      <x:c r="C108" s="170" t="str">
        <x:v>нормативні акти</x:v>
      </x:c>
      <x:c r="D108" s="167" t="n">
        <x:v>2</x:v>
      </x:c>
      <x:c r="E108" s="167" t="str">
        <x:v>No</x:v>
      </x:c>
      <x:c r="F108" s="167" t="str">
        <x:v>High</x:v>
      </x:c>
      <x:c r="G108" s="167" t="str">
        <x:v>General</x:v>
      </x:c>
      <x:c r="H108" s="167" t="str">
        <x:v>Not Started</x:v>
      </x:c>
      <x:c r="I108" s="167" t="n">
        <x:v>0</x:v>
      </x:c>
      <x:c r="J108" s="168"/>
      <x:c r="K108" s="168" t="str">
        <x:f>IF(OR(H108="Mastered",J108=""),"",J108+IF(I108&gt;=5,30,IF(I108=4,14,IF(I108=3,7,IF(I108=2,3,1)))))</x:f>
      </x:c>
      <x:c r="L108" s="171" t="str"/>
      <x:c r="M108" s="171" t="str"/>
      <x:c r="N108" s="171" t="str">
        <x:v>Draft — verify in context</x:v>
      </x:c>
      <x:c r="O108" s="167" t="str">
        <x:v>https://www.wgtn.ac.nz/lals/resources/academicwordlist</x:v>
      </x:c>
    </x:row>
    <x:row r="109" ht="26" customHeight="1">
      <x:c r="A109" s="167" t="n">
        <x:v>108</x:v>
      </x:c>
      <x:c r="B109" s="167" t="str">
        <x:v>relevant</x:v>
      </x:c>
      <x:c r="C109" s="170" t="str">
        <x:v>актуальні</x:v>
      </x:c>
      <x:c r="D109" s="167" t="n">
        <x:v>2</x:v>
      </x:c>
      <x:c r="E109" s="167" t="str">
        <x:v>No</x:v>
      </x:c>
      <x:c r="F109" s="167" t="str">
        <x:v>High</x:v>
      </x:c>
      <x:c r="G109" s="167" t="str">
        <x:v>General</x:v>
      </x:c>
      <x:c r="H109" s="167" t="str">
        <x:v>Not Started</x:v>
      </x:c>
      <x:c r="I109" s="167" t="n">
        <x:v>0</x:v>
      </x:c>
      <x:c r="J109" s="168"/>
      <x:c r="K109" s="168" t="str">
        <x:f>IF(OR(H109="Mastered",J109=""),"",J109+IF(I109&gt;=5,30,IF(I109=4,14,IF(I109=3,7,IF(I109=2,3,1)))))</x:f>
      </x:c>
      <x:c r="L109" s="171" t="str"/>
      <x:c r="M109" s="171" t="str"/>
      <x:c r="N109" s="171" t="str">
        <x:v>Draft — verify in context</x:v>
      </x:c>
      <x:c r="O109" s="167" t="str">
        <x:v>https://www.wgtn.ac.nz/lals/resources/academicwordlist</x:v>
      </x:c>
    </x:row>
    <x:row r="110" ht="26" customHeight="1">
      <x:c r="A110" s="167" t="n">
        <x:v>109</x:v>
      </x:c>
      <x:c r="B110" s="167" t="str">
        <x:v>resident</x:v>
      </x:c>
      <x:c r="C110" s="170" t="str">
        <x:v>резидент</x:v>
      </x:c>
      <x:c r="D110" s="167" t="n">
        <x:v>2</x:v>
      </x:c>
      <x:c r="E110" s="167" t="str">
        <x:v>No</x:v>
      </x:c>
      <x:c r="F110" s="167" t="str">
        <x:v>High</x:v>
      </x:c>
      <x:c r="G110" s="167" t="str">
        <x:v>General</x:v>
      </x:c>
      <x:c r="H110" s="167" t="str">
        <x:v>Not Started</x:v>
      </x:c>
      <x:c r="I110" s="167" t="n">
        <x:v>0</x:v>
      </x:c>
      <x:c r="J110" s="168"/>
      <x:c r="K110" s="168" t="str">
        <x:f>IF(OR(H110="Mastered",J110=""),"",J110+IF(I110&gt;=5,30,IF(I110=4,14,IF(I110=3,7,IF(I110=2,3,1)))))</x:f>
      </x:c>
      <x:c r="L110" s="171" t="str"/>
      <x:c r="M110" s="171" t="str"/>
      <x:c r="N110" s="171" t="str">
        <x:v>Draft — verify in context</x:v>
      </x:c>
      <x:c r="O110" s="167" t="str">
        <x:v>https://www.wgtn.ac.nz/lals/resources/academicwordlist</x:v>
      </x:c>
    </x:row>
    <x:row r="111" ht="26" customHeight="1">
      <x:c r="A111" s="167" t="n">
        <x:v>110</x:v>
      </x:c>
      <x:c r="B111" s="167" t="str">
        <x:v>resources</x:v>
      </x:c>
      <x:c r="C111" s="170" t="str">
        <x:v>ресурси</x:v>
      </x:c>
      <x:c r="D111" s="167" t="n">
        <x:v>2</x:v>
      </x:c>
      <x:c r="E111" s="167" t="str">
        <x:v>No</x:v>
      </x:c>
      <x:c r="F111" s="167" t="str">
        <x:v>High</x:v>
      </x:c>
      <x:c r="G111" s="167" t="str">
        <x:v>General</x:v>
      </x:c>
      <x:c r="H111" s="167" t="str">
        <x:v>Not Started</x:v>
      </x:c>
      <x:c r="I111" s="167" t="n">
        <x:v>0</x:v>
      </x:c>
      <x:c r="J111" s="168"/>
      <x:c r="K111" s="168" t="str">
        <x:f>IF(OR(H111="Mastered",J111=""),"",J111+IF(I111&gt;=5,30,IF(I111=4,14,IF(I111=3,7,IF(I111=2,3,1)))))</x:f>
      </x:c>
      <x:c r="L111" s="171" t="str"/>
      <x:c r="M111" s="171" t="str"/>
      <x:c r="N111" s="171" t="str">
        <x:v>Draft — verify in context</x:v>
      </x:c>
      <x:c r="O111" s="167" t="str">
        <x:v>https://www.wgtn.ac.nz/lals/resources/academicwordlist</x:v>
      </x:c>
    </x:row>
    <x:row r="112" ht="26" customHeight="1">
      <x:c r="A112" s="167" t="n">
        <x:v>111</x:v>
      </x:c>
      <x:c r="B112" s="167" t="str">
        <x:v>restricted</x:v>
      </x:c>
      <x:c r="C112" s="170" t="str">
        <x:v>обмежений</x:v>
      </x:c>
      <x:c r="D112" s="167" t="n">
        <x:v>2</x:v>
      </x:c>
      <x:c r="E112" s="167" t="str">
        <x:v>No</x:v>
      </x:c>
      <x:c r="F112" s="167" t="str">
        <x:v>High</x:v>
      </x:c>
      <x:c r="G112" s="167" t="str">
        <x:v>General</x:v>
      </x:c>
      <x:c r="H112" s="167" t="str">
        <x:v>Not Started</x:v>
      </x:c>
      <x:c r="I112" s="167" t="n">
        <x:v>0</x:v>
      </x:c>
      <x:c r="J112" s="168"/>
      <x:c r="K112" s="168" t="str">
        <x:f>IF(OR(H112="Mastered",J112=""),"",J112+IF(I112&gt;=5,30,IF(I112=4,14,IF(I112=3,7,IF(I112=2,3,1)))))</x:f>
      </x:c>
      <x:c r="L112" s="171" t="str"/>
      <x:c r="M112" s="171" t="str"/>
      <x:c r="N112" s="171" t="str">
        <x:v>Draft — verify in context</x:v>
      </x:c>
      <x:c r="O112" s="167" t="str">
        <x:v>https://www.wgtn.ac.nz/lals/resources/academicwordlist</x:v>
      </x:c>
    </x:row>
    <x:row r="113" ht="26" customHeight="1">
      <x:c r="A113" s="167" t="n">
        <x:v>112</x:v>
      </x:c>
      <x:c r="B113" s="167" t="str">
        <x:v>security</x:v>
      </x:c>
      <x:c r="C113" s="170" t="str">
        <x:v>безпеки</x:v>
      </x:c>
      <x:c r="D113" s="167" t="n">
        <x:v>2</x:v>
      </x:c>
      <x:c r="E113" s="167" t="str">
        <x:v>No</x:v>
      </x:c>
      <x:c r="F113" s="167" t="str">
        <x:v>High</x:v>
      </x:c>
      <x:c r="G113" s="167" t="str">
        <x:v>General</x:v>
      </x:c>
      <x:c r="H113" s="167" t="str">
        <x:v>Not Started</x:v>
      </x:c>
      <x:c r="I113" s="167" t="n">
        <x:v>0</x:v>
      </x:c>
      <x:c r="J113" s="168"/>
      <x:c r="K113" s="168" t="str">
        <x:f>IF(OR(H113="Mastered",J113=""),"",J113+IF(I113&gt;=5,30,IF(I113=4,14,IF(I113=3,7,IF(I113=2,3,1)))))</x:f>
      </x:c>
      <x:c r="L113" s="171" t="str"/>
      <x:c r="M113" s="171" t="str"/>
      <x:c r="N113" s="171" t="str">
        <x:v>Draft — verify in context</x:v>
      </x:c>
      <x:c r="O113" s="167" t="str">
        <x:v>https://www.wgtn.ac.nz/lals/resources/academicwordlist</x:v>
      </x:c>
    </x:row>
    <x:row r="114" ht="26" customHeight="1">
      <x:c r="A114" s="167" t="n">
        <x:v>113</x:v>
      </x:c>
      <x:c r="B114" s="167" t="str">
        <x:v>sought</x:v>
      </x:c>
      <x:c r="C114" s="170" t="str">
        <x:v>шукав</x:v>
      </x:c>
      <x:c r="D114" s="167" t="n">
        <x:v>2</x:v>
      </x:c>
      <x:c r="E114" s="167" t="str">
        <x:v>No</x:v>
      </x:c>
      <x:c r="F114" s="167" t="str">
        <x:v>High</x:v>
      </x:c>
      <x:c r="G114" s="167" t="str">
        <x:v>General</x:v>
      </x:c>
      <x:c r="H114" s="167" t="str">
        <x:v>Not Started</x:v>
      </x:c>
      <x:c r="I114" s="167" t="n">
        <x:v>0</x:v>
      </x:c>
      <x:c r="J114" s="168"/>
      <x:c r="K114" s="168" t="str">
        <x:f>IF(OR(H114="Mastered",J114=""),"",J114+IF(I114&gt;=5,30,IF(I114=4,14,IF(I114=3,7,IF(I114=2,3,1)))))</x:f>
      </x:c>
      <x:c r="L114" s="171" t="str"/>
      <x:c r="M114" s="171" t="str"/>
      <x:c r="N114" s="171" t="str">
        <x:v>Draft — verify in context</x:v>
      </x:c>
      <x:c r="O114" s="167" t="str">
        <x:v>https://www.wgtn.ac.nz/lals/resources/academicwordlist</x:v>
      </x:c>
    </x:row>
    <x:row r="115" ht="26" customHeight="1">
      <x:c r="A115" s="167" t="n">
        <x:v>114</x:v>
      </x:c>
      <x:c r="B115" s="167" t="str">
        <x:v>select</x:v>
      </x:c>
      <x:c r="C115" s="170" t="str">
        <x:v>вибрати</x:v>
      </x:c>
      <x:c r="D115" s="167" t="n">
        <x:v>2</x:v>
      </x:c>
      <x:c r="E115" s="167" t="str">
        <x:v>No</x:v>
      </x:c>
      <x:c r="F115" s="167" t="str">
        <x:v>High</x:v>
      </x:c>
      <x:c r="G115" s="167" t="str">
        <x:v>General</x:v>
      </x:c>
      <x:c r="H115" s="167" t="str">
        <x:v>Not Started</x:v>
      </x:c>
      <x:c r="I115" s="167" t="n">
        <x:v>0</x:v>
      </x:c>
      <x:c r="J115" s="168"/>
      <x:c r="K115" s="168" t="str">
        <x:f>IF(OR(H115="Mastered",J115=""),"",J115+IF(I115&gt;=5,30,IF(I115=4,14,IF(I115=3,7,IF(I115=2,3,1)))))</x:f>
      </x:c>
      <x:c r="L115" s="171" t="str"/>
      <x:c r="M115" s="171" t="str"/>
      <x:c r="N115" s="171" t="str">
        <x:v>Draft — verify in context</x:v>
      </x:c>
      <x:c r="O115" s="167" t="str">
        <x:v>https://www.wgtn.ac.nz/lals/resources/academicwordlist</x:v>
      </x:c>
    </x:row>
    <x:row r="116" ht="26" customHeight="1">
      <x:c r="A116" s="167" t="n">
        <x:v>115</x:v>
      </x:c>
      <x:c r="B116" s="167" t="str">
        <x:v>site</x:v>
      </x:c>
      <x:c r="C116" s="170" t="str">
        <x:v>сайт</x:v>
      </x:c>
      <x:c r="D116" s="167" t="n">
        <x:v>2</x:v>
      </x:c>
      <x:c r="E116" s="167" t="str">
        <x:v>No</x:v>
      </x:c>
      <x:c r="F116" s="167" t="str">
        <x:v>High</x:v>
      </x:c>
      <x:c r="G116" s="167" t="str">
        <x:v>General</x:v>
      </x:c>
      <x:c r="H116" s="167" t="str">
        <x:v>Not Started</x:v>
      </x:c>
      <x:c r="I116" s="167" t="n">
        <x:v>0</x:v>
      </x:c>
      <x:c r="J116" s="168"/>
      <x:c r="K116" s="168" t="str">
        <x:f>IF(OR(H116="Mastered",J116=""),"",J116+IF(I116&gt;=5,30,IF(I116=4,14,IF(I116=3,7,IF(I116=2,3,1)))))</x:f>
      </x:c>
      <x:c r="L116" s="171" t="str"/>
      <x:c r="M116" s="171" t="str"/>
      <x:c r="N116" s="171" t="str">
        <x:v>Draft — verify in context</x:v>
      </x:c>
      <x:c r="O116" s="167" t="str">
        <x:v>https://www.wgtn.ac.nz/lals/resources/academicwordlist</x:v>
      </x:c>
    </x:row>
    <x:row r="117" ht="26" customHeight="1">
      <x:c r="A117" s="167" t="n">
        <x:v>116</x:v>
      </x:c>
      <x:c r="B117" s="167" t="str">
        <x:v>strategies</x:v>
      </x:c>
      <x:c r="C117" s="170" t="str">
        <x:v>стратегії</x:v>
      </x:c>
      <x:c r="D117" s="167" t="n">
        <x:v>2</x:v>
      </x:c>
      <x:c r="E117" s="167" t="str">
        <x:v>No</x:v>
      </x:c>
      <x:c r="F117" s="167" t="str">
        <x:v>High</x:v>
      </x:c>
      <x:c r="G117" s="167" t="str">
        <x:v>General</x:v>
      </x:c>
      <x:c r="H117" s="167" t="str">
        <x:v>Not Started</x:v>
      </x:c>
      <x:c r="I117" s="167" t="n">
        <x:v>0</x:v>
      </x:c>
      <x:c r="J117" s="168"/>
      <x:c r="K117" s="168" t="str">
        <x:f>IF(OR(H117="Mastered",J117=""),"",J117+IF(I117&gt;=5,30,IF(I117=4,14,IF(I117=3,7,IF(I117=2,3,1)))))</x:f>
      </x:c>
      <x:c r="L117" s="171" t="str"/>
      <x:c r="M117" s="171" t="str"/>
      <x:c r="N117" s="171" t="str">
        <x:v>Draft — verify in context</x:v>
      </x:c>
      <x:c r="O117" s="167" t="str">
        <x:v>https://www.wgtn.ac.nz/lals/resources/academicwordlist</x:v>
      </x:c>
    </x:row>
    <x:row r="118" ht="26" customHeight="1">
      <x:c r="A118" s="167" t="n">
        <x:v>117</x:v>
      </x:c>
      <x:c r="B118" s="167" t="str">
        <x:v>survey</x:v>
      </x:c>
      <x:c r="C118" s="170" t="str">
        <x:v>опитування</x:v>
      </x:c>
      <x:c r="D118" s="167" t="n">
        <x:v>2</x:v>
      </x:c>
      <x:c r="E118" s="167" t="str">
        <x:v>No</x:v>
      </x:c>
      <x:c r="F118" s="167" t="str">
        <x:v>High</x:v>
      </x:c>
      <x:c r="G118" s="167" t="str">
        <x:v>General</x:v>
      </x:c>
      <x:c r="H118" s="167" t="str">
        <x:v>Not Started</x:v>
      </x:c>
      <x:c r="I118" s="167" t="n">
        <x:v>0</x:v>
      </x:c>
      <x:c r="J118" s="168"/>
      <x:c r="K118" s="168" t="str">
        <x:f>IF(OR(H118="Mastered",J118=""),"",J118+IF(I118&gt;=5,30,IF(I118=4,14,IF(I118=3,7,IF(I118=2,3,1)))))</x:f>
      </x:c>
      <x:c r="L118" s="171" t="str"/>
      <x:c r="M118" s="171" t="str"/>
      <x:c r="N118" s="171" t="str">
        <x:v>Draft — verify in context</x:v>
      </x:c>
      <x:c r="O118" s="167" t="str">
        <x:v>https://www.wgtn.ac.nz/lals/resources/academicwordlist</x:v>
      </x:c>
    </x:row>
    <x:row r="119" ht="26" customHeight="1">
      <x:c r="A119" s="167" t="n">
        <x:v>118</x:v>
      </x:c>
      <x:c r="B119" s="167" t="str">
        <x:v>text</x:v>
      </x:c>
      <x:c r="C119" s="170" t="str">
        <x:v>текст</x:v>
      </x:c>
      <x:c r="D119" s="167" t="n">
        <x:v>2</x:v>
      </x:c>
      <x:c r="E119" s="167" t="str">
        <x:v>No</x:v>
      </x:c>
      <x:c r="F119" s="167" t="str">
        <x:v>High</x:v>
      </x:c>
      <x:c r="G119" s="167" t="str">
        <x:v>General</x:v>
      </x:c>
      <x:c r="H119" s="167" t="str">
        <x:v>Not Started</x:v>
      </x:c>
      <x:c r="I119" s="167" t="n">
        <x:v>0</x:v>
      </x:c>
      <x:c r="J119" s="168"/>
      <x:c r="K119" s="168" t="str">
        <x:f>IF(OR(H119="Mastered",J119=""),"",J119+IF(I119&gt;=5,30,IF(I119=4,14,IF(I119=3,7,IF(I119=2,3,1)))))</x:f>
      </x:c>
      <x:c r="L119" s="171" t="str"/>
      <x:c r="M119" s="171" t="str"/>
      <x:c r="N119" s="171" t="str">
        <x:v>Draft — verify in context</x:v>
      </x:c>
      <x:c r="O119" s="167" t="str">
        <x:v>https://www.wgtn.ac.nz/lals/resources/academicwordlist</x:v>
      </x:c>
    </x:row>
    <x:row r="120" ht="26" customHeight="1">
      <x:c r="A120" s="167" t="n">
        <x:v>119</x:v>
      </x:c>
      <x:c r="B120" s="167" t="str">
        <x:v>traditional</x:v>
      </x:c>
      <x:c r="C120" s="170" t="str">
        <x:v>традиційний</x:v>
      </x:c>
      <x:c r="D120" s="167" t="n">
        <x:v>2</x:v>
      </x:c>
      <x:c r="E120" s="167" t="str">
        <x:v>No</x:v>
      </x:c>
      <x:c r="F120" s="167" t="str">
        <x:v>High</x:v>
      </x:c>
      <x:c r="G120" s="167" t="str">
        <x:v>General</x:v>
      </x:c>
      <x:c r="H120" s="167" t="str">
        <x:v>Not Started</x:v>
      </x:c>
      <x:c r="I120" s="167" t="n">
        <x:v>0</x:v>
      </x:c>
      <x:c r="J120" s="168"/>
      <x:c r="K120" s="168" t="str">
        <x:f>IF(OR(H120="Mastered",J120=""),"",J120+IF(I120&gt;=5,30,IF(I120=4,14,IF(I120=3,7,IF(I120=2,3,1)))))</x:f>
      </x:c>
      <x:c r="L120" s="171" t="str"/>
      <x:c r="M120" s="171" t="str"/>
      <x:c r="N120" s="171" t="str">
        <x:v>Draft — verify in context</x:v>
      </x:c>
      <x:c r="O120" s="167" t="str">
        <x:v>https://www.wgtn.ac.nz/lals/resources/academicwordlist</x:v>
      </x:c>
    </x:row>
    <x:row r="121" ht="26" customHeight="1">
      <x:c r="A121" s="167" t="n">
        <x:v>120</x:v>
      </x:c>
      <x:c r="B121" s="167" t="str">
        <x:v>transfer</x:v>
      </x:c>
      <x:c r="C121" s="170" t="str">
        <x:v>передача</x:v>
      </x:c>
      <x:c r="D121" s="167" t="n">
        <x:v>2</x:v>
      </x:c>
      <x:c r="E121" s="167" t="str">
        <x:v>No</x:v>
      </x:c>
      <x:c r="F121" s="167" t="str">
        <x:v>High</x:v>
      </x:c>
      <x:c r="G121" s="167" t="str">
        <x:v>General</x:v>
      </x:c>
      <x:c r="H121" s="167" t="str">
        <x:v>Not Started</x:v>
      </x:c>
      <x:c r="I121" s="167" t="n">
        <x:v>0</x:v>
      </x:c>
      <x:c r="J121" s="168"/>
      <x:c r="K121" s="168" t="str">
        <x:f>IF(OR(H121="Mastered",J121=""),"",J121+IF(I121&gt;=5,30,IF(I121=4,14,IF(I121=3,7,IF(I121=2,3,1)))))</x:f>
      </x:c>
      <x:c r="L121" s="171" t="str"/>
      <x:c r="M121" s="171" t="str"/>
      <x:c r="N121" s="171" t="str">
        <x:v>Draft — verify in context</x:v>
      </x:c>
      <x:c r="O121" s="167" t="str">
        <x:v>https://www.wgtn.ac.nz/lals/resources/academicwordlist</x:v>
      </x:c>
    </x:row>
    <x:row r="122" ht="26" customHeight="1">
      <x:c r="A122" s="167" t="n">
        <x:v>121</x:v>
      </x:c>
      <x:c r="B122" s="167" t="str">
        <x:v>alternative</x:v>
      </x:c>
      <x:c r="C122" s="170" t="str">
        <x:v>альтернатива</x:v>
      </x:c>
      <x:c r="D122" s="167" t="n">
        <x:v>3</x:v>
      </x:c>
      <x:c r="E122" s="167" t="str">
        <x:v>No</x:v>
      </x:c>
      <x:c r="F122" s="167" t="str">
        <x:v>High</x:v>
      </x:c>
      <x:c r="G122" s="167" t="str">
        <x:v>General</x:v>
      </x:c>
      <x:c r="H122" s="167" t="str">
        <x:v>Not Started</x:v>
      </x:c>
      <x:c r="I122" s="167" t="n">
        <x:v>0</x:v>
      </x:c>
      <x:c r="J122" s="168"/>
      <x:c r="K122" s="168" t="str">
        <x:f>IF(OR(H122="Mastered",J122=""),"",J122+IF(I122&gt;=5,30,IF(I122=4,14,IF(I122=3,7,IF(I122=2,3,1)))))</x:f>
      </x:c>
      <x:c r="L122" s="171" t="str"/>
      <x:c r="M122" s="171" t="str"/>
      <x:c r="N122" s="171" t="str">
        <x:v>Draft — verify in context</x:v>
      </x:c>
      <x:c r="O122" s="167" t="str">
        <x:v>https://www.wgtn.ac.nz/lals/resources/academicwordlist</x:v>
      </x:c>
    </x:row>
    <x:row r="123" ht="26" customHeight="1">
      <x:c r="A123" s="167" t="n">
        <x:v>122</x:v>
      </x:c>
      <x:c r="B123" s="167" t="str">
        <x:v>circumstances</x:v>
      </x:c>
      <x:c r="C123" s="170" t="str">
        <x:v>обставини</x:v>
      </x:c>
      <x:c r="D123" s="167" t="n">
        <x:v>3</x:v>
      </x:c>
      <x:c r="E123" s="167" t="str">
        <x:v>No</x:v>
      </x:c>
      <x:c r="F123" s="167" t="str">
        <x:v>High</x:v>
      </x:c>
      <x:c r="G123" s="167" t="str">
        <x:v>General</x:v>
      </x:c>
      <x:c r="H123" s="167" t="str">
        <x:v>Not Started</x:v>
      </x:c>
      <x:c r="I123" s="167" t="n">
        <x:v>0</x:v>
      </x:c>
      <x:c r="J123" s="168"/>
      <x:c r="K123" s="168" t="str">
        <x:f>IF(OR(H123="Mastered",J123=""),"",J123+IF(I123&gt;=5,30,IF(I123=4,14,IF(I123=3,7,IF(I123=2,3,1)))))</x:f>
      </x:c>
      <x:c r="L123" s="171" t="str"/>
      <x:c r="M123" s="171" t="str"/>
      <x:c r="N123" s="171" t="str">
        <x:v>Draft — verify in context</x:v>
      </x:c>
      <x:c r="O123" s="167" t="str">
        <x:v>https://www.wgtn.ac.nz/lals/resources/academicwordlist</x:v>
      </x:c>
    </x:row>
    <x:row r="124" ht="26" customHeight="1">
      <x:c r="A124" s="167" t="n">
        <x:v>123</x:v>
      </x:c>
      <x:c r="B124" s="167" t="str">
        <x:v>comments</x:v>
      </x:c>
      <x:c r="C124" s="170" t="str">
        <x:v>коментарі</x:v>
      </x:c>
      <x:c r="D124" s="167" t="n">
        <x:v>3</x:v>
      </x:c>
      <x:c r="E124" s="167" t="str">
        <x:v>No</x:v>
      </x:c>
      <x:c r="F124" s="167" t="str">
        <x:v>High</x:v>
      </x:c>
      <x:c r="G124" s="167" t="str">
        <x:v>General</x:v>
      </x:c>
      <x:c r="H124" s="167" t="str">
        <x:v>Not Started</x:v>
      </x:c>
      <x:c r="I124" s="167" t="n">
        <x:v>0</x:v>
      </x:c>
      <x:c r="J124" s="168"/>
      <x:c r="K124" s="168" t="str">
        <x:f>IF(OR(H124="Mastered",J124=""),"",J124+IF(I124&gt;=5,30,IF(I124=4,14,IF(I124=3,7,IF(I124=2,3,1)))))</x:f>
      </x:c>
      <x:c r="L124" s="171" t="str"/>
      <x:c r="M124" s="171" t="str"/>
      <x:c r="N124" s="171" t="str">
        <x:v>Draft — verify in context</x:v>
      </x:c>
      <x:c r="O124" s="167" t="str">
        <x:v>https://www.wgtn.ac.nz/lals/resources/academicwordlist</x:v>
      </x:c>
    </x:row>
    <x:row r="125" ht="26" customHeight="1">
      <x:c r="A125" s="167" t="n">
        <x:v>124</x:v>
      </x:c>
      <x:c r="B125" s="167" t="str">
        <x:v>compensation</x:v>
      </x:c>
      <x:c r="C125" s="170" t="str">
        <x:v>компенсація</x:v>
      </x:c>
      <x:c r="D125" s="167" t="n">
        <x:v>3</x:v>
      </x:c>
      <x:c r="E125" s="167" t="str">
        <x:v>Yes</x:v>
      </x:c>
      <x:c r="F125" s="167" t="str">
        <x:v>High</x:v>
      </x:c>
      <x:c r="G125" s="167" t="str">
        <x:v>General</x:v>
      </x:c>
      <x:c r="H125" s="167" t="str">
        <x:v>Not Started</x:v>
      </x:c>
      <x:c r="I125" s="167" t="n">
        <x:v>0</x:v>
      </x:c>
      <x:c r="J125" s="168"/>
      <x:c r="K125" s="168" t="str">
        <x:f>IF(OR(H125="Mastered",J125=""),"",J125+IF(I125&gt;=5,30,IF(I125=4,14,IF(I125=3,7,IF(I125=2,3,1)))))</x:f>
      </x:c>
      <x:c r="L125" s="171" t="str"/>
      <x:c r="M125" s="171" t="str"/>
      <x:c r="N125" s="171" t="str">
        <x:v>Draft — verify in context</x:v>
      </x:c>
      <x:c r="O125" s="167" t="str">
        <x:v>https://www.wgtn.ac.nz/lals/resources/academicwordlist</x:v>
      </x:c>
    </x:row>
    <x:row r="126" ht="26" customHeight="1">
      <x:c r="A126" s="167" t="n">
        <x:v>125</x:v>
      </x:c>
      <x:c r="B126" s="167" t="str">
        <x:v>components</x:v>
      </x:c>
      <x:c r="C126" s="170" t="str">
        <x:v>компоненти</x:v>
      </x:c>
      <x:c r="D126" s="167" t="n">
        <x:v>3</x:v>
      </x:c>
      <x:c r="E126" s="167" t="str">
        <x:v>No</x:v>
      </x:c>
      <x:c r="F126" s="167" t="str">
        <x:v>High</x:v>
      </x:c>
      <x:c r="G126" s="167" t="str">
        <x:v>General</x:v>
      </x:c>
      <x:c r="H126" s="167" t="str">
        <x:v>Not Started</x:v>
      </x:c>
      <x:c r="I126" s="167" t="n">
        <x:v>0</x:v>
      </x:c>
      <x:c r="J126" s="168"/>
      <x:c r="K126" s="168" t="str">
        <x:f>IF(OR(H126="Mastered",J126=""),"",J126+IF(I126&gt;=5,30,IF(I126=4,14,IF(I126=3,7,IF(I126=2,3,1)))))</x:f>
      </x:c>
      <x:c r="L126" s="171" t="str"/>
      <x:c r="M126" s="171" t="str"/>
      <x:c r="N126" s="171" t="str">
        <x:v>Draft — verify in context</x:v>
      </x:c>
      <x:c r="O126" s="167" t="str">
        <x:v>https://www.wgtn.ac.nz/lals/resources/academicwordlist</x:v>
      </x:c>
    </x:row>
    <x:row r="127" ht="26" customHeight="1">
      <x:c r="A127" s="167" t="n">
        <x:v>126</x:v>
      </x:c>
      <x:c r="B127" s="167" t="str">
        <x:v>consent</x:v>
      </x:c>
      <x:c r="C127" s="170" t="str">
        <x:v>згода</x:v>
      </x:c>
      <x:c r="D127" s="167" t="n">
        <x:v>3</x:v>
      </x:c>
      <x:c r="E127" s="167" t="str">
        <x:v>Yes</x:v>
      </x:c>
      <x:c r="F127" s="167" t="str">
        <x:v>High</x:v>
      </x:c>
      <x:c r="G127" s="167" t="str">
        <x:v>General</x:v>
      </x:c>
      <x:c r="H127" s="167" t="str">
        <x:v>Not Started</x:v>
      </x:c>
      <x:c r="I127" s="167" t="n">
        <x:v>0</x:v>
      </x:c>
      <x:c r="J127" s="168"/>
      <x:c r="K127" s="168" t="str">
        <x:f>IF(OR(H127="Mastered",J127=""),"",J127+IF(I127&gt;=5,30,IF(I127=4,14,IF(I127=3,7,IF(I127=2,3,1)))))</x:f>
      </x:c>
      <x:c r="L127" s="171" t="str"/>
      <x:c r="M127" s="171" t="str"/>
      <x:c r="N127" s="171" t="str">
        <x:v>Draft — verify in context</x:v>
      </x:c>
      <x:c r="O127" s="167" t="str">
        <x:v>https://www.wgtn.ac.nz/lals/resources/academicwordlist</x:v>
      </x:c>
    </x:row>
    <x:row r="128" ht="26" customHeight="1">
      <x:c r="A128" s="167" t="n">
        <x:v>127</x:v>
      </x:c>
      <x:c r="B128" s="167" t="str">
        <x:v>considerable</x:v>
      </x:c>
      <x:c r="C128" s="170" t="str">
        <x:v>значний</x:v>
      </x:c>
      <x:c r="D128" s="167" t="n">
        <x:v>3</x:v>
      </x:c>
      <x:c r="E128" s="167" t="str">
        <x:v>No</x:v>
      </x:c>
      <x:c r="F128" s="167" t="str">
        <x:v>High</x:v>
      </x:c>
      <x:c r="G128" s="167" t="str">
        <x:v>General</x:v>
      </x:c>
      <x:c r="H128" s="167" t="str">
        <x:v>Not Started</x:v>
      </x:c>
      <x:c r="I128" s="167" t="n">
        <x:v>0</x:v>
      </x:c>
      <x:c r="J128" s="168"/>
      <x:c r="K128" s="168" t="str">
        <x:f>IF(OR(H128="Mastered",J128=""),"",J128+IF(I128&gt;=5,30,IF(I128=4,14,IF(I128=3,7,IF(I128=2,3,1)))))</x:f>
      </x:c>
      <x:c r="L128" s="171" t="str"/>
      <x:c r="M128" s="171" t="str"/>
      <x:c r="N128" s="171" t="str">
        <x:v>Draft — verify in context</x:v>
      </x:c>
      <x:c r="O128" s="167" t="str">
        <x:v>https://www.wgtn.ac.nz/lals/resources/academicwordlist</x:v>
      </x:c>
    </x:row>
    <x:row r="129" ht="26" customHeight="1">
      <x:c r="A129" s="167" t="n">
        <x:v>128</x:v>
      </x:c>
      <x:c r="B129" s="167" t="str">
        <x:v>constant</x:v>
      </x:c>
      <x:c r="C129" s="170" t="str">
        <x:v>постійний</x:v>
      </x:c>
      <x:c r="D129" s="167" t="n">
        <x:v>3</x:v>
      </x:c>
      <x:c r="E129" s="167" t="str">
        <x:v>No</x:v>
      </x:c>
      <x:c r="F129" s="167" t="str">
        <x:v>High</x:v>
      </x:c>
      <x:c r="G129" s="167" t="str">
        <x:v>General</x:v>
      </x:c>
      <x:c r="H129" s="167" t="str">
        <x:v>Not Started</x:v>
      </x:c>
      <x:c r="I129" s="167" t="n">
        <x:v>0</x:v>
      </x:c>
      <x:c r="J129" s="168"/>
      <x:c r="K129" s="168" t="str">
        <x:f>IF(OR(H129="Mastered",J129=""),"",J129+IF(I129&gt;=5,30,IF(I129=4,14,IF(I129=3,7,IF(I129=2,3,1)))))</x:f>
      </x:c>
      <x:c r="L129" s="171" t="str"/>
      <x:c r="M129" s="171" t="str"/>
      <x:c r="N129" s="171" t="str">
        <x:v>Draft — verify in context</x:v>
      </x:c>
      <x:c r="O129" s="167" t="str">
        <x:v>https://www.wgtn.ac.nz/lals/resources/academicwordlist</x:v>
      </x:c>
    </x:row>
    <x:row r="130" ht="26" customHeight="1">
      <x:c r="A130" s="167" t="n">
        <x:v>129</x:v>
      </x:c>
      <x:c r="B130" s="167" t="str">
        <x:v>constraints</x:v>
      </x:c>
      <x:c r="C130" s="170" t="str">
        <x:v>обмеження</x:v>
      </x:c>
      <x:c r="D130" s="167" t="n">
        <x:v>3</x:v>
      </x:c>
      <x:c r="E130" s="167" t="str">
        <x:v>No</x:v>
      </x:c>
      <x:c r="F130" s="167" t="str">
        <x:v>High</x:v>
      </x:c>
      <x:c r="G130" s="167" t="str">
        <x:v>General</x:v>
      </x:c>
      <x:c r="H130" s="167" t="str">
        <x:v>Not Started</x:v>
      </x:c>
      <x:c r="I130" s="167" t="n">
        <x:v>0</x:v>
      </x:c>
      <x:c r="J130" s="168"/>
      <x:c r="K130" s="168" t="str">
        <x:f>IF(OR(H130="Mastered",J130=""),"",J130+IF(I130&gt;=5,30,IF(I130=4,14,IF(I130=3,7,IF(I130=2,3,1)))))</x:f>
      </x:c>
      <x:c r="L130" s="171" t="str"/>
      <x:c r="M130" s="171" t="str"/>
      <x:c r="N130" s="171" t="str">
        <x:v>Draft — verify in context</x:v>
      </x:c>
      <x:c r="O130" s="167" t="str">
        <x:v>https://www.wgtn.ac.nz/lals/resources/academicwordlist</x:v>
      </x:c>
    </x:row>
    <x:row r="131" ht="26" customHeight="1">
      <x:c r="A131" s="167" t="n">
        <x:v>130</x:v>
      </x:c>
      <x:c r="B131" s="167" t="str">
        <x:v>contribution</x:v>
      </x:c>
      <x:c r="C131" s="170" t="str">
        <x:v>внесок</x:v>
      </x:c>
      <x:c r="D131" s="167" t="n">
        <x:v>3</x:v>
      </x:c>
      <x:c r="E131" s="167" t="str">
        <x:v>No</x:v>
      </x:c>
      <x:c r="F131" s="167" t="str">
        <x:v>High</x:v>
      </x:c>
      <x:c r="G131" s="167" t="str">
        <x:v>General</x:v>
      </x:c>
      <x:c r="H131" s="167" t="str">
        <x:v>Not Started</x:v>
      </x:c>
      <x:c r="I131" s="167" t="n">
        <x:v>0</x:v>
      </x:c>
      <x:c r="J131" s="168"/>
      <x:c r="K131" s="168" t="str">
        <x:f>IF(OR(H131="Mastered",J131=""),"",J131+IF(I131&gt;=5,30,IF(I131=4,14,IF(I131=3,7,IF(I131=2,3,1)))))</x:f>
      </x:c>
      <x:c r="L131" s="171" t="str"/>
      <x:c r="M131" s="171" t="str"/>
      <x:c r="N131" s="171" t="str">
        <x:v>Draft — verify in context</x:v>
      </x:c>
      <x:c r="O131" s="167" t="str">
        <x:v>https://www.wgtn.ac.nz/lals/resources/academicwordlist</x:v>
      </x:c>
    </x:row>
    <x:row r="132" ht="26" customHeight="1">
      <x:c r="A132" s="167" t="n">
        <x:v>131</x:v>
      </x:c>
      <x:c r="B132" s="167" t="str">
        <x:v>convention</x:v>
      </x:c>
      <x:c r="C132" s="170" t="str">
        <x:v>конвенції</x:v>
      </x:c>
      <x:c r="D132" s="167" t="n">
        <x:v>3</x:v>
      </x:c>
      <x:c r="E132" s="167" t="str">
        <x:v>No</x:v>
      </x:c>
      <x:c r="F132" s="167" t="str">
        <x:v>High</x:v>
      </x:c>
      <x:c r="G132" s="167" t="str">
        <x:v>General</x:v>
      </x:c>
      <x:c r="H132" s="167" t="str">
        <x:v>Not Started</x:v>
      </x:c>
      <x:c r="I132" s="167" t="n">
        <x:v>0</x:v>
      </x:c>
      <x:c r="J132" s="168"/>
      <x:c r="K132" s="168" t="str">
        <x:f>IF(OR(H132="Mastered",J132=""),"",J132+IF(I132&gt;=5,30,IF(I132=4,14,IF(I132=3,7,IF(I132=2,3,1)))))</x:f>
      </x:c>
      <x:c r="L132" s="171" t="str"/>
      <x:c r="M132" s="171" t="str"/>
      <x:c r="N132" s="171" t="str">
        <x:v>Draft — verify in context</x:v>
      </x:c>
      <x:c r="O132" s="167" t="str">
        <x:v>https://www.wgtn.ac.nz/lals/resources/academicwordlist</x:v>
      </x:c>
    </x:row>
    <x:row r="133" ht="26" customHeight="1">
      <x:c r="A133" s="167" t="n">
        <x:v>132</x:v>
      </x:c>
      <x:c r="B133" s="167" t="str">
        <x:v>coordination</x:v>
      </x:c>
      <x:c r="C133" s="170" t="str">
        <x:v>координація</x:v>
      </x:c>
      <x:c r="D133" s="167" t="n">
        <x:v>3</x:v>
      </x:c>
      <x:c r="E133" s="167" t="str">
        <x:v>Yes</x:v>
      </x:c>
      <x:c r="F133" s="167" t="str">
        <x:v>High</x:v>
      </x:c>
      <x:c r="G133" s="167" t="str">
        <x:v>General</x:v>
      </x:c>
      <x:c r="H133" s="167" t="str">
        <x:v>Not Started</x:v>
      </x:c>
      <x:c r="I133" s="167" t="n">
        <x:v>0</x:v>
      </x:c>
      <x:c r="J133" s="168"/>
      <x:c r="K133" s="168" t="str">
        <x:f>IF(OR(H133="Mastered",J133=""),"",J133+IF(I133&gt;=5,30,IF(I133=4,14,IF(I133=3,7,IF(I133=2,3,1)))))</x:f>
      </x:c>
      <x:c r="L133" s="171" t="str"/>
      <x:c r="M133" s="171" t="str"/>
      <x:c r="N133" s="171" t="str">
        <x:v>Draft — verify in context</x:v>
      </x:c>
      <x:c r="O133" s="167" t="str">
        <x:v>https://www.wgtn.ac.nz/lals/resources/academicwordlist</x:v>
      </x:c>
    </x:row>
    <x:row r="134" ht="26" customHeight="1">
      <x:c r="A134" s="167" t="n">
        <x:v>133</x:v>
      </x:c>
      <x:c r="B134" s="167" t="str">
        <x:v>core</x:v>
      </x:c>
      <x:c r="C134" s="170" t="str">
        <x:v>ядро</x:v>
      </x:c>
      <x:c r="D134" s="167" t="n">
        <x:v>3</x:v>
      </x:c>
      <x:c r="E134" s="167" t="str">
        <x:v>No</x:v>
      </x:c>
      <x:c r="F134" s="167" t="str">
        <x:v>High</x:v>
      </x:c>
      <x:c r="G134" s="167" t="str">
        <x:v>General</x:v>
      </x:c>
      <x:c r="H134" s="167" t="str">
        <x:v>Not Started</x:v>
      </x:c>
      <x:c r="I134" s="167" t="n">
        <x:v>0</x:v>
      </x:c>
      <x:c r="J134" s="168"/>
      <x:c r="K134" s="168" t="str">
        <x:f>IF(OR(H134="Mastered",J134=""),"",J134+IF(I134&gt;=5,30,IF(I134=4,14,IF(I134=3,7,IF(I134=2,3,1)))))</x:f>
      </x:c>
      <x:c r="L134" s="171" t="str"/>
      <x:c r="M134" s="171" t="str"/>
      <x:c r="N134" s="171" t="str">
        <x:v>Draft — verify in context</x:v>
      </x:c>
      <x:c r="O134" s="167" t="str">
        <x:v>https://www.wgtn.ac.nz/lals/resources/academicwordlist</x:v>
      </x:c>
    </x:row>
    <x:row r="135" ht="26" customHeight="1">
      <x:c r="A135" s="167" t="n">
        <x:v>134</x:v>
      </x:c>
      <x:c r="B135" s="167" t="str">
        <x:v>corporate</x:v>
      </x:c>
      <x:c r="C135" s="170" t="str">
        <x:v>корпоративний</x:v>
      </x:c>
      <x:c r="D135" s="167" t="n">
        <x:v>3</x:v>
      </x:c>
      <x:c r="E135" s="167" t="str">
        <x:v>No</x:v>
      </x:c>
      <x:c r="F135" s="167" t="str">
        <x:v>High</x:v>
      </x:c>
      <x:c r="G135" s="167" t="str">
        <x:v>General</x:v>
      </x:c>
      <x:c r="H135" s="167" t="str">
        <x:v>Not Started</x:v>
      </x:c>
      <x:c r="I135" s="167" t="n">
        <x:v>0</x:v>
      </x:c>
      <x:c r="J135" s="168"/>
      <x:c r="K135" s="168" t="str">
        <x:f>IF(OR(H135="Mastered",J135=""),"",J135+IF(I135&gt;=5,30,IF(I135=4,14,IF(I135=3,7,IF(I135=2,3,1)))))</x:f>
      </x:c>
      <x:c r="L135" s="171" t="str"/>
      <x:c r="M135" s="171" t="str"/>
      <x:c r="N135" s="171" t="str">
        <x:v>Draft — verify in context</x:v>
      </x:c>
      <x:c r="O135" s="167" t="str">
        <x:v>https://www.wgtn.ac.nz/lals/resources/academicwordlist</x:v>
      </x:c>
    </x:row>
    <x:row r="136" ht="26" customHeight="1">
      <x:c r="A136" s="167" t="n">
        <x:v>135</x:v>
      </x:c>
      <x:c r="B136" s="167" t="str">
        <x:v>corresponding</x:v>
      </x:c>
      <x:c r="C136" s="170" t="str">
        <x:v>відповідний</x:v>
      </x:c>
      <x:c r="D136" s="167" t="n">
        <x:v>3</x:v>
      </x:c>
      <x:c r="E136" s="167" t="str">
        <x:v>Yes</x:v>
      </x:c>
      <x:c r="F136" s="167" t="str">
        <x:v>High</x:v>
      </x:c>
      <x:c r="G136" s="167" t="str">
        <x:v>General</x:v>
      </x:c>
      <x:c r="H136" s="167" t="str">
        <x:v>Not Started</x:v>
      </x:c>
      <x:c r="I136" s="167" t="n">
        <x:v>0</x:v>
      </x:c>
      <x:c r="J136" s="168"/>
      <x:c r="K136" s="168" t="str">
        <x:f>IF(OR(H136="Mastered",J136=""),"",J136+IF(I136&gt;=5,30,IF(I136=4,14,IF(I136=3,7,IF(I136=2,3,1)))))</x:f>
      </x:c>
      <x:c r="L136" s="171" t="str"/>
      <x:c r="M136" s="171" t="str"/>
      <x:c r="N136" s="171" t="str">
        <x:v>Draft — verify in context</x:v>
      </x:c>
      <x:c r="O136" s="167" t="str">
        <x:v>https://www.wgtn.ac.nz/lals/resources/academicwordlist</x:v>
      </x:c>
    </x:row>
    <x:row r="137" ht="26" customHeight="1">
      <x:c r="A137" s="167" t="n">
        <x:v>136</x:v>
      </x:c>
      <x:c r="B137" s="167" t="str">
        <x:v>criteria</x:v>
      </x:c>
      <x:c r="C137" s="170" t="str">
        <x:v>критерії</x:v>
      </x:c>
      <x:c r="D137" s="167" t="n">
        <x:v>3</x:v>
      </x:c>
      <x:c r="E137" s="167" t="str">
        <x:v>No</x:v>
      </x:c>
      <x:c r="F137" s="167" t="str">
        <x:v>High</x:v>
      </x:c>
      <x:c r="G137" s="167" t="str">
        <x:v>General</x:v>
      </x:c>
      <x:c r="H137" s="167" t="str">
        <x:v>Not Started</x:v>
      </x:c>
      <x:c r="I137" s="167" t="n">
        <x:v>0</x:v>
      </x:c>
      <x:c r="J137" s="168"/>
      <x:c r="K137" s="168" t="str">
        <x:f>IF(OR(H137="Mastered",J137=""),"",J137+IF(I137&gt;=5,30,IF(I137=4,14,IF(I137=3,7,IF(I137=2,3,1)))))</x:f>
      </x:c>
      <x:c r="L137" s="171" t="str"/>
      <x:c r="M137" s="171" t="str"/>
      <x:c r="N137" s="171" t="str">
        <x:v>Draft — verify in context</x:v>
      </x:c>
      <x:c r="O137" s="167" t="str">
        <x:v>https://www.wgtn.ac.nz/lals/resources/academicwordlist</x:v>
      </x:c>
    </x:row>
    <x:row r="138" ht="26" customHeight="1">
      <x:c r="A138" s="167" t="n">
        <x:v>137</x:v>
      </x:c>
      <x:c r="B138" s="167" t="str">
        <x:v>deduction</x:v>
      </x:c>
      <x:c r="C138" s="170" t="str">
        <x:v>дедукція</x:v>
      </x:c>
      <x:c r="D138" s="167" t="n">
        <x:v>3</x:v>
      </x:c>
      <x:c r="E138" s="167" t="str">
        <x:v>No</x:v>
      </x:c>
      <x:c r="F138" s="167" t="str">
        <x:v>High</x:v>
      </x:c>
      <x:c r="G138" s="167" t="str">
        <x:v>General</x:v>
      </x:c>
      <x:c r="H138" s="167" t="str">
        <x:v>Not Started</x:v>
      </x:c>
      <x:c r="I138" s="167" t="n">
        <x:v>0</x:v>
      </x:c>
      <x:c r="J138" s="168"/>
      <x:c r="K138" s="168" t="str">
        <x:f>IF(OR(H138="Mastered",J138=""),"",J138+IF(I138&gt;=5,30,IF(I138=4,14,IF(I138=3,7,IF(I138=2,3,1)))))</x:f>
      </x:c>
      <x:c r="L138" s="171" t="str"/>
      <x:c r="M138" s="171" t="str"/>
      <x:c r="N138" s="171" t="str">
        <x:v>Draft — verify in context</x:v>
      </x:c>
      <x:c r="O138" s="167" t="str">
        <x:v>https://www.wgtn.ac.nz/lals/resources/academicwordlist</x:v>
      </x:c>
    </x:row>
    <x:row r="139" ht="26" customHeight="1">
      <x:c r="A139" s="167" t="n">
        <x:v>138</x:v>
      </x:c>
      <x:c r="B139" s="167" t="str">
        <x:v>demonstrate</x:v>
      </x:c>
      <x:c r="C139" s="170" t="str">
        <x:v>продемонструвати</x:v>
      </x:c>
      <x:c r="D139" s="167" t="n">
        <x:v>3</x:v>
      </x:c>
      <x:c r="E139" s="167" t="str">
        <x:v>No</x:v>
      </x:c>
      <x:c r="F139" s="167" t="str">
        <x:v>High</x:v>
      </x:c>
      <x:c r="G139" s="167" t="str">
        <x:v>General</x:v>
      </x:c>
      <x:c r="H139" s="167" t="str">
        <x:v>Not Started</x:v>
      </x:c>
      <x:c r="I139" s="167" t="n">
        <x:v>0</x:v>
      </x:c>
      <x:c r="J139" s="168"/>
      <x:c r="K139" s="168" t="str">
        <x:f>IF(OR(H139="Mastered",J139=""),"",J139+IF(I139&gt;=5,30,IF(I139=4,14,IF(I139=3,7,IF(I139=2,3,1)))))</x:f>
      </x:c>
      <x:c r="L139" s="171" t="str"/>
      <x:c r="M139" s="171" t="str"/>
      <x:c r="N139" s="171" t="str">
        <x:v>Draft — verify in context</x:v>
      </x:c>
      <x:c r="O139" s="167" t="str">
        <x:v>https://www.wgtn.ac.nz/lals/resources/academicwordlist</x:v>
      </x:c>
    </x:row>
    <x:row r="140" ht="26" customHeight="1">
      <x:c r="A140" s="167" t="n">
        <x:v>139</x:v>
      </x:c>
      <x:c r="B140" s="167" t="str">
        <x:v>document</x:v>
      </x:c>
      <x:c r="C140" s="170" t="str">
        <x:v>документ</x:v>
      </x:c>
      <x:c r="D140" s="167" t="n">
        <x:v>3</x:v>
      </x:c>
      <x:c r="E140" s="167" t="str">
        <x:v>No</x:v>
      </x:c>
      <x:c r="F140" s="167" t="str">
        <x:v>High</x:v>
      </x:c>
      <x:c r="G140" s="167" t="str">
        <x:v>General</x:v>
      </x:c>
      <x:c r="H140" s="167" t="str">
        <x:v>Not Started</x:v>
      </x:c>
      <x:c r="I140" s="167" t="n">
        <x:v>0</x:v>
      </x:c>
      <x:c r="J140" s="168"/>
      <x:c r="K140" s="168" t="str">
        <x:f>IF(OR(H140="Mastered",J140=""),"",J140+IF(I140&gt;=5,30,IF(I140=4,14,IF(I140=3,7,IF(I140=2,3,1)))))</x:f>
      </x:c>
      <x:c r="L140" s="171" t="str"/>
      <x:c r="M140" s="171" t="str"/>
      <x:c r="N140" s="171" t="str">
        <x:v>Draft — verify in context</x:v>
      </x:c>
      <x:c r="O140" s="167" t="str">
        <x:v>https://www.wgtn.ac.nz/lals/resources/academicwordlist</x:v>
      </x:c>
    </x:row>
    <x:row r="141" ht="26" customHeight="1">
      <x:c r="A141" s="167" t="n">
        <x:v>140</x:v>
      </x:c>
      <x:c r="B141" s="167" t="str">
        <x:v>dominant</x:v>
      </x:c>
      <x:c r="C141" s="170" t="str">
        <x:v>домінуючий</x:v>
      </x:c>
      <x:c r="D141" s="167" t="n">
        <x:v>3</x:v>
      </x:c>
      <x:c r="E141" s="167" t="str">
        <x:v>No</x:v>
      </x:c>
      <x:c r="F141" s="167" t="str">
        <x:v>High</x:v>
      </x:c>
      <x:c r="G141" s="167" t="str">
        <x:v>General</x:v>
      </x:c>
      <x:c r="H141" s="167" t="str">
        <x:v>Not Started</x:v>
      </x:c>
      <x:c r="I141" s="167" t="n">
        <x:v>0</x:v>
      </x:c>
      <x:c r="J141" s="168"/>
      <x:c r="K141" s="168" t="str">
        <x:f>IF(OR(H141="Mastered",J141=""),"",J141+IF(I141&gt;=5,30,IF(I141=4,14,IF(I141=3,7,IF(I141=2,3,1)))))</x:f>
      </x:c>
      <x:c r="L141" s="171" t="str"/>
      <x:c r="M141" s="171" t="str"/>
      <x:c r="N141" s="171" t="str">
        <x:v>Draft — verify in context</x:v>
      </x:c>
      <x:c r="O141" s="167" t="str">
        <x:v>https://www.wgtn.ac.nz/lals/resources/academicwordlist</x:v>
      </x:c>
    </x:row>
    <x:row r="142" ht="26" customHeight="1">
      <x:c r="A142" s="167" t="n">
        <x:v>141</x:v>
      </x:c>
      <x:c r="B142" s="167" t="str">
        <x:v>emphasis</x:v>
      </x:c>
      <x:c r="C142" s="170" t="str">
        <x:v>наголос</x:v>
      </x:c>
      <x:c r="D142" s="167" t="n">
        <x:v>3</x:v>
      </x:c>
      <x:c r="E142" s="167" t="str">
        <x:v>No</x:v>
      </x:c>
      <x:c r="F142" s="167" t="str">
        <x:v>High</x:v>
      </x:c>
      <x:c r="G142" s="167" t="str">
        <x:v>General</x:v>
      </x:c>
      <x:c r="H142" s="167" t="str">
        <x:v>Not Started</x:v>
      </x:c>
      <x:c r="I142" s="167" t="n">
        <x:v>0</x:v>
      </x:c>
      <x:c r="J142" s="168"/>
      <x:c r="K142" s="168" t="str">
        <x:f>IF(OR(H142="Mastered",J142=""),"",J142+IF(I142&gt;=5,30,IF(I142=4,14,IF(I142=3,7,IF(I142=2,3,1)))))</x:f>
      </x:c>
      <x:c r="L142" s="171" t="str"/>
      <x:c r="M142" s="171" t="str"/>
      <x:c r="N142" s="171" t="str">
        <x:v>Draft — verify in context</x:v>
      </x:c>
      <x:c r="O142" s="167" t="str">
        <x:v>https://www.wgtn.ac.nz/lals/resources/academicwordlist</x:v>
      </x:c>
    </x:row>
    <x:row r="143" ht="26" customHeight="1">
      <x:c r="A143" s="167" t="n">
        <x:v>142</x:v>
      </x:c>
      <x:c r="B143" s="167" t="str">
        <x:v>ensure</x:v>
      </x:c>
      <x:c r="C143" s="170" t="str">
        <x:v>забезпечити</x:v>
      </x:c>
      <x:c r="D143" s="167" t="n">
        <x:v>3</x:v>
      </x:c>
      <x:c r="E143" s="167" t="str">
        <x:v>No</x:v>
      </x:c>
      <x:c r="F143" s="167" t="str">
        <x:v>High</x:v>
      </x:c>
      <x:c r="G143" s="167" t="str">
        <x:v>General</x:v>
      </x:c>
      <x:c r="H143" s="167" t="str">
        <x:v>Not Started</x:v>
      </x:c>
      <x:c r="I143" s="167" t="n">
        <x:v>0</x:v>
      </x:c>
      <x:c r="J143" s="168"/>
      <x:c r="K143" s="168" t="str">
        <x:f>IF(OR(H143="Mastered",J143=""),"",J143+IF(I143&gt;=5,30,IF(I143=4,14,IF(I143=3,7,IF(I143=2,3,1)))))</x:f>
      </x:c>
      <x:c r="L143" s="171" t="str"/>
      <x:c r="M143" s="171" t="str"/>
      <x:c r="N143" s="171" t="str">
        <x:v>Draft — verify in context</x:v>
      </x:c>
      <x:c r="O143" s="167" t="str">
        <x:v>https://www.wgtn.ac.nz/lals/resources/academicwordlist</x:v>
      </x:c>
    </x:row>
    <x:row r="144" ht="26" customHeight="1">
      <x:c r="A144" s="167" t="n">
        <x:v>143</x:v>
      </x:c>
      <x:c r="B144" s="167" t="str">
        <x:v>excluded</x:v>
      </x:c>
      <x:c r="C144" s="170" t="str">
        <x:v>виключено</x:v>
      </x:c>
      <x:c r="D144" s="167" t="n">
        <x:v>3</x:v>
      </x:c>
      <x:c r="E144" s="167" t="str">
        <x:v>No</x:v>
      </x:c>
      <x:c r="F144" s="167" t="str">
        <x:v>High</x:v>
      </x:c>
      <x:c r="G144" s="167" t="str">
        <x:v>General</x:v>
      </x:c>
      <x:c r="H144" s="167" t="str">
        <x:v>Not Started</x:v>
      </x:c>
      <x:c r="I144" s="167" t="n">
        <x:v>0</x:v>
      </x:c>
      <x:c r="J144" s="168"/>
      <x:c r="K144" s="168" t="str">
        <x:f>IF(OR(H144="Mastered",J144=""),"",J144+IF(I144&gt;=5,30,IF(I144=4,14,IF(I144=3,7,IF(I144=2,3,1)))))</x:f>
      </x:c>
      <x:c r="L144" s="171" t="str"/>
      <x:c r="M144" s="171" t="str"/>
      <x:c r="N144" s="171" t="str">
        <x:v>Draft — verify in context</x:v>
      </x:c>
      <x:c r="O144" s="167" t="str">
        <x:v>https://www.wgtn.ac.nz/lals/resources/academicwordlist</x:v>
      </x:c>
    </x:row>
    <x:row r="145" ht="26" customHeight="1">
      <x:c r="A145" s="167" t="n">
        <x:v>144</x:v>
      </x:c>
      <x:c r="B145" s="167" t="str">
        <x:v>framework</x:v>
      </x:c>
      <x:c r="C145" s="170" t="str">
        <x:v>рамка</x:v>
      </x:c>
      <x:c r="D145" s="167" t="n">
        <x:v>3</x:v>
      </x:c>
      <x:c r="E145" s="167" t="str">
        <x:v>No</x:v>
      </x:c>
      <x:c r="F145" s="167" t="str">
        <x:v>High</x:v>
      </x:c>
      <x:c r="G145" s="167" t="str">
        <x:v>General</x:v>
      </x:c>
      <x:c r="H145" s="167" t="str">
        <x:v>Not Started</x:v>
      </x:c>
      <x:c r="I145" s="167" t="n">
        <x:v>0</x:v>
      </x:c>
      <x:c r="J145" s="168"/>
      <x:c r="K145" s="168" t="str">
        <x:f>IF(OR(H145="Mastered",J145=""),"",J145+IF(I145&gt;=5,30,IF(I145=4,14,IF(I145=3,7,IF(I145=2,3,1)))))</x:f>
      </x:c>
      <x:c r="L145" s="171" t="str"/>
      <x:c r="M145" s="171" t="str"/>
      <x:c r="N145" s="171" t="str">
        <x:v>Draft — verify in context</x:v>
      </x:c>
      <x:c r="O145" s="167" t="str">
        <x:v>https://www.wgtn.ac.nz/lals/resources/academicwordlist</x:v>
      </x:c>
    </x:row>
    <x:row r="146" ht="26" customHeight="1">
      <x:c r="A146" s="167" t="n">
        <x:v>145</x:v>
      </x:c>
      <x:c r="B146" s="167" t="str">
        <x:v>funds</x:v>
      </x:c>
      <x:c r="C146" s="170" t="str">
        <x:v>коштів</x:v>
      </x:c>
      <x:c r="D146" s="167" t="n">
        <x:v>3</x:v>
      </x:c>
      <x:c r="E146" s="167" t="str">
        <x:v>No</x:v>
      </x:c>
      <x:c r="F146" s="167" t="str">
        <x:v>High</x:v>
      </x:c>
      <x:c r="G146" s="167" t="str">
        <x:v>General</x:v>
      </x:c>
      <x:c r="H146" s="167" t="str">
        <x:v>Not Started</x:v>
      </x:c>
      <x:c r="I146" s="167" t="n">
        <x:v>0</x:v>
      </x:c>
      <x:c r="J146" s="168"/>
      <x:c r="K146" s="168" t="str">
        <x:f>IF(OR(H146="Mastered",J146=""),"",J146+IF(I146&gt;=5,30,IF(I146=4,14,IF(I146=3,7,IF(I146=2,3,1)))))</x:f>
      </x:c>
      <x:c r="L146" s="171" t="str"/>
      <x:c r="M146" s="171" t="str"/>
      <x:c r="N146" s="171" t="str">
        <x:v>Draft — verify in context</x:v>
      </x:c>
      <x:c r="O146" s="167" t="str">
        <x:v>https://www.wgtn.ac.nz/lals/resources/academicwordlist</x:v>
      </x:c>
    </x:row>
    <x:row r="147" ht="26" customHeight="1">
      <x:c r="A147" s="167" t="n">
        <x:v>146</x:v>
      </x:c>
      <x:c r="B147" s="167" t="str">
        <x:v>illustrated</x:v>
      </x:c>
      <x:c r="C147" s="170" t="str">
        <x:v>ілюстрований</x:v>
      </x:c>
      <x:c r="D147" s="167" t="n">
        <x:v>3</x:v>
      </x:c>
      <x:c r="E147" s="167" t="str">
        <x:v>No</x:v>
      </x:c>
      <x:c r="F147" s="167" t="str">
        <x:v>High</x:v>
      </x:c>
      <x:c r="G147" s="167" t="str">
        <x:v>General</x:v>
      </x:c>
      <x:c r="H147" s="167" t="str">
        <x:v>Not Started</x:v>
      </x:c>
      <x:c r="I147" s="167" t="n">
        <x:v>0</x:v>
      </x:c>
      <x:c r="J147" s="168"/>
      <x:c r="K147" s="168" t="str">
        <x:f>IF(OR(H147="Mastered",J147=""),"",J147+IF(I147&gt;=5,30,IF(I147=4,14,IF(I147=3,7,IF(I147=2,3,1)))))</x:f>
      </x:c>
      <x:c r="L147" s="171" t="str"/>
      <x:c r="M147" s="171" t="str"/>
      <x:c r="N147" s="171" t="str">
        <x:v>Draft — verify in context</x:v>
      </x:c>
      <x:c r="O147" s="167" t="str">
        <x:v>https://www.wgtn.ac.nz/lals/resources/academicwordlist</x:v>
      </x:c>
    </x:row>
    <x:row r="148" ht="26" customHeight="1">
      <x:c r="A148" s="167" t="n">
        <x:v>147</x:v>
      </x:c>
      <x:c r="B148" s="167" t="str">
        <x:v>immigration</x:v>
      </x:c>
      <x:c r="C148" s="170" t="str">
        <x:v>імміграція</x:v>
      </x:c>
      <x:c r="D148" s="167" t="n">
        <x:v>3</x:v>
      </x:c>
      <x:c r="E148" s="167" t="str">
        <x:v>No</x:v>
      </x:c>
      <x:c r="F148" s="167" t="str">
        <x:v>High</x:v>
      </x:c>
      <x:c r="G148" s="167" t="str">
        <x:v>General</x:v>
      </x:c>
      <x:c r="H148" s="167" t="str">
        <x:v>Not Started</x:v>
      </x:c>
      <x:c r="I148" s="167" t="n">
        <x:v>0</x:v>
      </x:c>
      <x:c r="J148" s="168"/>
      <x:c r="K148" s="168" t="str">
        <x:f>IF(OR(H148="Mastered",J148=""),"",J148+IF(I148&gt;=5,30,IF(I148=4,14,IF(I148=3,7,IF(I148=2,3,1)))))</x:f>
      </x:c>
      <x:c r="L148" s="171" t="str"/>
      <x:c r="M148" s="171" t="str"/>
      <x:c r="N148" s="171" t="str">
        <x:v>Draft — verify in context</x:v>
      </x:c>
      <x:c r="O148" s="167" t="str">
        <x:v>https://www.wgtn.ac.nz/lals/resources/academicwordlist</x:v>
      </x:c>
    </x:row>
    <x:row r="149" ht="26" customHeight="1">
      <x:c r="A149" s="167" t="n">
        <x:v>148</x:v>
      </x:c>
      <x:c r="B149" s="167" t="str">
        <x:v>implies</x:v>
      </x:c>
      <x:c r="C149" s="170" t="str">
        <x:v>передбачає</x:v>
      </x:c>
      <x:c r="D149" s="167" t="n">
        <x:v>3</x:v>
      </x:c>
      <x:c r="E149" s="167" t="str">
        <x:v>No</x:v>
      </x:c>
      <x:c r="F149" s="167" t="str">
        <x:v>High</x:v>
      </x:c>
      <x:c r="G149" s="167" t="str">
        <x:v>General</x:v>
      </x:c>
      <x:c r="H149" s="167" t="str">
        <x:v>Not Started</x:v>
      </x:c>
      <x:c r="I149" s="167" t="n">
        <x:v>0</x:v>
      </x:c>
      <x:c r="J149" s="168"/>
      <x:c r="K149" s="168" t="str">
        <x:f>IF(OR(H149="Mastered",J149=""),"",J149+IF(I149&gt;=5,30,IF(I149=4,14,IF(I149=3,7,IF(I149=2,3,1)))))</x:f>
      </x:c>
      <x:c r="L149" s="171" t="str"/>
      <x:c r="M149" s="171" t="str"/>
      <x:c r="N149" s="171" t="str">
        <x:v>Draft — verify in context</x:v>
      </x:c>
      <x:c r="O149" s="167" t="str">
        <x:v>https://www.wgtn.ac.nz/lals/resources/academicwordlist</x:v>
      </x:c>
    </x:row>
    <x:row r="150" ht="26" customHeight="1">
      <x:c r="A150" s="167" t="n">
        <x:v>149</x:v>
      </x:c>
      <x:c r="B150" s="167" t="str">
        <x:v>initial</x:v>
      </x:c>
      <x:c r="C150" s="170" t="str">
        <x:v>початковий</x:v>
      </x:c>
      <x:c r="D150" s="167" t="n">
        <x:v>3</x:v>
      </x:c>
      <x:c r="E150" s="167" t="str">
        <x:v>No</x:v>
      </x:c>
      <x:c r="F150" s="167" t="str">
        <x:v>High</x:v>
      </x:c>
      <x:c r="G150" s="167" t="str">
        <x:v>General</x:v>
      </x:c>
      <x:c r="H150" s="167" t="str">
        <x:v>Not Started</x:v>
      </x:c>
      <x:c r="I150" s="167" t="n">
        <x:v>0</x:v>
      </x:c>
      <x:c r="J150" s="168"/>
      <x:c r="K150" s="168" t="str">
        <x:f>IF(OR(H150="Mastered",J150=""),"",J150+IF(I150&gt;=5,30,IF(I150=4,14,IF(I150=3,7,IF(I150=2,3,1)))))</x:f>
      </x:c>
      <x:c r="L150" s="171" t="str"/>
      <x:c r="M150" s="171" t="str"/>
      <x:c r="N150" s="171" t="str">
        <x:v>Draft — verify in context</x:v>
      </x:c>
      <x:c r="O150" s="167" t="str">
        <x:v>https://www.wgtn.ac.nz/lals/resources/academicwordlist</x:v>
      </x:c>
    </x:row>
    <x:row r="151" ht="26" customHeight="1">
      <x:c r="A151" s="167" t="n">
        <x:v>150</x:v>
      </x:c>
      <x:c r="B151" s="167" t="str">
        <x:v>instance</x:v>
      </x:c>
      <x:c r="C151" s="170" t="str">
        <x:v>екземпляр</x:v>
      </x:c>
      <x:c r="D151" s="167" t="n">
        <x:v>3</x:v>
      </x:c>
      <x:c r="E151" s="167" t="str">
        <x:v>No</x:v>
      </x:c>
      <x:c r="F151" s="167" t="str">
        <x:v>High</x:v>
      </x:c>
      <x:c r="G151" s="167" t="str">
        <x:v>General</x:v>
      </x:c>
      <x:c r="H151" s="167" t="str">
        <x:v>Not Started</x:v>
      </x:c>
      <x:c r="I151" s="167" t="n">
        <x:v>0</x:v>
      </x:c>
      <x:c r="J151" s="168"/>
      <x:c r="K151" s="168" t="str">
        <x:f>IF(OR(H151="Mastered",J151=""),"",J151+IF(I151&gt;=5,30,IF(I151=4,14,IF(I151=3,7,IF(I151=2,3,1)))))</x:f>
      </x:c>
      <x:c r="L151" s="171" t="str"/>
      <x:c r="M151" s="171" t="str"/>
      <x:c r="N151" s="171" t="str">
        <x:v>Draft — verify in context</x:v>
      </x:c>
      <x:c r="O151" s="167" t="str">
        <x:v>https://www.wgtn.ac.nz/lals/resources/academicwordlist</x:v>
      </x:c>
    </x:row>
    <x:row r="152" ht="26" customHeight="1">
      <x:c r="A152" s="167" t="n">
        <x:v>151</x:v>
      </x:c>
      <x:c r="B152" s="167" t="str">
        <x:v>interaction</x:v>
      </x:c>
      <x:c r="C152" s="170" t="str">
        <x:v>взаємодія</x:v>
      </x:c>
      <x:c r="D152" s="167" t="n">
        <x:v>3</x:v>
      </x:c>
      <x:c r="E152" s="167" t="str">
        <x:v>No</x:v>
      </x:c>
      <x:c r="F152" s="167" t="str">
        <x:v>High</x:v>
      </x:c>
      <x:c r="G152" s="167" t="str">
        <x:v>General</x:v>
      </x:c>
      <x:c r="H152" s="167" t="str">
        <x:v>Not Started</x:v>
      </x:c>
      <x:c r="I152" s="167" t="n">
        <x:v>0</x:v>
      </x:c>
      <x:c r="J152" s="168"/>
      <x:c r="K152" s="168" t="str">
        <x:f>IF(OR(H152="Mastered",J152=""),"",J152+IF(I152&gt;=5,30,IF(I152=4,14,IF(I152=3,7,IF(I152=2,3,1)))))</x:f>
      </x:c>
      <x:c r="L152" s="171" t="str"/>
      <x:c r="M152" s="171" t="str"/>
      <x:c r="N152" s="171" t="str">
        <x:v>Draft — verify in context</x:v>
      </x:c>
      <x:c r="O152" s="167" t="str">
        <x:v>https://www.wgtn.ac.nz/lals/resources/academicwordlist</x:v>
      </x:c>
    </x:row>
    <x:row r="153" ht="26" customHeight="1">
      <x:c r="A153" s="167" t="n">
        <x:v>152</x:v>
      </x:c>
      <x:c r="B153" s="167" t="str">
        <x:v>justification</x:v>
      </x:c>
      <x:c r="C153" s="170" t="str">
        <x:v>виправдання</x:v>
      </x:c>
      <x:c r="D153" s="167" t="n">
        <x:v>3</x:v>
      </x:c>
      <x:c r="E153" s="167" t="str">
        <x:v>Yes</x:v>
      </x:c>
      <x:c r="F153" s="167" t="str">
        <x:v>High</x:v>
      </x:c>
      <x:c r="G153" s="167" t="str">
        <x:v>General</x:v>
      </x:c>
      <x:c r="H153" s="167" t="str">
        <x:v>Not Started</x:v>
      </x:c>
      <x:c r="I153" s="167" t="n">
        <x:v>0</x:v>
      </x:c>
      <x:c r="J153" s="168"/>
      <x:c r="K153" s="168" t="str">
        <x:f>IF(OR(H153="Mastered",J153=""),"",J153+IF(I153&gt;=5,30,IF(I153=4,14,IF(I153=3,7,IF(I153=2,3,1)))))</x:f>
      </x:c>
      <x:c r="L153" s="171" t="str"/>
      <x:c r="M153" s="171" t="str"/>
      <x:c r="N153" s="171" t="str">
        <x:v>Draft — verify in context</x:v>
      </x:c>
      <x:c r="O153" s="167" t="str">
        <x:v>https://www.wgtn.ac.nz/lals/resources/academicwordlist</x:v>
      </x:c>
    </x:row>
    <x:row r="154" ht="26" customHeight="1">
      <x:c r="A154" s="167" t="n">
        <x:v>153</x:v>
      </x:c>
      <x:c r="B154" s="167" t="str">
        <x:v>layer</x:v>
      </x:c>
      <x:c r="C154" s="170" t="str">
        <x:v>шар</x:v>
      </x:c>
      <x:c r="D154" s="167" t="n">
        <x:v>3</x:v>
      </x:c>
      <x:c r="E154" s="167" t="str">
        <x:v>No</x:v>
      </x:c>
      <x:c r="F154" s="167" t="str">
        <x:v>High</x:v>
      </x:c>
      <x:c r="G154" s="167" t="str">
        <x:v>General</x:v>
      </x:c>
      <x:c r="H154" s="167" t="str">
        <x:v>Not Started</x:v>
      </x:c>
      <x:c r="I154" s="167" t="n">
        <x:v>0</x:v>
      </x:c>
      <x:c r="J154" s="168"/>
      <x:c r="K154" s="168" t="str">
        <x:f>IF(OR(H154="Mastered",J154=""),"",J154+IF(I154&gt;=5,30,IF(I154=4,14,IF(I154=3,7,IF(I154=2,3,1)))))</x:f>
      </x:c>
      <x:c r="L154" s="171" t="str"/>
      <x:c r="M154" s="171" t="str"/>
      <x:c r="N154" s="171" t="str">
        <x:v>Draft — verify in context</x:v>
      </x:c>
      <x:c r="O154" s="167" t="str">
        <x:v>https://www.wgtn.ac.nz/lals/resources/academicwordlist</x:v>
      </x:c>
    </x:row>
    <x:row r="155" ht="26" customHeight="1">
      <x:c r="A155" s="167" t="n">
        <x:v>154</x:v>
      </x:c>
      <x:c r="B155" s="167" t="str">
        <x:v>link</x:v>
      </x:c>
      <x:c r="C155" s="170" t="str">
        <x:v>посилання</x:v>
      </x:c>
      <x:c r="D155" s="167" t="n">
        <x:v>3</x:v>
      </x:c>
      <x:c r="E155" s="167" t="str">
        <x:v>No</x:v>
      </x:c>
      <x:c r="F155" s="167" t="str">
        <x:v>High</x:v>
      </x:c>
      <x:c r="G155" s="167" t="str">
        <x:v>General</x:v>
      </x:c>
      <x:c r="H155" s="167" t="str">
        <x:v>Not Started</x:v>
      </x:c>
      <x:c r="I155" s="167" t="n">
        <x:v>0</x:v>
      </x:c>
      <x:c r="J155" s="168"/>
      <x:c r="K155" s="168" t="str">
        <x:f>IF(OR(H155="Mastered",J155=""),"",J155+IF(I155&gt;=5,30,IF(I155=4,14,IF(I155=3,7,IF(I155=2,3,1)))))</x:f>
      </x:c>
      <x:c r="L155" s="171" t="str"/>
      <x:c r="M155" s="171" t="str"/>
      <x:c r="N155" s="171" t="str">
        <x:v>Draft — verify in context</x:v>
      </x:c>
      <x:c r="O155" s="167" t="str">
        <x:v>https://www.wgtn.ac.nz/lals/resources/academicwordlist</x:v>
      </x:c>
    </x:row>
    <x:row r="156" ht="26" customHeight="1">
      <x:c r="A156" s="167" t="n">
        <x:v>155</x:v>
      </x:c>
      <x:c r="B156" s="167" t="str">
        <x:v>location</x:v>
      </x:c>
      <x:c r="C156" s="170" t="str">
        <x:v>розташування</x:v>
      </x:c>
      <x:c r="D156" s="167" t="n">
        <x:v>3</x:v>
      </x:c>
      <x:c r="E156" s="167" t="str">
        <x:v>No</x:v>
      </x:c>
      <x:c r="F156" s="167" t="str">
        <x:v>High</x:v>
      </x:c>
      <x:c r="G156" s="167" t="str">
        <x:v>General</x:v>
      </x:c>
      <x:c r="H156" s="167" t="str">
        <x:v>Not Started</x:v>
      </x:c>
      <x:c r="I156" s="167" t="n">
        <x:v>0</x:v>
      </x:c>
      <x:c r="J156" s="168"/>
      <x:c r="K156" s="168" t="str">
        <x:f>IF(OR(H156="Mastered",J156=""),"",J156+IF(I156&gt;=5,30,IF(I156=4,14,IF(I156=3,7,IF(I156=2,3,1)))))</x:f>
      </x:c>
      <x:c r="L156" s="171" t="str"/>
      <x:c r="M156" s="171" t="str"/>
      <x:c r="N156" s="171" t="str">
        <x:v>Draft — verify in context</x:v>
      </x:c>
      <x:c r="O156" s="167" t="str">
        <x:v>https://www.wgtn.ac.nz/lals/resources/academicwordlist</x:v>
      </x:c>
    </x:row>
    <x:row r="157" ht="26" customHeight="1">
      <x:c r="A157" s="167" t="n">
        <x:v>156</x:v>
      </x:c>
      <x:c r="B157" s="167" t="str">
        <x:v>maximum</x:v>
      </x:c>
      <x:c r="C157" s="170" t="str">
        <x:v>максимум</x:v>
      </x:c>
      <x:c r="D157" s="167" t="n">
        <x:v>3</x:v>
      </x:c>
      <x:c r="E157" s="167" t="str">
        <x:v>No</x:v>
      </x:c>
      <x:c r="F157" s="167" t="str">
        <x:v>High</x:v>
      </x:c>
      <x:c r="G157" s="167" t="str">
        <x:v>General</x:v>
      </x:c>
      <x:c r="H157" s="167" t="str">
        <x:v>Not Started</x:v>
      </x:c>
      <x:c r="I157" s="167" t="n">
        <x:v>0</x:v>
      </x:c>
      <x:c r="J157" s="168"/>
      <x:c r="K157" s="168" t="str">
        <x:f>IF(OR(H157="Mastered",J157=""),"",J157+IF(I157&gt;=5,30,IF(I157=4,14,IF(I157=3,7,IF(I157=2,3,1)))))</x:f>
      </x:c>
      <x:c r="L157" s="171" t="str"/>
      <x:c r="M157" s="171" t="str"/>
      <x:c r="N157" s="171" t="str">
        <x:v>Draft — verify in context</x:v>
      </x:c>
      <x:c r="O157" s="167" t="str">
        <x:v>https://www.wgtn.ac.nz/lals/resources/academicwordlist</x:v>
      </x:c>
    </x:row>
    <x:row r="158" ht="26" customHeight="1">
      <x:c r="A158" s="167" t="n">
        <x:v>157</x:v>
      </x:c>
      <x:c r="B158" s="167" t="str">
        <x:v>minorities</x:v>
      </x:c>
      <x:c r="C158" s="170" t="str">
        <x:v>меншини</x:v>
      </x:c>
      <x:c r="D158" s="167" t="n">
        <x:v>3</x:v>
      </x:c>
      <x:c r="E158" s="167" t="str">
        <x:v>No</x:v>
      </x:c>
      <x:c r="F158" s="167" t="str">
        <x:v>High</x:v>
      </x:c>
      <x:c r="G158" s="167" t="str">
        <x:v>General</x:v>
      </x:c>
      <x:c r="H158" s="167" t="str">
        <x:v>Not Started</x:v>
      </x:c>
      <x:c r="I158" s="167" t="n">
        <x:v>0</x:v>
      </x:c>
      <x:c r="J158" s="168"/>
      <x:c r="K158" s="168" t="str">
        <x:f>IF(OR(H158="Mastered",J158=""),"",J158+IF(I158&gt;=5,30,IF(I158=4,14,IF(I158=3,7,IF(I158=2,3,1)))))</x:f>
      </x:c>
      <x:c r="L158" s="171" t="str"/>
      <x:c r="M158" s="171" t="str"/>
      <x:c r="N158" s="171" t="str">
        <x:v>Draft — verify in context</x:v>
      </x:c>
      <x:c r="O158" s="167" t="str">
        <x:v>https://www.wgtn.ac.nz/lals/resources/academicwordlist</x:v>
      </x:c>
    </x:row>
    <x:row r="159" ht="26" customHeight="1">
      <x:c r="A159" s="167" t="n">
        <x:v>158</x:v>
      </x:c>
      <x:c r="B159" s="167" t="str">
        <x:v>negative</x:v>
      </x:c>
      <x:c r="C159" s="170" t="str">
        <x:v>негативний</x:v>
      </x:c>
      <x:c r="D159" s="167" t="n">
        <x:v>3</x:v>
      </x:c>
      <x:c r="E159" s="167" t="str">
        <x:v>No</x:v>
      </x:c>
      <x:c r="F159" s="167" t="str">
        <x:v>High</x:v>
      </x:c>
      <x:c r="G159" s="167" t="str">
        <x:v>General</x:v>
      </x:c>
      <x:c r="H159" s="167" t="str">
        <x:v>Not Started</x:v>
      </x:c>
      <x:c r="I159" s="167" t="n">
        <x:v>0</x:v>
      </x:c>
      <x:c r="J159" s="168"/>
      <x:c r="K159" s="168" t="str">
        <x:f>IF(OR(H159="Mastered",J159=""),"",J159+IF(I159&gt;=5,30,IF(I159=4,14,IF(I159=3,7,IF(I159=2,3,1)))))</x:f>
      </x:c>
      <x:c r="L159" s="171" t="str"/>
      <x:c r="M159" s="171" t="str"/>
      <x:c r="N159" s="171" t="str">
        <x:v>Draft — verify in context</x:v>
      </x:c>
      <x:c r="O159" s="167" t="str">
        <x:v>https://www.wgtn.ac.nz/lals/resources/academicwordlist</x:v>
      </x:c>
    </x:row>
    <x:row r="160" ht="26" customHeight="1">
      <x:c r="A160" s="167" t="n">
        <x:v>159</x:v>
      </x:c>
      <x:c r="B160" s="167" t="str">
        <x:v>outcomes</x:v>
      </x:c>
      <x:c r="C160" s="170" t="str">
        <x:v>результати</x:v>
      </x:c>
      <x:c r="D160" s="167" t="n">
        <x:v>3</x:v>
      </x:c>
      <x:c r="E160" s="167" t="str">
        <x:v>No</x:v>
      </x:c>
      <x:c r="F160" s="167" t="str">
        <x:v>High</x:v>
      </x:c>
      <x:c r="G160" s="167" t="str">
        <x:v>General</x:v>
      </x:c>
      <x:c r="H160" s="167" t="str">
        <x:v>Not Started</x:v>
      </x:c>
      <x:c r="I160" s="167" t="n">
        <x:v>0</x:v>
      </x:c>
      <x:c r="J160" s="168"/>
      <x:c r="K160" s="168" t="str">
        <x:f>IF(OR(H160="Mastered",J160=""),"",J160+IF(I160&gt;=5,30,IF(I160=4,14,IF(I160=3,7,IF(I160=2,3,1)))))</x:f>
      </x:c>
      <x:c r="L160" s="171" t="str"/>
      <x:c r="M160" s="171" t="str"/>
      <x:c r="N160" s="171" t="str">
        <x:v>Draft — verify in context</x:v>
      </x:c>
      <x:c r="O160" s="167" t="str">
        <x:v>https://www.wgtn.ac.nz/lals/resources/academicwordlist</x:v>
      </x:c>
    </x:row>
    <x:row r="161" ht="26" customHeight="1">
      <x:c r="A161" s="167" t="n">
        <x:v>160</x:v>
      </x:c>
      <x:c r="B161" s="167" t="str">
        <x:v>partnership</x:v>
      </x:c>
      <x:c r="C161" s="170" t="str">
        <x:v>партнерство</x:v>
      </x:c>
      <x:c r="D161" s="167" t="n">
        <x:v>3</x:v>
      </x:c>
      <x:c r="E161" s="167" t="str">
        <x:v>No</x:v>
      </x:c>
      <x:c r="F161" s="167" t="str">
        <x:v>High</x:v>
      </x:c>
      <x:c r="G161" s="167" t="str">
        <x:v>General</x:v>
      </x:c>
      <x:c r="H161" s="167" t="str">
        <x:v>Not Started</x:v>
      </x:c>
      <x:c r="I161" s="167" t="n">
        <x:v>0</x:v>
      </x:c>
      <x:c r="J161" s="168"/>
      <x:c r="K161" s="168" t="str">
        <x:f>IF(OR(H161="Mastered",J161=""),"",J161+IF(I161&gt;=5,30,IF(I161=4,14,IF(I161=3,7,IF(I161=2,3,1)))))</x:f>
      </x:c>
      <x:c r="L161" s="171" t="str"/>
      <x:c r="M161" s="171" t="str"/>
      <x:c r="N161" s="171" t="str">
        <x:v>Draft — verify in context</x:v>
      </x:c>
      <x:c r="O161" s="167" t="str">
        <x:v>https://www.wgtn.ac.nz/lals/resources/academicwordlist</x:v>
      </x:c>
    </x:row>
    <x:row r="162" ht="26" customHeight="1">
      <x:c r="A162" s="167" t="n">
        <x:v>161</x:v>
      </x:c>
      <x:c r="B162" s="167" t="str">
        <x:v>philosophy</x:v>
      </x:c>
      <x:c r="C162" s="170" t="str">
        <x:v>філософія</x:v>
      </x:c>
      <x:c r="D162" s="167" t="n">
        <x:v>3</x:v>
      </x:c>
      <x:c r="E162" s="167" t="str">
        <x:v>No</x:v>
      </x:c>
      <x:c r="F162" s="167" t="str">
        <x:v>High</x:v>
      </x:c>
      <x:c r="G162" s="167" t="str">
        <x:v>General</x:v>
      </x:c>
      <x:c r="H162" s="167" t="str">
        <x:v>Not Started</x:v>
      </x:c>
      <x:c r="I162" s="167" t="n">
        <x:v>0</x:v>
      </x:c>
      <x:c r="J162" s="168"/>
      <x:c r="K162" s="168" t="str">
        <x:f>IF(OR(H162="Mastered",J162=""),"",J162+IF(I162&gt;=5,30,IF(I162=4,14,IF(I162=3,7,IF(I162=2,3,1)))))</x:f>
      </x:c>
      <x:c r="L162" s="171" t="str"/>
      <x:c r="M162" s="171" t="str"/>
      <x:c r="N162" s="171" t="str">
        <x:v>Draft — verify in context</x:v>
      </x:c>
      <x:c r="O162" s="167" t="str">
        <x:v>https://www.wgtn.ac.nz/lals/resources/academicwordlist</x:v>
      </x:c>
    </x:row>
    <x:row r="163" ht="26" customHeight="1">
      <x:c r="A163" s="167" t="n">
        <x:v>162</x:v>
      </x:c>
      <x:c r="B163" s="167" t="str">
        <x:v>physical</x:v>
      </x:c>
      <x:c r="C163" s="170" t="str">
        <x:v>фізичний</x:v>
      </x:c>
      <x:c r="D163" s="167" t="n">
        <x:v>3</x:v>
      </x:c>
      <x:c r="E163" s="167" t="str">
        <x:v>No</x:v>
      </x:c>
      <x:c r="F163" s="167" t="str">
        <x:v>High</x:v>
      </x:c>
      <x:c r="G163" s="167" t="str">
        <x:v>General</x:v>
      </x:c>
      <x:c r="H163" s="167" t="str">
        <x:v>Not Started</x:v>
      </x:c>
      <x:c r="I163" s="167" t="n">
        <x:v>0</x:v>
      </x:c>
      <x:c r="J163" s="168"/>
      <x:c r="K163" s="168" t="str">
        <x:f>IF(OR(H163="Mastered",J163=""),"",J163+IF(I163&gt;=5,30,IF(I163=4,14,IF(I163=3,7,IF(I163=2,3,1)))))</x:f>
      </x:c>
      <x:c r="L163" s="171" t="str"/>
      <x:c r="M163" s="171" t="str"/>
      <x:c r="N163" s="171" t="str">
        <x:v>Draft — verify in context</x:v>
      </x:c>
      <x:c r="O163" s="167" t="str">
        <x:v>https://www.wgtn.ac.nz/lals/resources/academicwordlist</x:v>
      </x:c>
    </x:row>
    <x:row r="164" ht="26" customHeight="1">
      <x:c r="A164" s="167" t="n">
        <x:v>163</x:v>
      </x:c>
      <x:c r="B164" s="167" t="str">
        <x:v>proportion</x:v>
      </x:c>
      <x:c r="C164" s="170" t="str">
        <x:v>пропорція</x:v>
      </x:c>
      <x:c r="D164" s="167" t="n">
        <x:v>3</x:v>
      </x:c>
      <x:c r="E164" s="167" t="str">
        <x:v>No</x:v>
      </x:c>
      <x:c r="F164" s="167" t="str">
        <x:v>High</x:v>
      </x:c>
      <x:c r="G164" s="167" t="str">
        <x:v>General</x:v>
      </x:c>
      <x:c r="H164" s="167" t="str">
        <x:v>Not Started</x:v>
      </x:c>
      <x:c r="I164" s="167" t="n">
        <x:v>0</x:v>
      </x:c>
      <x:c r="J164" s="168"/>
      <x:c r="K164" s="168" t="str">
        <x:f>IF(OR(H164="Mastered",J164=""),"",J164+IF(I164&gt;=5,30,IF(I164=4,14,IF(I164=3,7,IF(I164=2,3,1)))))</x:f>
      </x:c>
      <x:c r="L164" s="171" t="str"/>
      <x:c r="M164" s="171" t="str"/>
      <x:c r="N164" s="171" t="str">
        <x:v>Draft — verify in context</x:v>
      </x:c>
      <x:c r="O164" s="167" t="str">
        <x:v>https://www.wgtn.ac.nz/lals/resources/academicwordlist</x:v>
      </x:c>
    </x:row>
    <x:row r="165" ht="26" customHeight="1">
      <x:c r="A165" s="167" t="n">
        <x:v>164</x:v>
      </x:c>
      <x:c r="B165" s="167" t="str">
        <x:v>published</x:v>
      </x:c>
      <x:c r="C165" s="170" t="str">
        <x:v>опубліковано</x:v>
      </x:c>
      <x:c r="D165" s="167" t="n">
        <x:v>3</x:v>
      </x:c>
      <x:c r="E165" s="167" t="str">
        <x:v>No</x:v>
      </x:c>
      <x:c r="F165" s="167" t="str">
        <x:v>High</x:v>
      </x:c>
      <x:c r="G165" s="167" t="str">
        <x:v>General</x:v>
      </x:c>
      <x:c r="H165" s="167" t="str">
        <x:v>Not Started</x:v>
      </x:c>
      <x:c r="I165" s="167" t="n">
        <x:v>0</x:v>
      </x:c>
      <x:c r="J165" s="168"/>
      <x:c r="K165" s="168" t="str">
        <x:f>IF(OR(H165="Mastered",J165=""),"",J165+IF(I165&gt;=5,30,IF(I165=4,14,IF(I165=3,7,IF(I165=2,3,1)))))</x:f>
      </x:c>
      <x:c r="L165" s="171" t="str"/>
      <x:c r="M165" s="171" t="str"/>
      <x:c r="N165" s="171" t="str">
        <x:v>Draft — verify in context</x:v>
      </x:c>
      <x:c r="O165" s="167" t="str">
        <x:v>https://www.wgtn.ac.nz/lals/resources/academicwordlist</x:v>
      </x:c>
    </x:row>
    <x:row r="166" ht="26" customHeight="1">
      <x:c r="A166" s="167" t="n">
        <x:v>165</x:v>
      </x:c>
      <x:c r="B166" s="167" t="str">
        <x:v>reaction</x:v>
      </x:c>
      <x:c r="C166" s="170" t="str">
        <x:v>реакція</x:v>
      </x:c>
      <x:c r="D166" s="167" t="n">
        <x:v>3</x:v>
      </x:c>
      <x:c r="E166" s="167" t="str">
        <x:v>No</x:v>
      </x:c>
      <x:c r="F166" s="167" t="str">
        <x:v>High</x:v>
      </x:c>
      <x:c r="G166" s="167" t="str">
        <x:v>General</x:v>
      </x:c>
      <x:c r="H166" s="167" t="str">
        <x:v>Not Started</x:v>
      </x:c>
      <x:c r="I166" s="167" t="n">
        <x:v>0</x:v>
      </x:c>
      <x:c r="J166" s="168"/>
      <x:c r="K166" s="168" t="str">
        <x:f>IF(OR(H166="Mastered",J166=""),"",J166+IF(I166&gt;=5,30,IF(I166=4,14,IF(I166=3,7,IF(I166=2,3,1)))))</x:f>
      </x:c>
      <x:c r="L166" s="171" t="str"/>
      <x:c r="M166" s="171" t="str"/>
      <x:c r="N166" s="171" t="str">
        <x:v>Draft — verify in context</x:v>
      </x:c>
      <x:c r="O166" s="167" t="str">
        <x:v>https://www.wgtn.ac.nz/lals/resources/academicwordlist</x:v>
      </x:c>
    </x:row>
    <x:row r="167" ht="26" customHeight="1">
      <x:c r="A167" s="167" t="n">
        <x:v>166</x:v>
      </x:c>
      <x:c r="B167" s="167" t="str">
        <x:v>registered</x:v>
      </x:c>
      <x:c r="C167" s="170" t="str">
        <x:v>зареєстрований</x:v>
      </x:c>
      <x:c r="D167" s="167" t="n">
        <x:v>3</x:v>
      </x:c>
      <x:c r="E167" s="167" t="str">
        <x:v>No</x:v>
      </x:c>
      <x:c r="F167" s="167" t="str">
        <x:v>High</x:v>
      </x:c>
      <x:c r="G167" s="167" t="str">
        <x:v>General</x:v>
      </x:c>
      <x:c r="H167" s="167" t="str">
        <x:v>Not Started</x:v>
      </x:c>
      <x:c r="I167" s="167" t="n">
        <x:v>0</x:v>
      </x:c>
      <x:c r="J167" s="168"/>
      <x:c r="K167" s="168" t="str">
        <x:f>IF(OR(H167="Mastered",J167=""),"",J167+IF(I167&gt;=5,30,IF(I167=4,14,IF(I167=3,7,IF(I167=2,3,1)))))</x:f>
      </x:c>
      <x:c r="L167" s="171" t="str"/>
      <x:c r="M167" s="171" t="str"/>
      <x:c r="N167" s="171" t="str">
        <x:v>Draft — verify in context</x:v>
      </x:c>
      <x:c r="O167" s="167" t="str">
        <x:v>https://www.wgtn.ac.nz/lals/resources/academicwordlist</x:v>
      </x:c>
    </x:row>
    <x:row r="168" ht="26" customHeight="1">
      <x:c r="A168" s="167" t="n">
        <x:v>167</x:v>
      </x:c>
      <x:c r="B168" s="167" t="str">
        <x:v>reliance</x:v>
      </x:c>
      <x:c r="C168" s="170" t="str">
        <x:v>опора</x:v>
      </x:c>
      <x:c r="D168" s="167" t="n">
        <x:v>3</x:v>
      </x:c>
      <x:c r="E168" s="167" t="str">
        <x:v>No</x:v>
      </x:c>
      <x:c r="F168" s="167" t="str">
        <x:v>High</x:v>
      </x:c>
      <x:c r="G168" s="167" t="str">
        <x:v>General</x:v>
      </x:c>
      <x:c r="H168" s="167" t="str">
        <x:v>Not Started</x:v>
      </x:c>
      <x:c r="I168" s="167" t="n">
        <x:v>0</x:v>
      </x:c>
      <x:c r="J168" s="168"/>
      <x:c r="K168" s="168" t="str">
        <x:f>IF(OR(H168="Mastered",J168=""),"",J168+IF(I168&gt;=5,30,IF(I168=4,14,IF(I168=3,7,IF(I168=2,3,1)))))</x:f>
      </x:c>
      <x:c r="L168" s="171" t="str"/>
      <x:c r="M168" s="171" t="str"/>
      <x:c r="N168" s="171" t="str">
        <x:v>Draft — verify in context</x:v>
      </x:c>
      <x:c r="O168" s="167" t="str">
        <x:v>https://www.wgtn.ac.nz/lals/resources/academicwordlist</x:v>
      </x:c>
    </x:row>
    <x:row r="169" ht="26" customHeight="1">
      <x:c r="A169" s="167" t="n">
        <x:v>168</x:v>
      </x:c>
      <x:c r="B169" s="167" t="str">
        <x:v>removed</x:v>
      </x:c>
      <x:c r="C169" s="170" t="str">
        <x:v>видалено</x:v>
      </x:c>
      <x:c r="D169" s="167" t="n">
        <x:v>3</x:v>
      </x:c>
      <x:c r="E169" s="167" t="str">
        <x:v>No</x:v>
      </x:c>
      <x:c r="F169" s="167" t="str">
        <x:v>High</x:v>
      </x:c>
      <x:c r="G169" s="167" t="str">
        <x:v>General</x:v>
      </x:c>
      <x:c r="H169" s="167" t="str">
        <x:v>Not Started</x:v>
      </x:c>
      <x:c r="I169" s="167" t="n">
        <x:v>0</x:v>
      </x:c>
      <x:c r="J169" s="168"/>
      <x:c r="K169" s="168" t="str">
        <x:f>IF(OR(H169="Mastered",J169=""),"",J169+IF(I169&gt;=5,30,IF(I169=4,14,IF(I169=3,7,IF(I169=2,3,1)))))</x:f>
      </x:c>
      <x:c r="L169" s="171" t="str"/>
      <x:c r="M169" s="171" t="str"/>
      <x:c r="N169" s="171" t="str">
        <x:v>Draft — verify in context</x:v>
      </x:c>
      <x:c r="O169" s="167" t="str">
        <x:v>https://www.wgtn.ac.nz/lals/resources/academicwordlist</x:v>
      </x:c>
    </x:row>
    <x:row r="170" ht="26" customHeight="1">
      <x:c r="A170" s="167" t="n">
        <x:v>169</x:v>
      </x:c>
      <x:c r="B170" s="167" t="str">
        <x:v>scheme</x:v>
      </x:c>
      <x:c r="C170" s="170" t="str">
        <x:v>схема</x:v>
      </x:c>
      <x:c r="D170" s="167" t="n">
        <x:v>3</x:v>
      </x:c>
      <x:c r="E170" s="167" t="str">
        <x:v>No</x:v>
      </x:c>
      <x:c r="F170" s="167" t="str">
        <x:v>High</x:v>
      </x:c>
      <x:c r="G170" s="167" t="str">
        <x:v>General</x:v>
      </x:c>
      <x:c r="H170" s="167" t="str">
        <x:v>Not Started</x:v>
      </x:c>
      <x:c r="I170" s="167" t="n">
        <x:v>0</x:v>
      </x:c>
      <x:c r="J170" s="168"/>
      <x:c r="K170" s="168" t="str">
        <x:f>IF(OR(H170="Mastered",J170=""),"",J170+IF(I170&gt;=5,30,IF(I170=4,14,IF(I170=3,7,IF(I170=2,3,1)))))</x:f>
      </x:c>
      <x:c r="L170" s="171" t="str"/>
      <x:c r="M170" s="171" t="str"/>
      <x:c r="N170" s="171" t="str">
        <x:v>Draft — verify in context</x:v>
      </x:c>
      <x:c r="O170" s="167" t="str">
        <x:v>https://www.wgtn.ac.nz/lals/resources/academicwordlist</x:v>
      </x:c>
    </x:row>
    <x:row r="171" ht="26" customHeight="1">
      <x:c r="A171" s="167" t="n">
        <x:v>170</x:v>
      </x:c>
      <x:c r="B171" s="167" t="str">
        <x:v>sequence</x:v>
      </x:c>
      <x:c r="C171" s="170" t="str">
        <x:v>послідовність</x:v>
      </x:c>
      <x:c r="D171" s="167" t="n">
        <x:v>3</x:v>
      </x:c>
      <x:c r="E171" s="167" t="str">
        <x:v>No</x:v>
      </x:c>
      <x:c r="F171" s="167" t="str">
        <x:v>High</x:v>
      </x:c>
      <x:c r="G171" s="167" t="str">
        <x:v>General</x:v>
      </x:c>
      <x:c r="H171" s="167" t="str">
        <x:v>Not Started</x:v>
      </x:c>
      <x:c r="I171" s="167" t="n">
        <x:v>0</x:v>
      </x:c>
      <x:c r="J171" s="168"/>
      <x:c r="K171" s="168" t="str">
        <x:f>IF(OR(H171="Mastered",J171=""),"",J171+IF(I171&gt;=5,30,IF(I171=4,14,IF(I171=3,7,IF(I171=2,3,1)))))</x:f>
      </x:c>
      <x:c r="L171" s="171" t="str"/>
      <x:c r="M171" s="171" t="str"/>
      <x:c r="N171" s="171" t="str">
        <x:v>Draft — verify in context</x:v>
      </x:c>
      <x:c r="O171" s="167" t="str">
        <x:v>https://www.wgtn.ac.nz/lals/resources/academicwordlist</x:v>
      </x:c>
    </x:row>
    <x:row r="172" ht="26" customHeight="1">
      <x:c r="A172" s="167" t="n">
        <x:v>171</x:v>
      </x:c>
      <x:c r="B172" s="167" t="str">
        <x:v>sex</x:v>
      </x:c>
      <x:c r="C172" s="170" t="str">
        <x:v>секс</x:v>
      </x:c>
      <x:c r="D172" s="167" t="n">
        <x:v>3</x:v>
      </x:c>
      <x:c r="E172" s="167" t="str">
        <x:v>No</x:v>
      </x:c>
      <x:c r="F172" s="167" t="str">
        <x:v>High</x:v>
      </x:c>
      <x:c r="G172" s="167" t="str">
        <x:v>General</x:v>
      </x:c>
      <x:c r="H172" s="167" t="str">
        <x:v>Not Started</x:v>
      </x:c>
      <x:c r="I172" s="167" t="n">
        <x:v>0</x:v>
      </x:c>
      <x:c r="J172" s="168"/>
      <x:c r="K172" s="168" t="str">
        <x:f>IF(OR(H172="Mastered",J172=""),"",J172+IF(I172&gt;=5,30,IF(I172=4,14,IF(I172=3,7,IF(I172=2,3,1)))))</x:f>
      </x:c>
      <x:c r="L172" s="171" t="str"/>
      <x:c r="M172" s="171" t="str"/>
      <x:c r="N172" s="171" t="str">
        <x:v>Draft — verify in context</x:v>
      </x:c>
      <x:c r="O172" s="167" t="str">
        <x:v>https://www.wgtn.ac.nz/lals/resources/academicwordlist</x:v>
      </x:c>
    </x:row>
    <x:row r="173" ht="26" customHeight="1">
      <x:c r="A173" s="167" t="n">
        <x:v>172</x:v>
      </x:c>
      <x:c r="B173" s="167" t="str">
        <x:v>shift</x:v>
      </x:c>
      <x:c r="C173" s="170" t="str">
        <x:v>зміна</x:v>
      </x:c>
      <x:c r="D173" s="167" t="n">
        <x:v>3</x:v>
      </x:c>
      <x:c r="E173" s="167" t="str">
        <x:v>No</x:v>
      </x:c>
      <x:c r="F173" s="167" t="str">
        <x:v>High</x:v>
      </x:c>
      <x:c r="G173" s="167" t="str">
        <x:v>General</x:v>
      </x:c>
      <x:c r="H173" s="167" t="str">
        <x:v>Not Started</x:v>
      </x:c>
      <x:c r="I173" s="167" t="n">
        <x:v>0</x:v>
      </x:c>
      <x:c r="J173" s="168"/>
      <x:c r="K173" s="168" t="str">
        <x:f>IF(OR(H173="Mastered",J173=""),"",J173+IF(I173&gt;=5,30,IF(I173=4,14,IF(I173=3,7,IF(I173=2,3,1)))))</x:f>
      </x:c>
      <x:c r="L173" s="171" t="str"/>
      <x:c r="M173" s="171" t="str"/>
      <x:c r="N173" s="171" t="str">
        <x:v>Draft — verify in context</x:v>
      </x:c>
      <x:c r="O173" s="167" t="str">
        <x:v>https://www.wgtn.ac.nz/lals/resources/academicwordlist</x:v>
      </x:c>
    </x:row>
    <x:row r="174" ht="26" customHeight="1">
      <x:c r="A174" s="167" t="n">
        <x:v>173</x:v>
      </x:c>
      <x:c r="B174" s="167" t="str">
        <x:v>specified</x:v>
      </x:c>
      <x:c r="C174" s="170" t="str">
        <x:v>зазначено</x:v>
      </x:c>
      <x:c r="D174" s="167" t="n">
        <x:v>3</x:v>
      </x:c>
      <x:c r="E174" s="167" t="str">
        <x:v>No</x:v>
      </x:c>
      <x:c r="F174" s="167" t="str">
        <x:v>High</x:v>
      </x:c>
      <x:c r="G174" s="167" t="str">
        <x:v>General</x:v>
      </x:c>
      <x:c r="H174" s="167" t="str">
        <x:v>Not Started</x:v>
      </x:c>
      <x:c r="I174" s="167" t="n">
        <x:v>0</x:v>
      </x:c>
      <x:c r="J174" s="168"/>
      <x:c r="K174" s="168" t="str">
        <x:f>IF(OR(H174="Mastered",J174=""),"",J174+IF(I174&gt;=5,30,IF(I174=4,14,IF(I174=3,7,IF(I174=2,3,1)))))</x:f>
      </x:c>
      <x:c r="L174" s="171" t="str"/>
      <x:c r="M174" s="171" t="str"/>
      <x:c r="N174" s="171" t="str">
        <x:v>Draft — verify in context</x:v>
      </x:c>
      <x:c r="O174" s="167" t="str">
        <x:v>https://www.wgtn.ac.nz/lals/resources/academicwordlist</x:v>
      </x:c>
    </x:row>
    <x:row r="175" ht="26" customHeight="1">
      <x:c r="A175" s="167" t="n">
        <x:v>174</x:v>
      </x:c>
      <x:c r="B175" s="167" t="str">
        <x:v>sufficient</x:v>
      </x:c>
      <x:c r="C175" s="170" t="str">
        <x:v>достатній</x:v>
      </x:c>
      <x:c r="D175" s="167" t="n">
        <x:v>3</x:v>
      </x:c>
      <x:c r="E175" s="167" t="str">
        <x:v>No</x:v>
      </x:c>
      <x:c r="F175" s="167" t="str">
        <x:v>High</x:v>
      </x:c>
      <x:c r="G175" s="167" t="str">
        <x:v>General</x:v>
      </x:c>
      <x:c r="H175" s="167" t="str">
        <x:v>Not Started</x:v>
      </x:c>
      <x:c r="I175" s="167" t="n">
        <x:v>0</x:v>
      </x:c>
      <x:c r="J175" s="168"/>
      <x:c r="K175" s="168" t="str">
        <x:f>IF(OR(H175="Mastered",J175=""),"",J175+IF(I175&gt;=5,30,IF(I175=4,14,IF(I175=3,7,IF(I175=2,3,1)))))</x:f>
      </x:c>
      <x:c r="L175" s="171" t="str"/>
      <x:c r="M175" s="171" t="str"/>
      <x:c r="N175" s="171" t="str">
        <x:v>Draft — verify in context</x:v>
      </x:c>
      <x:c r="O175" s="167" t="str">
        <x:v>https://www.wgtn.ac.nz/lals/resources/academicwordlist</x:v>
      </x:c>
    </x:row>
    <x:row r="176" ht="26" customHeight="1">
      <x:c r="A176" s="167" t="n">
        <x:v>175</x:v>
      </x:c>
      <x:c r="B176" s="167" t="str">
        <x:v>task</x:v>
      </x:c>
      <x:c r="C176" s="170" t="str">
        <x:v>завдання</x:v>
      </x:c>
      <x:c r="D176" s="167" t="n">
        <x:v>3</x:v>
      </x:c>
      <x:c r="E176" s="167" t="str">
        <x:v>No</x:v>
      </x:c>
      <x:c r="F176" s="167" t="str">
        <x:v>High</x:v>
      </x:c>
      <x:c r="G176" s="167" t="str">
        <x:v>General</x:v>
      </x:c>
      <x:c r="H176" s="167" t="str">
        <x:v>Not Started</x:v>
      </x:c>
      <x:c r="I176" s="167" t="n">
        <x:v>0</x:v>
      </x:c>
      <x:c r="J176" s="168"/>
      <x:c r="K176" s="168" t="str">
        <x:f>IF(OR(H176="Mastered",J176=""),"",J176+IF(I176&gt;=5,30,IF(I176=4,14,IF(I176=3,7,IF(I176=2,3,1)))))</x:f>
      </x:c>
      <x:c r="L176" s="171" t="str"/>
      <x:c r="M176" s="171" t="str"/>
      <x:c r="N176" s="171" t="str">
        <x:v>Draft — verify in context</x:v>
      </x:c>
      <x:c r="O176" s="167" t="str">
        <x:v>https://www.wgtn.ac.nz/lals/resources/academicwordlist</x:v>
      </x:c>
    </x:row>
    <x:row r="177" ht="26" customHeight="1">
      <x:c r="A177" s="167" t="n">
        <x:v>176</x:v>
      </x:c>
      <x:c r="B177" s="167" t="str">
        <x:v>technical</x:v>
      </x:c>
      <x:c r="C177" s="170" t="str">
        <x:v>технічний</x:v>
      </x:c>
      <x:c r="D177" s="167" t="n">
        <x:v>3</x:v>
      </x:c>
      <x:c r="E177" s="167" t="str">
        <x:v>No</x:v>
      </x:c>
      <x:c r="F177" s="167" t="str">
        <x:v>High</x:v>
      </x:c>
      <x:c r="G177" s="167" t="str">
        <x:v>General</x:v>
      </x:c>
      <x:c r="H177" s="167" t="str">
        <x:v>Not Started</x:v>
      </x:c>
      <x:c r="I177" s="167" t="n">
        <x:v>0</x:v>
      </x:c>
      <x:c r="J177" s="168"/>
      <x:c r="K177" s="168" t="str">
        <x:f>IF(OR(H177="Mastered",J177=""),"",J177+IF(I177&gt;=5,30,IF(I177=4,14,IF(I177=3,7,IF(I177=2,3,1)))))</x:f>
      </x:c>
      <x:c r="L177" s="171" t="str"/>
      <x:c r="M177" s="171" t="str"/>
      <x:c r="N177" s="171" t="str">
        <x:v>Draft — verify in context</x:v>
      </x:c>
      <x:c r="O177" s="167" t="str">
        <x:v>https://www.wgtn.ac.nz/lals/resources/academicwordlist</x:v>
      </x:c>
    </x:row>
    <x:row r="178" ht="26" customHeight="1">
      <x:c r="A178" s="167" t="n">
        <x:v>177</x:v>
      </x:c>
      <x:c r="B178" s="167" t="str">
        <x:v>techniques</x:v>
      </x:c>
      <x:c r="C178" s="170" t="str">
        <x:v>техніки</x:v>
      </x:c>
      <x:c r="D178" s="167" t="n">
        <x:v>3</x:v>
      </x:c>
      <x:c r="E178" s="167" t="str">
        <x:v>No</x:v>
      </x:c>
      <x:c r="F178" s="167" t="str">
        <x:v>High</x:v>
      </x:c>
      <x:c r="G178" s="167" t="str">
        <x:v>General</x:v>
      </x:c>
      <x:c r="H178" s="167" t="str">
        <x:v>Not Started</x:v>
      </x:c>
      <x:c r="I178" s="167" t="n">
        <x:v>0</x:v>
      </x:c>
      <x:c r="J178" s="168"/>
      <x:c r="K178" s="168" t="str">
        <x:f>IF(OR(H178="Mastered",J178=""),"",J178+IF(I178&gt;=5,30,IF(I178=4,14,IF(I178=3,7,IF(I178=2,3,1)))))</x:f>
      </x:c>
      <x:c r="L178" s="171" t="str"/>
      <x:c r="M178" s="171" t="str"/>
      <x:c r="N178" s="171" t="str">
        <x:v>Draft — verify in context</x:v>
      </x:c>
      <x:c r="O178" s="167" t="str">
        <x:v>https://www.wgtn.ac.nz/lals/resources/academicwordlist</x:v>
      </x:c>
    </x:row>
    <x:row r="179" ht="26" customHeight="1">
      <x:c r="A179" s="167" t="n">
        <x:v>178</x:v>
      </x:c>
      <x:c r="B179" s="167" t="str">
        <x:v>technology</x:v>
      </x:c>
      <x:c r="C179" s="170" t="str">
        <x:v>технології</x:v>
      </x:c>
      <x:c r="D179" s="167" t="n">
        <x:v>3</x:v>
      </x:c>
      <x:c r="E179" s="167" t="str">
        <x:v>No</x:v>
      </x:c>
      <x:c r="F179" s="167" t="str">
        <x:v>High</x:v>
      </x:c>
      <x:c r="G179" s="167" t="str">
        <x:v>General</x:v>
      </x:c>
      <x:c r="H179" s="167" t="str">
        <x:v>Not Started</x:v>
      </x:c>
      <x:c r="I179" s="167" t="n">
        <x:v>0</x:v>
      </x:c>
      <x:c r="J179" s="168"/>
      <x:c r="K179" s="168" t="str">
        <x:f>IF(OR(H179="Mastered",J179=""),"",J179+IF(I179&gt;=5,30,IF(I179=4,14,IF(I179=3,7,IF(I179=2,3,1)))))</x:f>
      </x:c>
      <x:c r="L179" s="171" t="str"/>
      <x:c r="M179" s="171" t="str"/>
      <x:c r="N179" s="171" t="str">
        <x:v>Draft — verify in context</x:v>
      </x:c>
      <x:c r="O179" s="167" t="str">
        <x:v>https://www.wgtn.ac.nz/lals/resources/academicwordlist</x:v>
      </x:c>
    </x:row>
    <x:row r="180" ht="26" customHeight="1">
      <x:c r="A180" s="167" t="n">
        <x:v>179</x:v>
      </x:c>
      <x:c r="B180" s="167" t="str">
        <x:v>validity</x:v>
      </x:c>
      <x:c r="C180" s="170" t="str">
        <x:v>термін дії</x:v>
      </x:c>
      <x:c r="D180" s="167" t="n">
        <x:v>3</x:v>
      </x:c>
      <x:c r="E180" s="167" t="str">
        <x:v>Yes</x:v>
      </x:c>
      <x:c r="F180" s="167" t="str">
        <x:v>High</x:v>
      </x:c>
      <x:c r="G180" s="167" t="str">
        <x:v>General</x:v>
      </x:c>
      <x:c r="H180" s="167" t="str">
        <x:v>Not Started</x:v>
      </x:c>
      <x:c r="I180" s="167" t="n">
        <x:v>0</x:v>
      </x:c>
      <x:c r="J180" s="168"/>
      <x:c r="K180" s="168" t="str">
        <x:f>IF(OR(H180="Mastered",J180=""),"",J180+IF(I180&gt;=5,30,IF(I180=4,14,IF(I180=3,7,IF(I180=2,3,1)))))</x:f>
      </x:c>
      <x:c r="L180" s="171" t="str"/>
      <x:c r="M180" s="171" t="str"/>
      <x:c r="N180" s="171" t="str">
        <x:v>Draft — verify in context</x:v>
      </x:c>
      <x:c r="O180" s="167" t="str">
        <x:v>https://www.wgtn.ac.nz/lals/resources/academicwordlist</x:v>
      </x:c>
    </x:row>
    <x:row r="181" ht="26" customHeight="1">
      <x:c r="A181" s="167" t="n">
        <x:v>180</x:v>
      </x:c>
      <x:c r="B181" s="167" t="str">
        <x:v>volume</x:v>
      </x:c>
      <x:c r="C181" s="170" t="str">
        <x:v>обсяг</x:v>
      </x:c>
      <x:c r="D181" s="167" t="n">
        <x:v>3</x:v>
      </x:c>
      <x:c r="E181" s="167" t="str">
        <x:v>No</x:v>
      </x:c>
      <x:c r="F181" s="167" t="str">
        <x:v>High</x:v>
      </x:c>
      <x:c r="G181" s="167" t="str">
        <x:v>General</x:v>
      </x:c>
      <x:c r="H181" s="167" t="str">
        <x:v>Not Started</x:v>
      </x:c>
      <x:c r="I181" s="167" t="n">
        <x:v>0</x:v>
      </x:c>
      <x:c r="J181" s="168"/>
      <x:c r="K181" s="168" t="str">
        <x:f>IF(OR(H181="Mastered",J181=""),"",J181+IF(I181&gt;=5,30,IF(I181=4,14,IF(I181=3,7,IF(I181=2,3,1)))))</x:f>
      </x:c>
      <x:c r="L181" s="171" t="str"/>
      <x:c r="M181" s="171" t="str"/>
      <x:c r="N181" s="171" t="str">
        <x:v>Draft — verify in context</x:v>
      </x:c>
      <x:c r="O181" s="167" t="str">
        <x:v>https://www.wgtn.ac.nz/lals/resources/academicwordlist</x:v>
      </x:c>
    </x:row>
    <x:row r="182" ht="26" customHeight="1">
      <x:c r="A182" s="167" t="n">
        <x:v>181</x:v>
      </x:c>
      <x:c r="B182" s="167" t="str">
        <x:v>access</x:v>
      </x:c>
      <x:c r="C182" s="170" t="str">
        <x:v>доступу</x:v>
      </x:c>
      <x:c r="D182" s="167" t="n">
        <x:v>4</x:v>
      </x:c>
      <x:c r="E182" s="167" t="str">
        <x:v>No</x:v>
      </x:c>
      <x:c r="F182" s="167" t="str">
        <x:v>Medium</x:v>
      </x:c>
      <x:c r="G182" s="167" t="str">
        <x:v>General</x:v>
      </x:c>
      <x:c r="H182" s="167" t="str">
        <x:v>Not Started</x:v>
      </x:c>
      <x:c r="I182" s="167" t="n">
        <x:v>0</x:v>
      </x:c>
      <x:c r="J182" s="168"/>
      <x:c r="K182" s="168" t="str">
        <x:f>IF(OR(H182="Mastered",J182=""),"",J182+IF(I182&gt;=5,30,IF(I182=4,14,IF(I182=3,7,IF(I182=2,3,1)))))</x:f>
      </x:c>
      <x:c r="L182" s="171" t="str"/>
      <x:c r="M182" s="171" t="str"/>
      <x:c r="N182" s="171" t="str">
        <x:v>Draft — verify in context</x:v>
      </x:c>
      <x:c r="O182" s="167" t="str">
        <x:v>https://www.wgtn.ac.nz/lals/resources/academicwordlist</x:v>
      </x:c>
    </x:row>
    <x:row r="183" ht="26" customHeight="1">
      <x:c r="A183" s="167" t="n">
        <x:v>182</x:v>
      </x:c>
      <x:c r="B183" s="167" t="str">
        <x:v>adequate</x:v>
      </x:c>
      <x:c r="C183" s="170" t="str">
        <x:v>адекватний</x:v>
      </x:c>
      <x:c r="D183" s="167" t="n">
        <x:v>4</x:v>
      </x:c>
      <x:c r="E183" s="167" t="str">
        <x:v>No</x:v>
      </x:c>
      <x:c r="F183" s="167" t="str">
        <x:v>Medium</x:v>
      </x:c>
      <x:c r="G183" s="167" t="str">
        <x:v>General</x:v>
      </x:c>
      <x:c r="H183" s="167" t="str">
        <x:v>Not Started</x:v>
      </x:c>
      <x:c r="I183" s="167" t="n">
        <x:v>0</x:v>
      </x:c>
      <x:c r="J183" s="168"/>
      <x:c r="K183" s="168" t="str">
        <x:f>IF(OR(H183="Mastered",J183=""),"",J183+IF(I183&gt;=5,30,IF(I183=4,14,IF(I183=3,7,IF(I183=2,3,1)))))</x:f>
      </x:c>
      <x:c r="L183" s="171" t="str"/>
      <x:c r="M183" s="171" t="str"/>
      <x:c r="N183" s="171" t="str">
        <x:v>Draft — verify in context</x:v>
      </x:c>
      <x:c r="O183" s="167" t="str">
        <x:v>https://www.wgtn.ac.nz/lals/resources/academicwordlist</x:v>
      </x:c>
    </x:row>
    <x:row r="184" ht="26" customHeight="1">
      <x:c r="A184" s="167" t="n">
        <x:v>183</x:v>
      </x:c>
      <x:c r="B184" s="167" t="str">
        <x:v>annual</x:v>
      </x:c>
      <x:c r="C184" s="170" t="str">
        <x:v>річний</x:v>
      </x:c>
      <x:c r="D184" s="167" t="n">
        <x:v>4</x:v>
      </x:c>
      <x:c r="E184" s="167" t="str">
        <x:v>No</x:v>
      </x:c>
      <x:c r="F184" s="167" t="str">
        <x:v>Medium</x:v>
      </x:c>
      <x:c r="G184" s="167" t="str">
        <x:v>General</x:v>
      </x:c>
      <x:c r="H184" s="167" t="str">
        <x:v>Not Started</x:v>
      </x:c>
      <x:c r="I184" s="167" t="n">
        <x:v>0</x:v>
      </x:c>
      <x:c r="J184" s="168"/>
      <x:c r="K184" s="168" t="str">
        <x:f>IF(OR(H184="Mastered",J184=""),"",J184+IF(I184&gt;=5,30,IF(I184=4,14,IF(I184=3,7,IF(I184=2,3,1)))))</x:f>
      </x:c>
      <x:c r="L184" s="171" t="str"/>
      <x:c r="M184" s="171" t="str"/>
      <x:c r="N184" s="171" t="str">
        <x:v>Draft — verify in context</x:v>
      </x:c>
      <x:c r="O184" s="167" t="str">
        <x:v>https://www.wgtn.ac.nz/lals/resources/academicwordlist</x:v>
      </x:c>
    </x:row>
    <x:row r="185" ht="26" customHeight="1">
      <x:c r="A185" s="167" t="n">
        <x:v>184</x:v>
      </x:c>
      <x:c r="B185" s="167" t="str">
        <x:v>apparent</x:v>
      </x:c>
      <x:c r="C185" s="170" t="str">
        <x:v>очевидний</x:v>
      </x:c>
      <x:c r="D185" s="167" t="n">
        <x:v>4</x:v>
      </x:c>
      <x:c r="E185" s="167" t="str">
        <x:v>No</x:v>
      </x:c>
      <x:c r="F185" s="167" t="str">
        <x:v>Medium</x:v>
      </x:c>
      <x:c r="G185" s="167" t="str">
        <x:v>General</x:v>
      </x:c>
      <x:c r="H185" s="167" t="str">
        <x:v>Not Started</x:v>
      </x:c>
      <x:c r="I185" s="167" t="n">
        <x:v>0</x:v>
      </x:c>
      <x:c r="J185" s="168"/>
      <x:c r="K185" s="168" t="str">
        <x:f>IF(OR(H185="Mastered",J185=""),"",J185+IF(I185&gt;=5,30,IF(I185=4,14,IF(I185=3,7,IF(I185=2,3,1)))))</x:f>
      </x:c>
      <x:c r="L185" s="171" t="str"/>
      <x:c r="M185" s="171" t="str"/>
      <x:c r="N185" s="171" t="str">
        <x:v>Draft — verify in context</x:v>
      </x:c>
      <x:c r="O185" s="167" t="str">
        <x:v>https://www.wgtn.ac.nz/lals/resources/academicwordlist</x:v>
      </x:c>
    </x:row>
    <x:row r="186" ht="26" customHeight="1">
      <x:c r="A186" s="167" t="n">
        <x:v>185</x:v>
      </x:c>
      <x:c r="B186" s="167" t="str">
        <x:v>approximated</x:v>
      </x:c>
      <x:c r="C186" s="170" t="str">
        <x:v>наближений</x:v>
      </x:c>
      <x:c r="D186" s="167" t="n">
        <x:v>4</x:v>
      </x:c>
      <x:c r="E186" s="167" t="str">
        <x:v>No</x:v>
      </x:c>
      <x:c r="F186" s="167" t="str">
        <x:v>Medium</x:v>
      </x:c>
      <x:c r="G186" s="167" t="str">
        <x:v>General</x:v>
      </x:c>
      <x:c r="H186" s="167" t="str">
        <x:v>Not Started</x:v>
      </x:c>
      <x:c r="I186" s="167" t="n">
        <x:v>0</x:v>
      </x:c>
      <x:c r="J186" s="168"/>
      <x:c r="K186" s="168" t="str">
        <x:f>IF(OR(H186="Mastered",J186=""),"",J186+IF(I186&gt;=5,30,IF(I186=4,14,IF(I186=3,7,IF(I186=2,3,1)))))</x:f>
      </x:c>
      <x:c r="L186" s="171" t="str"/>
      <x:c r="M186" s="171" t="str"/>
      <x:c r="N186" s="171" t="str">
        <x:v>Draft — verify in context</x:v>
      </x:c>
      <x:c r="O186" s="167" t="str">
        <x:v>https://www.wgtn.ac.nz/lals/resources/academicwordlist</x:v>
      </x:c>
    </x:row>
    <x:row r="187" ht="26" customHeight="1">
      <x:c r="A187" s="167" t="n">
        <x:v>186</x:v>
      </x:c>
      <x:c r="B187" s="167" t="str">
        <x:v>attitudes</x:v>
      </x:c>
      <x:c r="C187" s="170" t="str">
        <x:v>ставлення</x:v>
      </x:c>
      <x:c r="D187" s="167" t="n">
        <x:v>4</x:v>
      </x:c>
      <x:c r="E187" s="167" t="str">
        <x:v>No</x:v>
      </x:c>
      <x:c r="F187" s="167" t="str">
        <x:v>Medium</x:v>
      </x:c>
      <x:c r="G187" s="167" t="str">
        <x:v>General</x:v>
      </x:c>
      <x:c r="H187" s="167" t="str">
        <x:v>Not Started</x:v>
      </x:c>
      <x:c r="I187" s="167" t="n">
        <x:v>0</x:v>
      </x:c>
      <x:c r="J187" s="168"/>
      <x:c r="K187" s="168" t="str">
        <x:f>IF(OR(H187="Mastered",J187=""),"",J187+IF(I187&gt;=5,30,IF(I187=4,14,IF(I187=3,7,IF(I187=2,3,1)))))</x:f>
      </x:c>
      <x:c r="L187" s="171" t="str"/>
      <x:c r="M187" s="171" t="str"/>
      <x:c r="N187" s="171" t="str">
        <x:v>Draft — verify in context</x:v>
      </x:c>
      <x:c r="O187" s="167" t="str">
        <x:v>https://www.wgtn.ac.nz/lals/resources/academicwordlist</x:v>
      </x:c>
    </x:row>
    <x:row r="188" ht="26" customHeight="1">
      <x:c r="A188" s="167" t="n">
        <x:v>187</x:v>
      </x:c>
      <x:c r="B188" s="167" t="str">
        <x:v>attributed</x:v>
      </x:c>
      <x:c r="C188" s="170" t="str">
        <x:v>приписується</x:v>
      </x:c>
      <x:c r="D188" s="167" t="n">
        <x:v>4</x:v>
      </x:c>
      <x:c r="E188" s="167" t="str">
        <x:v>No</x:v>
      </x:c>
      <x:c r="F188" s="167" t="str">
        <x:v>Medium</x:v>
      </x:c>
      <x:c r="G188" s="167" t="str">
        <x:v>General</x:v>
      </x:c>
      <x:c r="H188" s="167" t="str">
        <x:v>Not Started</x:v>
      </x:c>
      <x:c r="I188" s="167" t="n">
        <x:v>0</x:v>
      </x:c>
      <x:c r="J188" s="168"/>
      <x:c r="K188" s="168" t="str">
        <x:f>IF(OR(H188="Mastered",J188=""),"",J188+IF(I188&gt;=5,30,IF(I188=4,14,IF(I188=3,7,IF(I188=2,3,1)))))</x:f>
      </x:c>
      <x:c r="L188" s="171" t="str"/>
      <x:c r="M188" s="171" t="str"/>
      <x:c r="N188" s="171" t="str">
        <x:v>Draft — verify in context</x:v>
      </x:c>
      <x:c r="O188" s="167" t="str">
        <x:v>https://www.wgtn.ac.nz/lals/resources/academicwordlist</x:v>
      </x:c>
    </x:row>
    <x:row r="189" ht="26" customHeight="1">
      <x:c r="A189" s="167" t="n">
        <x:v>188</x:v>
      </x:c>
      <x:c r="B189" s="167" t="str">
        <x:v>civil</x:v>
      </x:c>
      <x:c r="C189" s="170" t="str">
        <x:v>цивільний</x:v>
      </x:c>
      <x:c r="D189" s="167" t="n">
        <x:v>4</x:v>
      </x:c>
      <x:c r="E189" s="167" t="str">
        <x:v>No</x:v>
      </x:c>
      <x:c r="F189" s="167" t="str">
        <x:v>Medium</x:v>
      </x:c>
      <x:c r="G189" s="167" t="str">
        <x:v>General</x:v>
      </x:c>
      <x:c r="H189" s="167" t="str">
        <x:v>Not Started</x:v>
      </x:c>
      <x:c r="I189" s="167" t="n">
        <x:v>0</x:v>
      </x:c>
      <x:c r="J189" s="168"/>
      <x:c r="K189" s="168" t="str">
        <x:f>IF(OR(H189="Mastered",J189=""),"",J189+IF(I189&gt;=5,30,IF(I189=4,14,IF(I189=3,7,IF(I189=2,3,1)))))</x:f>
      </x:c>
      <x:c r="L189" s="171" t="str"/>
      <x:c r="M189" s="171" t="str"/>
      <x:c r="N189" s="171" t="str">
        <x:v>Draft — verify in context</x:v>
      </x:c>
      <x:c r="O189" s="167" t="str">
        <x:v>https://www.wgtn.ac.nz/lals/resources/academicwordlist</x:v>
      </x:c>
    </x:row>
    <x:row r="190" ht="26" customHeight="1">
      <x:c r="A190" s="167" t="n">
        <x:v>189</x:v>
      </x:c>
      <x:c r="B190" s="167" t="str">
        <x:v>code</x:v>
      </x:c>
      <x:c r="C190" s="170" t="str">
        <x:v>код</x:v>
      </x:c>
      <x:c r="D190" s="167" t="n">
        <x:v>4</x:v>
      </x:c>
      <x:c r="E190" s="167" t="str">
        <x:v>No</x:v>
      </x:c>
      <x:c r="F190" s="167" t="str">
        <x:v>Medium</x:v>
      </x:c>
      <x:c r="G190" s="167" t="str">
        <x:v>General</x:v>
      </x:c>
      <x:c r="H190" s="167" t="str">
        <x:v>Not Started</x:v>
      </x:c>
      <x:c r="I190" s="167" t="n">
        <x:v>0</x:v>
      </x:c>
      <x:c r="J190" s="168"/>
      <x:c r="K190" s="168" t="str">
        <x:f>IF(OR(H190="Mastered",J190=""),"",J190+IF(I190&gt;=5,30,IF(I190=4,14,IF(I190=3,7,IF(I190=2,3,1)))))</x:f>
      </x:c>
      <x:c r="L190" s="171" t="str"/>
      <x:c r="M190" s="171" t="str"/>
      <x:c r="N190" s="171" t="str">
        <x:v>Draft — verify in context</x:v>
      </x:c>
      <x:c r="O190" s="167" t="str">
        <x:v>https://www.wgtn.ac.nz/lals/resources/academicwordlist</x:v>
      </x:c>
    </x:row>
    <x:row r="191" ht="26" customHeight="1">
      <x:c r="A191" s="167" t="n">
        <x:v>190</x:v>
      </x:c>
      <x:c r="B191" s="167" t="str">
        <x:v>commitment</x:v>
      </x:c>
      <x:c r="C191" s="170" t="str">
        <x:v>зобов'язання</x:v>
      </x:c>
      <x:c r="D191" s="167" t="n">
        <x:v>4</x:v>
      </x:c>
      <x:c r="E191" s="167" t="str">
        <x:v>No</x:v>
      </x:c>
      <x:c r="F191" s="167" t="str">
        <x:v>Medium</x:v>
      </x:c>
      <x:c r="G191" s="167" t="str">
        <x:v>General</x:v>
      </x:c>
      <x:c r="H191" s="167" t="str">
        <x:v>Not Started</x:v>
      </x:c>
      <x:c r="I191" s="167" t="n">
        <x:v>0</x:v>
      </x:c>
      <x:c r="J191" s="168"/>
      <x:c r="K191" s="168" t="str">
        <x:f>IF(OR(H191="Mastered",J191=""),"",J191+IF(I191&gt;=5,30,IF(I191=4,14,IF(I191=3,7,IF(I191=2,3,1)))))</x:f>
      </x:c>
      <x:c r="L191" s="171" t="str"/>
      <x:c r="M191" s="171" t="str"/>
      <x:c r="N191" s="171" t="str">
        <x:v>Draft — verify in context</x:v>
      </x:c>
      <x:c r="O191" s="167" t="str">
        <x:v>https://www.wgtn.ac.nz/lals/resources/academicwordlist</x:v>
      </x:c>
    </x:row>
    <x:row r="192" ht="26" customHeight="1">
      <x:c r="A192" s="167" t="n">
        <x:v>191</x:v>
      </x:c>
      <x:c r="B192" s="167" t="str">
        <x:v>communication</x:v>
      </x:c>
      <x:c r="C192" s="170" t="str">
        <x:v>спілкування</x:v>
      </x:c>
      <x:c r="D192" s="167" t="n">
        <x:v>4</x:v>
      </x:c>
      <x:c r="E192" s="167" t="str">
        <x:v>No</x:v>
      </x:c>
      <x:c r="F192" s="167" t="str">
        <x:v>Medium</x:v>
      </x:c>
      <x:c r="G192" s="167" t="str">
        <x:v>General</x:v>
      </x:c>
      <x:c r="H192" s="167" t="str">
        <x:v>Not Started</x:v>
      </x:c>
      <x:c r="I192" s="167" t="n">
        <x:v>0</x:v>
      </x:c>
      <x:c r="J192" s="168"/>
      <x:c r="K192" s="168" t="str">
        <x:f>IF(OR(H192="Mastered",J192=""),"",J192+IF(I192&gt;=5,30,IF(I192=4,14,IF(I192=3,7,IF(I192=2,3,1)))))</x:f>
      </x:c>
      <x:c r="L192" s="171" t="str"/>
      <x:c r="M192" s="171" t="str"/>
      <x:c r="N192" s="171" t="str">
        <x:v>Draft — verify in context</x:v>
      </x:c>
      <x:c r="O192" s="167" t="str">
        <x:v>https://www.wgtn.ac.nz/lals/resources/academicwordlist</x:v>
      </x:c>
    </x:row>
    <x:row r="193" ht="26" customHeight="1">
      <x:c r="A193" s="167" t="n">
        <x:v>192</x:v>
      </x:c>
      <x:c r="B193" s="167" t="str">
        <x:v>concentration</x:v>
      </x:c>
      <x:c r="C193" s="170" t="str">
        <x:v>концентрація</x:v>
      </x:c>
      <x:c r="D193" s="167" t="n">
        <x:v>4</x:v>
      </x:c>
      <x:c r="E193" s="167" t="str">
        <x:v>No</x:v>
      </x:c>
      <x:c r="F193" s="167" t="str">
        <x:v>Medium</x:v>
      </x:c>
      <x:c r="G193" s="167" t="str">
        <x:v>General</x:v>
      </x:c>
      <x:c r="H193" s="167" t="str">
        <x:v>Not Started</x:v>
      </x:c>
      <x:c r="I193" s="167" t="n">
        <x:v>0</x:v>
      </x:c>
      <x:c r="J193" s="168"/>
      <x:c r="K193" s="168" t="str">
        <x:f>IF(OR(H193="Mastered",J193=""),"",J193+IF(I193&gt;=5,30,IF(I193=4,14,IF(I193=3,7,IF(I193=2,3,1)))))</x:f>
      </x:c>
      <x:c r="L193" s="171" t="str"/>
      <x:c r="M193" s="171" t="str"/>
      <x:c r="N193" s="171" t="str">
        <x:v>Draft — verify in context</x:v>
      </x:c>
      <x:c r="O193" s="167" t="str">
        <x:v>https://www.wgtn.ac.nz/lals/resources/academicwordlist</x:v>
      </x:c>
    </x:row>
    <x:row r="194" ht="26" customHeight="1">
      <x:c r="A194" s="167" t="n">
        <x:v>193</x:v>
      </x:c>
      <x:c r="B194" s="167" t="str">
        <x:v>conference</x:v>
      </x:c>
      <x:c r="C194" s="170" t="str">
        <x:v>конференції</x:v>
      </x:c>
      <x:c r="D194" s="167" t="n">
        <x:v>4</x:v>
      </x:c>
      <x:c r="E194" s="167" t="str">
        <x:v>No</x:v>
      </x:c>
      <x:c r="F194" s="167" t="str">
        <x:v>Medium</x:v>
      </x:c>
      <x:c r="G194" s="167" t="str">
        <x:v>General</x:v>
      </x:c>
      <x:c r="H194" s="167" t="str">
        <x:v>Not Started</x:v>
      </x:c>
      <x:c r="I194" s="167" t="n">
        <x:v>0</x:v>
      </x:c>
      <x:c r="J194" s="168"/>
      <x:c r="K194" s="168" t="str">
        <x:f>IF(OR(H194="Mastered",J194=""),"",J194+IF(I194&gt;=5,30,IF(I194=4,14,IF(I194=3,7,IF(I194=2,3,1)))))</x:f>
      </x:c>
      <x:c r="L194" s="171" t="str"/>
      <x:c r="M194" s="171" t="str"/>
      <x:c r="N194" s="171" t="str">
        <x:v>Draft — verify in context</x:v>
      </x:c>
      <x:c r="O194" s="167" t="str">
        <x:v>https://www.wgtn.ac.nz/lals/resources/academicwordlist</x:v>
      </x:c>
    </x:row>
    <x:row r="195" ht="26" customHeight="1">
      <x:c r="A195" s="167" t="n">
        <x:v>194</x:v>
      </x:c>
      <x:c r="B195" s="167" t="str">
        <x:v>contrast</x:v>
      </x:c>
      <x:c r="C195" s="170" t="str">
        <x:v>контраст</x:v>
      </x:c>
      <x:c r="D195" s="167" t="n">
        <x:v>4</x:v>
      </x:c>
      <x:c r="E195" s="167" t="str">
        <x:v>No</x:v>
      </x:c>
      <x:c r="F195" s="167" t="str">
        <x:v>Medium</x:v>
      </x:c>
      <x:c r="G195" s="167" t="str">
        <x:v>General</x:v>
      </x:c>
      <x:c r="H195" s="167" t="str">
        <x:v>Not Started</x:v>
      </x:c>
      <x:c r="I195" s="167" t="n">
        <x:v>0</x:v>
      </x:c>
      <x:c r="J195" s="168"/>
      <x:c r="K195" s="168" t="str">
        <x:f>IF(OR(H195="Mastered",J195=""),"",J195+IF(I195&gt;=5,30,IF(I195=4,14,IF(I195=3,7,IF(I195=2,3,1)))))</x:f>
      </x:c>
      <x:c r="L195" s="171" t="str"/>
      <x:c r="M195" s="171" t="str"/>
      <x:c r="N195" s="171" t="str">
        <x:v>Draft — verify in context</x:v>
      </x:c>
      <x:c r="O195" s="167" t="str">
        <x:v>https://www.wgtn.ac.nz/lals/resources/academicwordlist</x:v>
      </x:c>
    </x:row>
    <x:row r="196" ht="26" customHeight="1">
      <x:c r="A196" s="167" t="n">
        <x:v>195</x:v>
      </x:c>
      <x:c r="B196" s="167" t="str">
        <x:v>cycle</x:v>
      </x:c>
      <x:c r="C196" s="170" t="str">
        <x:v>цикл</x:v>
      </x:c>
      <x:c r="D196" s="167" t="n">
        <x:v>4</x:v>
      </x:c>
      <x:c r="E196" s="167" t="str">
        <x:v>No</x:v>
      </x:c>
      <x:c r="F196" s="167" t="str">
        <x:v>Medium</x:v>
      </x:c>
      <x:c r="G196" s="167" t="str">
        <x:v>General</x:v>
      </x:c>
      <x:c r="H196" s="167" t="str">
        <x:v>Not Started</x:v>
      </x:c>
      <x:c r="I196" s="167" t="n">
        <x:v>0</x:v>
      </x:c>
      <x:c r="J196" s="168"/>
      <x:c r="K196" s="168" t="str">
        <x:f>IF(OR(H196="Mastered",J196=""),"",J196+IF(I196&gt;=5,30,IF(I196=4,14,IF(I196=3,7,IF(I196=2,3,1)))))</x:f>
      </x:c>
      <x:c r="L196" s="171" t="str"/>
      <x:c r="M196" s="171" t="str"/>
      <x:c r="N196" s="171" t="str">
        <x:v>Draft — verify in context</x:v>
      </x:c>
      <x:c r="O196" s="167" t="str">
        <x:v>https://www.wgtn.ac.nz/lals/resources/academicwordlist</x:v>
      </x:c>
    </x:row>
    <x:row r="197" ht="26" customHeight="1">
      <x:c r="A197" s="167" t="n">
        <x:v>196</x:v>
      </x:c>
      <x:c r="B197" s="167" t="str">
        <x:v>debate</x:v>
      </x:c>
      <x:c r="C197" s="170" t="str">
        <x:v>дебати</x:v>
      </x:c>
      <x:c r="D197" s="167" t="n">
        <x:v>4</x:v>
      </x:c>
      <x:c r="E197" s="167" t="str">
        <x:v>No</x:v>
      </x:c>
      <x:c r="F197" s="167" t="str">
        <x:v>Medium</x:v>
      </x:c>
      <x:c r="G197" s="167" t="str">
        <x:v>General</x:v>
      </x:c>
      <x:c r="H197" s="167" t="str">
        <x:v>Not Started</x:v>
      </x:c>
      <x:c r="I197" s="167" t="n">
        <x:v>0</x:v>
      </x:c>
      <x:c r="J197" s="168"/>
      <x:c r="K197" s="168" t="str">
        <x:f>IF(OR(H197="Mastered",J197=""),"",J197+IF(I197&gt;=5,30,IF(I197=4,14,IF(I197=3,7,IF(I197=2,3,1)))))</x:f>
      </x:c>
      <x:c r="L197" s="171" t="str"/>
      <x:c r="M197" s="171" t="str"/>
      <x:c r="N197" s="171" t="str">
        <x:v>Draft — verify in context</x:v>
      </x:c>
      <x:c r="O197" s="167" t="str">
        <x:v>https://www.wgtn.ac.nz/lals/resources/academicwordlist</x:v>
      </x:c>
    </x:row>
    <x:row r="198" ht="26" customHeight="1">
      <x:c r="A198" s="167" t="n">
        <x:v>197</x:v>
      </x:c>
      <x:c r="B198" s="167" t="str">
        <x:v>despite</x:v>
      </x:c>
      <x:c r="C198" s="170" t="str">
        <x:v>незважаючи на</x:v>
      </x:c>
      <x:c r="D198" s="167" t="n">
        <x:v>4</x:v>
      </x:c>
      <x:c r="E198" s="167" t="str">
        <x:v>No</x:v>
      </x:c>
      <x:c r="F198" s="167" t="str">
        <x:v>Medium</x:v>
      </x:c>
      <x:c r="G198" s="167" t="str">
        <x:v>General</x:v>
      </x:c>
      <x:c r="H198" s="167" t="str">
        <x:v>Not Started</x:v>
      </x:c>
      <x:c r="I198" s="167" t="n">
        <x:v>0</x:v>
      </x:c>
      <x:c r="J198" s="168"/>
      <x:c r="K198" s="168" t="str">
        <x:f>IF(OR(H198="Mastered",J198=""),"",J198+IF(I198&gt;=5,30,IF(I198=4,14,IF(I198=3,7,IF(I198=2,3,1)))))</x:f>
      </x:c>
      <x:c r="L198" s="171" t="str"/>
      <x:c r="M198" s="171" t="str"/>
      <x:c r="N198" s="171" t="str">
        <x:v>Draft — verify in context</x:v>
      </x:c>
      <x:c r="O198" s="167" t="str">
        <x:v>https://www.wgtn.ac.nz/lals/resources/academicwordlist</x:v>
      </x:c>
    </x:row>
    <x:row r="199" ht="26" customHeight="1">
      <x:c r="A199" s="167" t="n">
        <x:v>198</x:v>
      </x:c>
      <x:c r="B199" s="167" t="str">
        <x:v>dimensions</x:v>
      </x:c>
      <x:c r="C199" s="170" t="str">
        <x:v>розміри</x:v>
      </x:c>
      <x:c r="D199" s="167" t="n">
        <x:v>4</x:v>
      </x:c>
      <x:c r="E199" s="167" t="str">
        <x:v>No</x:v>
      </x:c>
      <x:c r="F199" s="167" t="str">
        <x:v>Medium</x:v>
      </x:c>
      <x:c r="G199" s="167" t="str">
        <x:v>General</x:v>
      </x:c>
      <x:c r="H199" s="167" t="str">
        <x:v>Not Started</x:v>
      </x:c>
      <x:c r="I199" s="167" t="n">
        <x:v>0</x:v>
      </x:c>
      <x:c r="J199" s="168"/>
      <x:c r="K199" s="168" t="str">
        <x:f>IF(OR(H199="Mastered",J199=""),"",J199+IF(I199&gt;=5,30,IF(I199=4,14,IF(I199=3,7,IF(I199=2,3,1)))))</x:f>
      </x:c>
      <x:c r="L199" s="171" t="str"/>
      <x:c r="M199" s="171" t="str"/>
      <x:c r="N199" s="171" t="str">
        <x:v>Draft — verify in context</x:v>
      </x:c>
      <x:c r="O199" s="167" t="str">
        <x:v>https://www.wgtn.ac.nz/lals/resources/academicwordlist</x:v>
      </x:c>
    </x:row>
    <x:row r="200" ht="26" customHeight="1">
      <x:c r="A200" s="167" t="n">
        <x:v>199</x:v>
      </x:c>
      <x:c r="B200" s="167" t="str">
        <x:v>domestic</x:v>
      </x:c>
      <x:c r="C200" s="170" t="str">
        <x:v>вітчизняні</x:v>
      </x:c>
      <x:c r="D200" s="167" t="n">
        <x:v>4</x:v>
      </x:c>
      <x:c r="E200" s="167" t="str">
        <x:v>No</x:v>
      </x:c>
      <x:c r="F200" s="167" t="str">
        <x:v>Medium</x:v>
      </x:c>
      <x:c r="G200" s="167" t="str">
        <x:v>General</x:v>
      </x:c>
      <x:c r="H200" s="167" t="str">
        <x:v>Not Started</x:v>
      </x:c>
      <x:c r="I200" s="167" t="n">
        <x:v>0</x:v>
      </x:c>
      <x:c r="J200" s="168"/>
      <x:c r="K200" s="168" t="str">
        <x:f>IF(OR(H200="Mastered",J200=""),"",J200+IF(I200&gt;=5,30,IF(I200=4,14,IF(I200=3,7,IF(I200=2,3,1)))))</x:f>
      </x:c>
      <x:c r="L200" s="171" t="str"/>
      <x:c r="M200" s="171" t="str"/>
      <x:c r="N200" s="171" t="str">
        <x:v>Draft — verify in context</x:v>
      </x:c>
      <x:c r="O200" s="167" t="str">
        <x:v>https://www.wgtn.ac.nz/lals/resources/academicwordlist</x:v>
      </x:c>
    </x:row>
    <x:row r="201" ht="26" customHeight="1">
      <x:c r="A201" s="167" t="n">
        <x:v>200</x:v>
      </x:c>
      <x:c r="B201" s="167" t="str">
        <x:v>emerged</x:v>
      </x:c>
      <x:c r="C201" s="170" t="str">
        <x:v>виник</x:v>
      </x:c>
      <x:c r="D201" s="167" t="n">
        <x:v>4</x:v>
      </x:c>
      <x:c r="E201" s="167" t="str">
        <x:v>No</x:v>
      </x:c>
      <x:c r="F201" s="167" t="str">
        <x:v>Medium</x:v>
      </x:c>
      <x:c r="G201" s="167" t="str">
        <x:v>General</x:v>
      </x:c>
      <x:c r="H201" s="167" t="str">
        <x:v>Not Started</x:v>
      </x:c>
      <x:c r="I201" s="167" t="n">
        <x:v>0</x:v>
      </x:c>
      <x:c r="J201" s="168"/>
      <x:c r="K201" s="168" t="str">
        <x:f>IF(OR(H201="Mastered",J201=""),"",J201+IF(I201&gt;=5,30,IF(I201=4,14,IF(I201=3,7,IF(I201=2,3,1)))))</x:f>
      </x:c>
      <x:c r="L201" s="171" t="str"/>
      <x:c r="M201" s="171" t="str"/>
      <x:c r="N201" s="171" t="str">
        <x:v>Draft — verify in context</x:v>
      </x:c>
      <x:c r="O201" s="167" t="str">
        <x:v>https://www.wgtn.ac.nz/lals/resources/academicwordlist</x:v>
      </x:c>
    </x:row>
    <x:row r="202" ht="26" customHeight="1">
      <x:c r="A202" s="167" t="n">
        <x:v>201</x:v>
      </x:c>
      <x:c r="B202" s="167" t="str">
        <x:v>error</x:v>
      </x:c>
      <x:c r="C202" s="170" t="str">
        <x:v>помилка</x:v>
      </x:c>
      <x:c r="D202" s="167" t="n">
        <x:v>4</x:v>
      </x:c>
      <x:c r="E202" s="167" t="str">
        <x:v>No</x:v>
      </x:c>
      <x:c r="F202" s="167" t="str">
        <x:v>Medium</x:v>
      </x:c>
      <x:c r="G202" s="167" t="str">
        <x:v>General</x:v>
      </x:c>
      <x:c r="H202" s="167" t="str">
        <x:v>Not Started</x:v>
      </x:c>
      <x:c r="I202" s="167" t="n">
        <x:v>0</x:v>
      </x:c>
      <x:c r="J202" s="168"/>
      <x:c r="K202" s="168" t="str">
        <x:f>IF(OR(H202="Mastered",J202=""),"",J202+IF(I202&gt;=5,30,IF(I202=4,14,IF(I202=3,7,IF(I202=2,3,1)))))</x:f>
      </x:c>
      <x:c r="L202" s="171" t="str"/>
      <x:c r="M202" s="171" t="str"/>
      <x:c r="N202" s="171" t="str">
        <x:v>Draft — verify in context</x:v>
      </x:c>
      <x:c r="O202" s="167" t="str">
        <x:v>https://www.wgtn.ac.nz/lals/resources/academicwordlist</x:v>
      </x:c>
    </x:row>
    <x:row r="203" ht="26" customHeight="1">
      <x:c r="A203" s="167" t="n">
        <x:v>202</x:v>
      </x:c>
      <x:c r="B203" s="167" t="str">
        <x:v>ethnic</x:v>
      </x:c>
      <x:c r="C203" s="170" t="str">
        <x:v>етнічні</x:v>
      </x:c>
      <x:c r="D203" s="167" t="n">
        <x:v>4</x:v>
      </x:c>
      <x:c r="E203" s="167" t="str">
        <x:v>No</x:v>
      </x:c>
      <x:c r="F203" s="167" t="str">
        <x:v>Medium</x:v>
      </x:c>
      <x:c r="G203" s="167" t="str">
        <x:v>General</x:v>
      </x:c>
      <x:c r="H203" s="167" t="str">
        <x:v>Not Started</x:v>
      </x:c>
      <x:c r="I203" s="167" t="n">
        <x:v>0</x:v>
      </x:c>
      <x:c r="J203" s="168"/>
      <x:c r="K203" s="168" t="str">
        <x:f>IF(OR(H203="Mastered",J203=""),"",J203+IF(I203&gt;=5,30,IF(I203=4,14,IF(I203=3,7,IF(I203=2,3,1)))))</x:f>
      </x:c>
      <x:c r="L203" s="171" t="str"/>
      <x:c r="M203" s="171" t="str"/>
      <x:c r="N203" s="171" t="str">
        <x:v>Draft — verify in context</x:v>
      </x:c>
      <x:c r="O203" s="167" t="str">
        <x:v>https://www.wgtn.ac.nz/lals/resources/academicwordlist</x:v>
      </x:c>
    </x:row>
    <x:row r="204" ht="26" customHeight="1">
      <x:c r="A204" s="167" t="n">
        <x:v>203</x:v>
      </x:c>
      <x:c r="B204" s="167" t="str">
        <x:v>goals</x:v>
      </x:c>
      <x:c r="C204" s="170" t="str">
        <x:v>цілі</x:v>
      </x:c>
      <x:c r="D204" s="167" t="n">
        <x:v>4</x:v>
      </x:c>
      <x:c r="E204" s="167" t="str">
        <x:v>No</x:v>
      </x:c>
      <x:c r="F204" s="167" t="str">
        <x:v>Medium</x:v>
      </x:c>
      <x:c r="G204" s="167" t="str">
        <x:v>General</x:v>
      </x:c>
      <x:c r="H204" s="167" t="str">
        <x:v>Not Started</x:v>
      </x:c>
      <x:c r="I204" s="167" t="n">
        <x:v>0</x:v>
      </x:c>
      <x:c r="J204" s="168"/>
      <x:c r="K204" s="168" t="str">
        <x:f>IF(OR(H204="Mastered",J204=""),"",J204+IF(I204&gt;=5,30,IF(I204=4,14,IF(I204=3,7,IF(I204=2,3,1)))))</x:f>
      </x:c>
      <x:c r="L204" s="171" t="str"/>
      <x:c r="M204" s="171" t="str"/>
      <x:c r="N204" s="171" t="str">
        <x:v>Draft — verify in context</x:v>
      </x:c>
      <x:c r="O204" s="167" t="str">
        <x:v>https://www.wgtn.ac.nz/lals/resources/academicwordlist</x:v>
      </x:c>
    </x:row>
    <x:row r="205" ht="26" customHeight="1">
      <x:c r="A205" s="167" t="n">
        <x:v>204</x:v>
      </x:c>
      <x:c r="B205" s="167" t="str">
        <x:v>granted</x:v>
      </x:c>
      <x:c r="C205" s="170" t="str">
        <x:v>надано</x:v>
      </x:c>
      <x:c r="D205" s="167" t="n">
        <x:v>4</x:v>
      </x:c>
      <x:c r="E205" s="167" t="str">
        <x:v>No</x:v>
      </x:c>
      <x:c r="F205" s="167" t="str">
        <x:v>Medium</x:v>
      </x:c>
      <x:c r="G205" s="167" t="str">
        <x:v>General</x:v>
      </x:c>
      <x:c r="H205" s="167" t="str">
        <x:v>Not Started</x:v>
      </x:c>
      <x:c r="I205" s="167" t="n">
        <x:v>0</x:v>
      </x:c>
      <x:c r="J205" s="168"/>
      <x:c r="K205" s="168" t="str">
        <x:f>IF(OR(H205="Mastered",J205=""),"",J205+IF(I205&gt;=5,30,IF(I205=4,14,IF(I205=3,7,IF(I205=2,3,1)))))</x:f>
      </x:c>
      <x:c r="L205" s="171" t="str"/>
      <x:c r="M205" s="171" t="str"/>
      <x:c r="N205" s="171" t="str">
        <x:v>Draft — verify in context</x:v>
      </x:c>
      <x:c r="O205" s="167" t="str">
        <x:v>https://www.wgtn.ac.nz/lals/resources/academicwordlist</x:v>
      </x:c>
    </x:row>
    <x:row r="206" ht="26" customHeight="1">
      <x:c r="A206" s="167" t="n">
        <x:v>205</x:v>
      </x:c>
      <x:c r="B206" s="167" t="str">
        <x:v>hence</x:v>
      </x:c>
      <x:c r="C206" s="170" t="str">
        <x:v>отже</x:v>
      </x:c>
      <x:c r="D206" s="167" t="n">
        <x:v>4</x:v>
      </x:c>
      <x:c r="E206" s="167" t="str">
        <x:v>No</x:v>
      </x:c>
      <x:c r="F206" s="167" t="str">
        <x:v>Medium</x:v>
      </x:c>
      <x:c r="G206" s="167" t="str">
        <x:v>General</x:v>
      </x:c>
      <x:c r="H206" s="167" t="str">
        <x:v>Not Started</x:v>
      </x:c>
      <x:c r="I206" s="167" t="n">
        <x:v>0</x:v>
      </x:c>
      <x:c r="J206" s="168"/>
      <x:c r="K206" s="168" t="str">
        <x:f>IF(OR(H206="Mastered",J206=""),"",J206+IF(I206&gt;=5,30,IF(I206=4,14,IF(I206=3,7,IF(I206=2,3,1)))))</x:f>
      </x:c>
      <x:c r="L206" s="171" t="str"/>
      <x:c r="M206" s="171" t="str"/>
      <x:c r="N206" s="171" t="str">
        <x:v>Draft — verify in context</x:v>
      </x:c>
      <x:c r="O206" s="167" t="str">
        <x:v>https://www.wgtn.ac.nz/lals/resources/academicwordlist</x:v>
      </x:c>
    </x:row>
    <x:row r="207" ht="26" customHeight="1">
      <x:c r="A207" s="167" t="n">
        <x:v>206</x:v>
      </x:c>
      <x:c r="B207" s="167" t="str">
        <x:v>hypothesis</x:v>
      </x:c>
      <x:c r="C207" s="170" t="str">
        <x:v>гіпотеза</x:v>
      </x:c>
      <x:c r="D207" s="167" t="n">
        <x:v>4</x:v>
      </x:c>
      <x:c r="E207" s="167" t="str">
        <x:v>No</x:v>
      </x:c>
      <x:c r="F207" s="167" t="str">
        <x:v>Medium</x:v>
      </x:c>
      <x:c r="G207" s="167" t="str">
        <x:v>Research &amp; data</x:v>
      </x:c>
      <x:c r="H207" s="167" t="str">
        <x:v>Not Started</x:v>
      </x:c>
      <x:c r="I207" s="167" t="n">
        <x:v>0</x:v>
      </x:c>
      <x:c r="J207" s="168"/>
      <x:c r="K207" s="168" t="str">
        <x:f>IF(OR(H207="Mastered",J207=""),"",J207+IF(I207&gt;=5,30,IF(I207=4,14,IF(I207=3,7,IF(I207=2,3,1)))))</x:f>
      </x:c>
      <x:c r="L207" s="171" t="str"/>
      <x:c r="M207" s="171" t="str"/>
      <x:c r="N207" s="171" t="str">
        <x:v>Draft — verify in context</x:v>
      </x:c>
      <x:c r="O207" s="167" t="str">
        <x:v>https://www.wgtn.ac.nz/lals/resources/academicwordlist</x:v>
      </x:c>
    </x:row>
    <x:row r="208" ht="26" customHeight="1">
      <x:c r="A208" s="167" t="n">
        <x:v>207</x:v>
      </x:c>
      <x:c r="B208" s="167" t="str">
        <x:v>implementation</x:v>
      </x:c>
      <x:c r="C208" s="170" t="str">
        <x:v>впровадження</x:v>
      </x:c>
      <x:c r="D208" s="167" t="n">
        <x:v>4</x:v>
      </x:c>
      <x:c r="E208" s="167" t="str">
        <x:v>Yes</x:v>
      </x:c>
      <x:c r="F208" s="167" t="str">
        <x:v>Medium</x:v>
      </x:c>
      <x:c r="G208" s="167" t="str">
        <x:v>General</x:v>
      </x:c>
      <x:c r="H208" s="167" t="str">
        <x:v>Not Started</x:v>
      </x:c>
      <x:c r="I208" s="167" t="n">
        <x:v>0</x:v>
      </x:c>
      <x:c r="J208" s="168"/>
      <x:c r="K208" s="168" t="str">
        <x:f>IF(OR(H208="Mastered",J208=""),"",J208+IF(I208&gt;=5,30,IF(I208=4,14,IF(I208=3,7,IF(I208=2,3,1)))))</x:f>
      </x:c>
      <x:c r="L208" s="171" t="str"/>
      <x:c r="M208" s="171" t="str"/>
      <x:c r="N208" s="171" t="str">
        <x:v>Draft — verify in context</x:v>
      </x:c>
      <x:c r="O208" s="167" t="str">
        <x:v>https://www.wgtn.ac.nz/lals/resources/academicwordlist</x:v>
      </x:c>
    </x:row>
    <x:row r="209" ht="26" customHeight="1">
      <x:c r="A209" s="167" t="n">
        <x:v>208</x:v>
      </x:c>
      <x:c r="B209" s="167" t="str">
        <x:v>implications</x:v>
      </x:c>
      <x:c r="C209" s="170" t="str">
        <x:v>наслідки</x:v>
      </x:c>
      <x:c r="D209" s="167" t="n">
        <x:v>4</x:v>
      </x:c>
      <x:c r="E209" s="167" t="str">
        <x:v>No</x:v>
      </x:c>
      <x:c r="F209" s="167" t="str">
        <x:v>Medium</x:v>
      </x:c>
      <x:c r="G209" s="167" t="str">
        <x:v>General</x:v>
      </x:c>
      <x:c r="H209" s="167" t="str">
        <x:v>Not Started</x:v>
      </x:c>
      <x:c r="I209" s="167" t="n">
        <x:v>0</x:v>
      </x:c>
      <x:c r="J209" s="168"/>
      <x:c r="K209" s="168" t="str">
        <x:f>IF(OR(H209="Mastered",J209=""),"",J209+IF(I209&gt;=5,30,IF(I209=4,14,IF(I209=3,7,IF(I209=2,3,1)))))</x:f>
      </x:c>
      <x:c r="L209" s="171" t="str"/>
      <x:c r="M209" s="171" t="str"/>
      <x:c r="N209" s="171" t="str">
        <x:v>Draft — verify in context</x:v>
      </x:c>
      <x:c r="O209" s="167" t="str">
        <x:v>https://www.wgtn.ac.nz/lals/resources/academicwordlist</x:v>
      </x:c>
    </x:row>
    <x:row r="210" ht="26" customHeight="1">
      <x:c r="A210" s="167" t="n">
        <x:v>209</x:v>
      </x:c>
      <x:c r="B210" s="167" t="str">
        <x:v>imposed</x:v>
      </x:c>
      <x:c r="C210" s="170" t="str">
        <x:v>нав'язаний</x:v>
      </x:c>
      <x:c r="D210" s="167" t="n">
        <x:v>4</x:v>
      </x:c>
      <x:c r="E210" s="167" t="str">
        <x:v>No</x:v>
      </x:c>
      <x:c r="F210" s="167" t="str">
        <x:v>Medium</x:v>
      </x:c>
      <x:c r="G210" s="167" t="str">
        <x:v>General</x:v>
      </x:c>
      <x:c r="H210" s="167" t="str">
        <x:v>Not Started</x:v>
      </x:c>
      <x:c r="I210" s="167" t="n">
        <x:v>0</x:v>
      </x:c>
      <x:c r="J210" s="168"/>
      <x:c r="K210" s="168" t="str">
        <x:f>IF(OR(H210="Mastered",J210=""),"",J210+IF(I210&gt;=5,30,IF(I210=4,14,IF(I210=3,7,IF(I210=2,3,1)))))</x:f>
      </x:c>
      <x:c r="L210" s="171" t="str"/>
      <x:c r="M210" s="171" t="str"/>
      <x:c r="N210" s="171" t="str">
        <x:v>Draft — verify in context</x:v>
      </x:c>
      <x:c r="O210" s="167" t="str">
        <x:v>https://www.wgtn.ac.nz/lals/resources/academicwordlist</x:v>
      </x:c>
    </x:row>
    <x:row r="211" ht="26" customHeight="1">
      <x:c r="A211" s="167" t="n">
        <x:v>210</x:v>
      </x:c>
      <x:c r="B211" s="167" t="str">
        <x:v>integration</x:v>
      </x:c>
      <x:c r="C211" s="170" t="str">
        <x:v>інтеграція</x:v>
      </x:c>
      <x:c r="D211" s="167" t="n">
        <x:v>4</x:v>
      </x:c>
      <x:c r="E211" s="167" t="str">
        <x:v>Yes</x:v>
      </x:c>
      <x:c r="F211" s="167" t="str">
        <x:v>Medium</x:v>
      </x:c>
      <x:c r="G211" s="167" t="str">
        <x:v>General</x:v>
      </x:c>
      <x:c r="H211" s="167" t="str">
        <x:v>Not Started</x:v>
      </x:c>
      <x:c r="I211" s="167" t="n">
        <x:v>0</x:v>
      </x:c>
      <x:c r="J211" s="168"/>
      <x:c r="K211" s="168" t="str">
        <x:f>IF(OR(H211="Mastered",J211=""),"",J211+IF(I211&gt;=5,30,IF(I211=4,14,IF(I211=3,7,IF(I211=2,3,1)))))</x:f>
      </x:c>
      <x:c r="L211" s="171" t="str"/>
      <x:c r="M211" s="171" t="str"/>
      <x:c r="N211" s="171" t="str">
        <x:v>Draft — verify in context</x:v>
      </x:c>
      <x:c r="O211" s="167" t="str">
        <x:v>https://www.wgtn.ac.nz/lals/resources/academicwordlist</x:v>
      </x:c>
    </x:row>
    <x:row r="212" ht="26" customHeight="1">
      <x:c r="A212" s="167" t="n">
        <x:v>211</x:v>
      </x:c>
      <x:c r="B212" s="167" t="str">
        <x:v>internal</x:v>
      </x:c>
      <x:c r="C212" s="170" t="str">
        <x:v>внутрішній</x:v>
      </x:c>
      <x:c r="D212" s="167" t="n">
        <x:v>4</x:v>
      </x:c>
      <x:c r="E212" s="167" t="str">
        <x:v>No</x:v>
      </x:c>
      <x:c r="F212" s="167" t="str">
        <x:v>Medium</x:v>
      </x:c>
      <x:c r="G212" s="167" t="str">
        <x:v>General</x:v>
      </x:c>
      <x:c r="H212" s="167" t="str">
        <x:v>Not Started</x:v>
      </x:c>
      <x:c r="I212" s="167" t="n">
        <x:v>0</x:v>
      </x:c>
      <x:c r="J212" s="168"/>
      <x:c r="K212" s="168" t="str">
        <x:f>IF(OR(H212="Mastered",J212=""),"",J212+IF(I212&gt;=5,30,IF(I212=4,14,IF(I212=3,7,IF(I212=2,3,1)))))</x:f>
      </x:c>
      <x:c r="L212" s="171" t="str"/>
      <x:c r="M212" s="171" t="str"/>
      <x:c r="N212" s="171" t="str">
        <x:v>Draft — verify in context</x:v>
      </x:c>
      <x:c r="O212" s="167" t="str">
        <x:v>https://www.wgtn.ac.nz/lals/resources/academicwordlist</x:v>
      </x:c>
    </x:row>
    <x:row r="213" ht="26" customHeight="1">
      <x:c r="A213" s="167" t="n">
        <x:v>212</x:v>
      </x:c>
      <x:c r="B213" s="167" t="str">
        <x:v>investigation</x:v>
      </x:c>
      <x:c r="C213" s="170" t="str">
        <x:v>розслідування</x:v>
      </x:c>
      <x:c r="D213" s="167" t="n">
        <x:v>4</x:v>
      </x:c>
      <x:c r="E213" s="167" t="str">
        <x:v>No</x:v>
      </x:c>
      <x:c r="F213" s="167" t="str">
        <x:v>Medium</x:v>
      </x:c>
      <x:c r="G213" s="167" t="str">
        <x:v>General</x:v>
      </x:c>
      <x:c r="H213" s="167" t="str">
        <x:v>Not Started</x:v>
      </x:c>
      <x:c r="I213" s="167" t="n">
        <x:v>0</x:v>
      </x:c>
      <x:c r="J213" s="168"/>
      <x:c r="K213" s="168" t="str">
        <x:f>IF(OR(H213="Mastered",J213=""),"",J213+IF(I213&gt;=5,30,IF(I213=4,14,IF(I213=3,7,IF(I213=2,3,1)))))</x:f>
      </x:c>
      <x:c r="L213" s="171" t="str"/>
      <x:c r="M213" s="171" t="str"/>
      <x:c r="N213" s="171" t="str">
        <x:v>Draft — verify in context</x:v>
      </x:c>
      <x:c r="O213" s="167" t="str">
        <x:v>https://www.wgtn.ac.nz/lals/resources/academicwordlist</x:v>
      </x:c>
    </x:row>
    <x:row r="214" ht="26" customHeight="1">
      <x:c r="A214" s="167" t="n">
        <x:v>213</x:v>
      </x:c>
      <x:c r="B214" s="167" t="str">
        <x:v>job</x:v>
      </x:c>
      <x:c r="C214" s="170" t="str">
        <x:v>робота</x:v>
      </x:c>
      <x:c r="D214" s="167" t="n">
        <x:v>4</x:v>
      </x:c>
      <x:c r="E214" s="167" t="str">
        <x:v>No</x:v>
      </x:c>
      <x:c r="F214" s="167" t="str">
        <x:v>Medium</x:v>
      </x:c>
      <x:c r="G214" s="167" t="str">
        <x:v>General</x:v>
      </x:c>
      <x:c r="H214" s="167" t="str">
        <x:v>Not Started</x:v>
      </x:c>
      <x:c r="I214" s="167" t="n">
        <x:v>0</x:v>
      </x:c>
      <x:c r="J214" s="168"/>
      <x:c r="K214" s="168" t="str">
        <x:f>IF(OR(H214="Mastered",J214=""),"",J214+IF(I214&gt;=5,30,IF(I214=4,14,IF(I214=3,7,IF(I214=2,3,1)))))</x:f>
      </x:c>
      <x:c r="L214" s="171" t="str"/>
      <x:c r="M214" s="171" t="str"/>
      <x:c r="N214" s="171" t="str">
        <x:v>Draft — verify in context</x:v>
      </x:c>
      <x:c r="O214" s="167" t="str">
        <x:v>https://www.wgtn.ac.nz/lals/resources/academicwordlist</x:v>
      </x:c>
    </x:row>
    <x:row r="215" ht="26" customHeight="1">
      <x:c r="A215" s="167" t="n">
        <x:v>214</x:v>
      </x:c>
      <x:c r="B215" s="167" t="str">
        <x:v>label</x:v>
      </x:c>
      <x:c r="C215" s="170" t="str">
        <x:v>етикетка</x:v>
      </x:c>
      <x:c r="D215" s="167" t="n">
        <x:v>4</x:v>
      </x:c>
      <x:c r="E215" s="167" t="str">
        <x:v>No</x:v>
      </x:c>
      <x:c r="F215" s="167" t="str">
        <x:v>Medium</x:v>
      </x:c>
      <x:c r="G215" s="167" t="str">
        <x:v>General</x:v>
      </x:c>
      <x:c r="H215" s="167" t="str">
        <x:v>Not Started</x:v>
      </x:c>
      <x:c r="I215" s="167" t="n">
        <x:v>0</x:v>
      </x:c>
      <x:c r="J215" s="168"/>
      <x:c r="K215" s="168" t="str">
        <x:f>IF(OR(H215="Mastered",J215=""),"",J215+IF(I215&gt;=5,30,IF(I215=4,14,IF(I215=3,7,IF(I215=2,3,1)))))</x:f>
      </x:c>
      <x:c r="L215" s="171" t="str"/>
      <x:c r="M215" s="171" t="str"/>
      <x:c r="N215" s="171" t="str">
        <x:v>Draft — verify in context</x:v>
      </x:c>
      <x:c r="O215" s="167" t="str">
        <x:v>https://www.wgtn.ac.nz/lals/resources/academicwordlist</x:v>
      </x:c>
    </x:row>
    <x:row r="216" ht="26" customHeight="1">
      <x:c r="A216" s="167" t="n">
        <x:v>215</x:v>
      </x:c>
      <x:c r="B216" s="167" t="str">
        <x:v>mechanism</x:v>
      </x:c>
      <x:c r="C216" s="170" t="str">
        <x:v>механізм</x:v>
      </x:c>
      <x:c r="D216" s="167" t="n">
        <x:v>4</x:v>
      </x:c>
      <x:c r="E216" s="167" t="str">
        <x:v>No</x:v>
      </x:c>
      <x:c r="F216" s="167" t="str">
        <x:v>Medium</x:v>
      </x:c>
      <x:c r="G216" s="167" t="str">
        <x:v>General</x:v>
      </x:c>
      <x:c r="H216" s="167" t="str">
        <x:v>Not Started</x:v>
      </x:c>
      <x:c r="I216" s="167" t="n">
        <x:v>0</x:v>
      </x:c>
      <x:c r="J216" s="168"/>
      <x:c r="K216" s="168" t="str">
        <x:f>IF(OR(H216="Mastered",J216=""),"",J216+IF(I216&gt;=5,30,IF(I216=4,14,IF(I216=3,7,IF(I216=2,3,1)))))</x:f>
      </x:c>
      <x:c r="L216" s="171" t="str"/>
      <x:c r="M216" s="171" t="str"/>
      <x:c r="N216" s="171" t="str">
        <x:v>Draft — verify in context</x:v>
      </x:c>
      <x:c r="O216" s="167" t="str">
        <x:v>https://www.wgtn.ac.nz/lals/resources/academicwordlist</x:v>
      </x:c>
    </x:row>
    <x:row r="217" ht="26" customHeight="1">
      <x:c r="A217" s="167" t="n">
        <x:v>216</x:v>
      </x:c>
      <x:c r="B217" s="167" t="str">
        <x:v>obvious</x:v>
      </x:c>
      <x:c r="C217" s="170" t="str">
        <x:v>очевидний</x:v>
      </x:c>
      <x:c r="D217" s="167" t="n">
        <x:v>4</x:v>
      </x:c>
      <x:c r="E217" s="167" t="str">
        <x:v>No</x:v>
      </x:c>
      <x:c r="F217" s="167" t="str">
        <x:v>Medium</x:v>
      </x:c>
      <x:c r="G217" s="167" t="str">
        <x:v>General</x:v>
      </x:c>
      <x:c r="H217" s="167" t="str">
        <x:v>Not Started</x:v>
      </x:c>
      <x:c r="I217" s="167" t="n">
        <x:v>0</x:v>
      </x:c>
      <x:c r="J217" s="168"/>
      <x:c r="K217" s="168" t="str">
        <x:f>IF(OR(H217="Mastered",J217=""),"",J217+IF(I217&gt;=5,30,IF(I217=4,14,IF(I217=3,7,IF(I217=2,3,1)))))</x:f>
      </x:c>
      <x:c r="L217" s="171" t="str"/>
      <x:c r="M217" s="171" t="str"/>
      <x:c r="N217" s="171" t="str">
        <x:v>Draft — verify in context</x:v>
      </x:c>
      <x:c r="O217" s="167" t="str">
        <x:v>https://www.wgtn.ac.nz/lals/resources/academicwordlist</x:v>
      </x:c>
    </x:row>
    <x:row r="218" ht="26" customHeight="1">
      <x:c r="A218" s="167" t="n">
        <x:v>217</x:v>
      </x:c>
      <x:c r="B218" s="167" t="str">
        <x:v>occupational</x:v>
      </x:c>
      <x:c r="C218" s="170" t="str">
        <x:v>професійний</x:v>
      </x:c>
      <x:c r="D218" s="167" t="n">
        <x:v>4</x:v>
      </x:c>
      <x:c r="E218" s="167" t="str">
        <x:v>No</x:v>
      </x:c>
      <x:c r="F218" s="167" t="str">
        <x:v>Medium</x:v>
      </x:c>
      <x:c r="G218" s="167" t="str">
        <x:v>General</x:v>
      </x:c>
      <x:c r="H218" s="167" t="str">
        <x:v>Not Started</x:v>
      </x:c>
      <x:c r="I218" s="167" t="n">
        <x:v>0</x:v>
      </x:c>
      <x:c r="J218" s="168"/>
      <x:c r="K218" s="168" t="str">
        <x:f>IF(OR(H218="Mastered",J218=""),"",J218+IF(I218&gt;=5,30,IF(I218=4,14,IF(I218=3,7,IF(I218=2,3,1)))))</x:f>
      </x:c>
      <x:c r="L218" s="171" t="str"/>
      <x:c r="M218" s="171" t="str"/>
      <x:c r="N218" s="171" t="str">
        <x:v>Draft — verify in context</x:v>
      </x:c>
      <x:c r="O218" s="167" t="str">
        <x:v>https://www.wgtn.ac.nz/lals/resources/academicwordlist</x:v>
      </x:c>
    </x:row>
    <x:row r="219" ht="26" customHeight="1">
      <x:c r="A219" s="167" t="n">
        <x:v>218</x:v>
      </x:c>
      <x:c r="B219" s="167" t="str">
        <x:v>option</x:v>
      </x:c>
      <x:c r="C219" s="170" t="str">
        <x:v>варіант</x:v>
      </x:c>
      <x:c r="D219" s="167" t="n">
        <x:v>4</x:v>
      </x:c>
      <x:c r="E219" s="167" t="str">
        <x:v>No</x:v>
      </x:c>
      <x:c r="F219" s="167" t="str">
        <x:v>Medium</x:v>
      </x:c>
      <x:c r="G219" s="167" t="str">
        <x:v>General</x:v>
      </x:c>
      <x:c r="H219" s="167" t="str">
        <x:v>Not Started</x:v>
      </x:c>
      <x:c r="I219" s="167" t="n">
        <x:v>0</x:v>
      </x:c>
      <x:c r="J219" s="168"/>
      <x:c r="K219" s="168" t="str">
        <x:f>IF(OR(H219="Mastered",J219=""),"",J219+IF(I219&gt;=5,30,IF(I219=4,14,IF(I219=3,7,IF(I219=2,3,1)))))</x:f>
      </x:c>
      <x:c r="L219" s="171" t="str"/>
      <x:c r="M219" s="171" t="str"/>
      <x:c r="N219" s="171" t="str">
        <x:v>Draft — verify in context</x:v>
      </x:c>
      <x:c r="O219" s="167" t="str">
        <x:v>https://www.wgtn.ac.nz/lals/resources/academicwordlist</x:v>
      </x:c>
    </x:row>
    <x:row r="220" ht="26" customHeight="1">
      <x:c r="A220" s="167" t="n">
        <x:v>219</x:v>
      </x:c>
      <x:c r="B220" s="167" t="str">
        <x:v>output</x:v>
      </x:c>
      <x:c r="C220" s="170" t="str">
        <x:v>вихід</x:v>
      </x:c>
      <x:c r="D220" s="167" t="n">
        <x:v>4</x:v>
      </x:c>
      <x:c r="E220" s="167" t="str">
        <x:v>No</x:v>
      </x:c>
      <x:c r="F220" s="167" t="str">
        <x:v>Medium</x:v>
      </x:c>
      <x:c r="G220" s="167" t="str">
        <x:v>General</x:v>
      </x:c>
      <x:c r="H220" s="167" t="str">
        <x:v>Not Started</x:v>
      </x:c>
      <x:c r="I220" s="167" t="n">
        <x:v>0</x:v>
      </x:c>
      <x:c r="J220" s="168"/>
      <x:c r="K220" s="168" t="str">
        <x:f>IF(OR(H220="Mastered",J220=""),"",J220+IF(I220&gt;=5,30,IF(I220=4,14,IF(I220=3,7,IF(I220=2,3,1)))))</x:f>
      </x:c>
      <x:c r="L220" s="171" t="str"/>
      <x:c r="M220" s="171" t="str"/>
      <x:c r="N220" s="171" t="str">
        <x:v>Draft — verify in context</x:v>
      </x:c>
      <x:c r="O220" s="167" t="str">
        <x:v>https://www.wgtn.ac.nz/lals/resources/academicwordlist</x:v>
      </x:c>
    </x:row>
    <x:row r="221" ht="26" customHeight="1">
      <x:c r="A221" s="167" t="n">
        <x:v>220</x:v>
      </x:c>
      <x:c r="B221" s="167" t="str">
        <x:v>overall</x:v>
      </x:c>
      <x:c r="C221" s="170" t="str">
        <x:v>в цілому</x:v>
      </x:c>
      <x:c r="D221" s="167" t="n">
        <x:v>4</x:v>
      </x:c>
      <x:c r="E221" s="167" t="str">
        <x:v>No</x:v>
      </x:c>
      <x:c r="F221" s="167" t="str">
        <x:v>Medium</x:v>
      </x:c>
      <x:c r="G221" s="167" t="str">
        <x:v>General</x:v>
      </x:c>
      <x:c r="H221" s="167" t="str">
        <x:v>Not Started</x:v>
      </x:c>
      <x:c r="I221" s="167" t="n">
        <x:v>0</x:v>
      </x:c>
      <x:c r="J221" s="168"/>
      <x:c r="K221" s="168" t="str">
        <x:f>IF(OR(H221="Mastered",J221=""),"",J221+IF(I221&gt;=5,30,IF(I221=4,14,IF(I221=3,7,IF(I221=2,3,1)))))</x:f>
      </x:c>
      <x:c r="L221" s="171" t="str"/>
      <x:c r="M221" s="171" t="str"/>
      <x:c r="N221" s="171" t="str">
        <x:v>Draft — verify in context</x:v>
      </x:c>
      <x:c r="O221" s="167" t="str">
        <x:v>https://www.wgtn.ac.nz/lals/resources/academicwordlist</x:v>
      </x:c>
    </x:row>
    <x:row r="222" ht="26" customHeight="1">
      <x:c r="A222" s="167" t="n">
        <x:v>221</x:v>
      </x:c>
      <x:c r="B222" s="167" t="str">
        <x:v>parallel</x:v>
      </x:c>
      <x:c r="C222" s="170" t="str">
        <x:v>паралельний</x:v>
      </x:c>
      <x:c r="D222" s="167" t="n">
        <x:v>4</x:v>
      </x:c>
      <x:c r="E222" s="167" t="str">
        <x:v>No</x:v>
      </x:c>
      <x:c r="F222" s="167" t="str">
        <x:v>Medium</x:v>
      </x:c>
      <x:c r="G222" s="167" t="str">
        <x:v>General</x:v>
      </x:c>
      <x:c r="H222" s="167" t="str">
        <x:v>Not Started</x:v>
      </x:c>
      <x:c r="I222" s="167" t="n">
        <x:v>0</x:v>
      </x:c>
      <x:c r="J222" s="168"/>
      <x:c r="K222" s="168" t="str">
        <x:f>IF(OR(H222="Mastered",J222=""),"",J222+IF(I222&gt;=5,30,IF(I222=4,14,IF(I222=3,7,IF(I222=2,3,1)))))</x:f>
      </x:c>
      <x:c r="L222" s="171" t="str"/>
      <x:c r="M222" s="171" t="str"/>
      <x:c r="N222" s="171" t="str">
        <x:v>Draft — verify in context</x:v>
      </x:c>
      <x:c r="O222" s="167" t="str">
        <x:v>https://www.wgtn.ac.nz/lals/resources/academicwordlist</x:v>
      </x:c>
    </x:row>
    <x:row r="223" ht="26" customHeight="1">
      <x:c r="A223" s="167" t="n">
        <x:v>222</x:v>
      </x:c>
      <x:c r="B223" s="167" t="str">
        <x:v>parameters</x:v>
      </x:c>
      <x:c r="C223" s="170" t="str">
        <x:v>параметри</x:v>
      </x:c>
      <x:c r="D223" s="167" t="n">
        <x:v>4</x:v>
      </x:c>
      <x:c r="E223" s="167" t="str">
        <x:v>No</x:v>
      </x:c>
      <x:c r="F223" s="167" t="str">
        <x:v>Medium</x:v>
      </x:c>
      <x:c r="G223" s="167" t="str">
        <x:v>General</x:v>
      </x:c>
      <x:c r="H223" s="167" t="str">
        <x:v>Not Started</x:v>
      </x:c>
      <x:c r="I223" s="167" t="n">
        <x:v>0</x:v>
      </x:c>
      <x:c r="J223" s="168"/>
      <x:c r="K223" s="168" t="str">
        <x:f>IF(OR(H223="Mastered",J223=""),"",J223+IF(I223&gt;=5,30,IF(I223=4,14,IF(I223=3,7,IF(I223=2,3,1)))))</x:f>
      </x:c>
      <x:c r="L223" s="171" t="str"/>
      <x:c r="M223" s="171" t="str"/>
      <x:c r="N223" s="171" t="str">
        <x:v>Draft — verify in context</x:v>
      </x:c>
      <x:c r="O223" s="167" t="str">
        <x:v>https://www.wgtn.ac.nz/lals/resources/academicwordlist</x:v>
      </x:c>
    </x:row>
    <x:row r="224" ht="26" customHeight="1">
      <x:c r="A224" s="167" t="n">
        <x:v>223</x:v>
      </x:c>
      <x:c r="B224" s="167" t="str">
        <x:v>phase</x:v>
      </x:c>
      <x:c r="C224" s="170" t="str">
        <x:v>фаза</x:v>
      </x:c>
      <x:c r="D224" s="167" t="n">
        <x:v>4</x:v>
      </x:c>
      <x:c r="E224" s="167" t="str">
        <x:v>No</x:v>
      </x:c>
      <x:c r="F224" s="167" t="str">
        <x:v>Medium</x:v>
      </x:c>
      <x:c r="G224" s="167" t="str">
        <x:v>General</x:v>
      </x:c>
      <x:c r="H224" s="167" t="str">
        <x:v>Not Started</x:v>
      </x:c>
      <x:c r="I224" s="167" t="n">
        <x:v>0</x:v>
      </x:c>
      <x:c r="J224" s="168"/>
      <x:c r="K224" s="168" t="str">
        <x:f>IF(OR(H224="Mastered",J224=""),"",J224+IF(I224&gt;=5,30,IF(I224=4,14,IF(I224=3,7,IF(I224=2,3,1)))))</x:f>
      </x:c>
      <x:c r="L224" s="171" t="str"/>
      <x:c r="M224" s="171" t="str"/>
      <x:c r="N224" s="171" t="str">
        <x:v>Draft — verify in context</x:v>
      </x:c>
      <x:c r="O224" s="167" t="str">
        <x:v>https://www.wgtn.ac.nz/lals/resources/academicwordlist</x:v>
      </x:c>
    </x:row>
    <x:row r="225" ht="26" customHeight="1">
      <x:c r="A225" s="167" t="n">
        <x:v>224</x:v>
      </x:c>
      <x:c r="B225" s="167" t="str">
        <x:v>predicted</x:v>
      </x:c>
      <x:c r="C225" s="170" t="str">
        <x:v>передбачив</x:v>
      </x:c>
      <x:c r="D225" s="167" t="n">
        <x:v>4</x:v>
      </x:c>
      <x:c r="E225" s="167" t="str">
        <x:v>No</x:v>
      </x:c>
      <x:c r="F225" s="167" t="str">
        <x:v>Medium</x:v>
      </x:c>
      <x:c r="G225" s="167" t="str">
        <x:v>General</x:v>
      </x:c>
      <x:c r="H225" s="167" t="str">
        <x:v>Not Started</x:v>
      </x:c>
      <x:c r="I225" s="167" t="n">
        <x:v>0</x:v>
      </x:c>
      <x:c r="J225" s="168"/>
      <x:c r="K225" s="168" t="str">
        <x:f>IF(OR(H225="Mastered",J225=""),"",J225+IF(I225&gt;=5,30,IF(I225=4,14,IF(I225=3,7,IF(I225=2,3,1)))))</x:f>
      </x:c>
      <x:c r="L225" s="171" t="str"/>
      <x:c r="M225" s="171" t="str"/>
      <x:c r="N225" s="171" t="str">
        <x:v>Draft — verify in context</x:v>
      </x:c>
      <x:c r="O225" s="167" t="str">
        <x:v>https://www.wgtn.ac.nz/lals/resources/academicwordlist</x:v>
      </x:c>
    </x:row>
    <x:row r="226" ht="26" customHeight="1">
      <x:c r="A226" s="167" t="n">
        <x:v>225</x:v>
      </x:c>
      <x:c r="B226" s="167" t="str">
        <x:v>principal</x:v>
      </x:c>
      <x:c r="C226" s="170" t="str">
        <x:v>головний</x:v>
      </x:c>
      <x:c r="D226" s="167" t="n">
        <x:v>4</x:v>
      </x:c>
      <x:c r="E226" s="167" t="str">
        <x:v>Yes</x:v>
      </x:c>
      <x:c r="F226" s="167" t="str">
        <x:v>Medium</x:v>
      </x:c>
      <x:c r="G226" s="167" t="str">
        <x:v>General</x:v>
      </x:c>
      <x:c r="H226" s="167" t="str">
        <x:v>Not Started</x:v>
      </x:c>
      <x:c r="I226" s="167" t="n">
        <x:v>0</x:v>
      </x:c>
      <x:c r="J226" s="168"/>
      <x:c r="K226" s="168" t="str">
        <x:f>IF(OR(H226="Mastered",J226=""),"",J226+IF(I226&gt;=5,30,IF(I226=4,14,IF(I226=3,7,IF(I226=2,3,1)))))</x:f>
      </x:c>
      <x:c r="L226" s="171" t="str"/>
      <x:c r="M226" s="171" t="str"/>
      <x:c r="N226" s="171" t="str">
        <x:v>Draft — verify in context</x:v>
      </x:c>
      <x:c r="O226" s="167" t="str">
        <x:v>https://www.wgtn.ac.nz/lals/resources/academicwordlist</x:v>
      </x:c>
    </x:row>
    <x:row r="227" ht="26" customHeight="1">
      <x:c r="A227" s="167" t="n">
        <x:v>226</x:v>
      </x:c>
      <x:c r="B227" s="167" t="str">
        <x:v>prior</x:v>
      </x:c>
      <x:c r="C227" s="170" t="str">
        <x:v>попередній</x:v>
      </x:c>
      <x:c r="D227" s="167" t="n">
        <x:v>4</x:v>
      </x:c>
      <x:c r="E227" s="167" t="str">
        <x:v>No</x:v>
      </x:c>
      <x:c r="F227" s="167" t="str">
        <x:v>Medium</x:v>
      </x:c>
      <x:c r="G227" s="167" t="str">
        <x:v>General</x:v>
      </x:c>
      <x:c r="H227" s="167" t="str">
        <x:v>Not Started</x:v>
      </x:c>
      <x:c r="I227" s="167" t="n">
        <x:v>0</x:v>
      </x:c>
      <x:c r="J227" s="168"/>
      <x:c r="K227" s="168" t="str">
        <x:f>IF(OR(H227="Mastered",J227=""),"",J227+IF(I227&gt;=5,30,IF(I227=4,14,IF(I227=3,7,IF(I227=2,3,1)))))</x:f>
      </x:c>
      <x:c r="L227" s="171" t="str"/>
      <x:c r="M227" s="171" t="str"/>
      <x:c r="N227" s="171" t="str">
        <x:v>Draft — verify in context</x:v>
      </x:c>
      <x:c r="O227" s="167" t="str">
        <x:v>https://www.wgtn.ac.nz/lals/resources/academicwordlist</x:v>
      </x:c>
    </x:row>
    <x:row r="228" ht="26" customHeight="1">
      <x:c r="A228" s="167" t="n">
        <x:v>227</x:v>
      </x:c>
      <x:c r="B228" s="167" t="str">
        <x:v>professional</x:v>
      </x:c>
      <x:c r="C228" s="170" t="str">
        <x:v>професійний</x:v>
      </x:c>
      <x:c r="D228" s="167" t="n">
        <x:v>4</x:v>
      </x:c>
      <x:c r="E228" s="167" t="str">
        <x:v>No</x:v>
      </x:c>
      <x:c r="F228" s="167" t="str">
        <x:v>Medium</x:v>
      </x:c>
      <x:c r="G228" s="167" t="str">
        <x:v>General</x:v>
      </x:c>
      <x:c r="H228" s="167" t="str">
        <x:v>Not Started</x:v>
      </x:c>
      <x:c r="I228" s="167" t="n">
        <x:v>0</x:v>
      </x:c>
      <x:c r="J228" s="168"/>
      <x:c r="K228" s="168" t="str">
        <x:f>IF(OR(H228="Mastered",J228=""),"",J228+IF(I228&gt;=5,30,IF(I228=4,14,IF(I228=3,7,IF(I228=2,3,1)))))</x:f>
      </x:c>
      <x:c r="L228" s="171" t="str"/>
      <x:c r="M228" s="171" t="str"/>
      <x:c r="N228" s="171" t="str">
        <x:v>Draft — verify in context</x:v>
      </x:c>
      <x:c r="O228" s="167" t="str">
        <x:v>https://www.wgtn.ac.nz/lals/resources/academicwordlist</x:v>
      </x:c>
    </x:row>
    <x:row r="229" ht="26" customHeight="1">
      <x:c r="A229" s="167" t="n">
        <x:v>228</x:v>
      </x:c>
      <x:c r="B229" s="167" t="str">
        <x:v>project</x:v>
      </x:c>
      <x:c r="C229" s="170" t="str">
        <x:v>проект</x:v>
      </x:c>
      <x:c r="D229" s="167" t="n">
        <x:v>4</x:v>
      </x:c>
      <x:c r="E229" s="167" t="str">
        <x:v>No</x:v>
      </x:c>
      <x:c r="F229" s="167" t="str">
        <x:v>Medium</x:v>
      </x:c>
      <x:c r="G229" s="167" t="str">
        <x:v>General</x:v>
      </x:c>
      <x:c r="H229" s="167" t="str">
        <x:v>Not Started</x:v>
      </x:c>
      <x:c r="I229" s="167" t="n">
        <x:v>0</x:v>
      </x:c>
      <x:c r="J229" s="168"/>
      <x:c r="K229" s="168" t="str">
        <x:f>IF(OR(H229="Mastered",J229=""),"",J229+IF(I229&gt;=5,30,IF(I229=4,14,IF(I229=3,7,IF(I229=2,3,1)))))</x:f>
      </x:c>
      <x:c r="L229" s="171" t="str"/>
      <x:c r="M229" s="171" t="str"/>
      <x:c r="N229" s="171" t="str">
        <x:v>Draft — verify in context</x:v>
      </x:c>
      <x:c r="O229" s="167" t="str">
        <x:v>https://www.wgtn.ac.nz/lals/resources/academicwordlist</x:v>
      </x:c>
    </x:row>
    <x:row r="230" ht="26" customHeight="1">
      <x:c r="A230" s="167" t="n">
        <x:v>229</x:v>
      </x:c>
      <x:c r="B230" s="167" t="str">
        <x:v>promote</x:v>
      </x:c>
      <x:c r="C230" s="170" t="str">
        <x:v>сприяти</x:v>
      </x:c>
      <x:c r="D230" s="167" t="n">
        <x:v>4</x:v>
      </x:c>
      <x:c r="E230" s="167" t="str">
        <x:v>No</x:v>
      </x:c>
      <x:c r="F230" s="167" t="str">
        <x:v>Medium</x:v>
      </x:c>
      <x:c r="G230" s="167" t="str">
        <x:v>General</x:v>
      </x:c>
      <x:c r="H230" s="167" t="str">
        <x:v>Not Started</x:v>
      </x:c>
      <x:c r="I230" s="167" t="n">
        <x:v>0</x:v>
      </x:c>
      <x:c r="J230" s="168"/>
      <x:c r="K230" s="168" t="str">
        <x:f>IF(OR(H230="Mastered",J230=""),"",J230+IF(I230&gt;=5,30,IF(I230=4,14,IF(I230=3,7,IF(I230=2,3,1)))))</x:f>
      </x:c>
      <x:c r="L230" s="171" t="str"/>
      <x:c r="M230" s="171" t="str"/>
      <x:c r="N230" s="171" t="str">
        <x:v>Draft — verify in context</x:v>
      </x:c>
      <x:c r="O230" s="167" t="str">
        <x:v>https://www.wgtn.ac.nz/lals/resources/academicwordlist</x:v>
      </x:c>
    </x:row>
    <x:row r="231" ht="26" customHeight="1">
      <x:c r="A231" s="167" t="n">
        <x:v>230</x:v>
      </x:c>
      <x:c r="B231" s="167" t="str">
        <x:v>regime</x:v>
      </x:c>
      <x:c r="C231" s="170" t="str">
        <x:v>режим</x:v>
      </x:c>
      <x:c r="D231" s="167" t="n">
        <x:v>4</x:v>
      </x:c>
      <x:c r="E231" s="167" t="str">
        <x:v>Yes</x:v>
      </x:c>
      <x:c r="F231" s="167" t="str">
        <x:v>Medium</x:v>
      </x:c>
      <x:c r="G231" s="167" t="str">
        <x:v>General</x:v>
      </x:c>
      <x:c r="H231" s="167" t="str">
        <x:v>Not Started</x:v>
      </x:c>
      <x:c r="I231" s="167" t="n">
        <x:v>0</x:v>
      </x:c>
      <x:c r="J231" s="168"/>
      <x:c r="K231" s="168" t="str">
        <x:f>IF(OR(H231="Mastered",J231=""),"",J231+IF(I231&gt;=5,30,IF(I231=4,14,IF(I231=3,7,IF(I231=2,3,1)))))</x:f>
      </x:c>
      <x:c r="L231" s="171" t="str"/>
      <x:c r="M231" s="171" t="str"/>
      <x:c r="N231" s="171" t="str">
        <x:v>Draft — verify in context</x:v>
      </x:c>
      <x:c r="O231" s="167" t="str">
        <x:v>https://www.wgtn.ac.nz/lals/resources/academicwordlist</x:v>
      </x:c>
    </x:row>
    <x:row r="232" ht="26" customHeight="1">
      <x:c r="A232" s="167" t="n">
        <x:v>231</x:v>
      </x:c>
      <x:c r="B232" s="167" t="str">
        <x:v>resolution</x:v>
      </x:c>
      <x:c r="C232" s="170" t="str">
        <x:v>дозвіл</x:v>
      </x:c>
      <x:c r="D232" s="167" t="n">
        <x:v>4</x:v>
      </x:c>
      <x:c r="E232" s="167" t="str">
        <x:v>No</x:v>
      </x:c>
      <x:c r="F232" s="167" t="str">
        <x:v>Medium</x:v>
      </x:c>
      <x:c r="G232" s="167" t="str">
        <x:v>General</x:v>
      </x:c>
      <x:c r="H232" s="167" t="str">
        <x:v>Not Started</x:v>
      </x:c>
      <x:c r="I232" s="167" t="n">
        <x:v>0</x:v>
      </x:c>
      <x:c r="J232" s="168"/>
      <x:c r="K232" s="168" t="str">
        <x:f>IF(OR(H232="Mastered",J232=""),"",J232+IF(I232&gt;=5,30,IF(I232=4,14,IF(I232=3,7,IF(I232=2,3,1)))))</x:f>
      </x:c>
      <x:c r="L232" s="171" t="str"/>
      <x:c r="M232" s="171" t="str"/>
      <x:c r="N232" s="171" t="str">
        <x:v>Draft — verify in context</x:v>
      </x:c>
      <x:c r="O232" s="167" t="str">
        <x:v>https://www.wgtn.ac.nz/lals/resources/academicwordlist</x:v>
      </x:c>
    </x:row>
    <x:row r="233" ht="26" customHeight="1">
      <x:c r="A233" s="167" t="n">
        <x:v>232</x:v>
      </x:c>
      <x:c r="B233" s="167" t="str">
        <x:v>retained</x:v>
      </x:c>
      <x:c r="C233" s="170" t="str">
        <x:v>зберігається</x:v>
      </x:c>
      <x:c r="D233" s="167" t="n">
        <x:v>4</x:v>
      </x:c>
      <x:c r="E233" s="167" t="str">
        <x:v>No</x:v>
      </x:c>
      <x:c r="F233" s="167" t="str">
        <x:v>Medium</x:v>
      </x:c>
      <x:c r="G233" s="167" t="str">
        <x:v>General</x:v>
      </x:c>
      <x:c r="H233" s="167" t="str">
        <x:v>Not Started</x:v>
      </x:c>
      <x:c r="I233" s="167" t="n">
        <x:v>0</x:v>
      </x:c>
      <x:c r="J233" s="168"/>
      <x:c r="K233" s="168" t="str">
        <x:f>IF(OR(H233="Mastered",J233=""),"",J233+IF(I233&gt;=5,30,IF(I233=4,14,IF(I233=3,7,IF(I233=2,3,1)))))</x:f>
      </x:c>
      <x:c r="L233" s="171" t="str"/>
      <x:c r="M233" s="171" t="str"/>
      <x:c r="N233" s="171" t="str">
        <x:v>Draft — verify in context</x:v>
      </x:c>
      <x:c r="O233" s="167" t="str">
        <x:v>https://www.wgtn.ac.nz/lals/resources/academicwordlist</x:v>
      </x:c>
    </x:row>
    <x:row r="234" ht="26" customHeight="1">
      <x:c r="A234" s="167" t="n">
        <x:v>233</x:v>
      </x:c>
      <x:c r="B234" s="167" t="str">
        <x:v>series</x:v>
      </x:c>
      <x:c r="C234" s="170" t="str">
        <x:v>серії</x:v>
      </x:c>
      <x:c r="D234" s="167" t="n">
        <x:v>4</x:v>
      </x:c>
      <x:c r="E234" s="167" t="str">
        <x:v>No</x:v>
      </x:c>
      <x:c r="F234" s="167" t="str">
        <x:v>Medium</x:v>
      </x:c>
      <x:c r="G234" s="167" t="str">
        <x:v>General</x:v>
      </x:c>
      <x:c r="H234" s="167" t="str">
        <x:v>Not Started</x:v>
      </x:c>
      <x:c r="I234" s="167" t="n">
        <x:v>0</x:v>
      </x:c>
      <x:c r="J234" s="168"/>
      <x:c r="K234" s="168" t="str">
        <x:f>IF(OR(H234="Mastered",J234=""),"",J234+IF(I234&gt;=5,30,IF(I234=4,14,IF(I234=3,7,IF(I234=2,3,1)))))</x:f>
      </x:c>
      <x:c r="L234" s="171" t="str"/>
      <x:c r="M234" s="171" t="str"/>
      <x:c r="N234" s="171" t="str">
        <x:v>Draft — verify in context</x:v>
      </x:c>
      <x:c r="O234" s="167" t="str">
        <x:v>https://www.wgtn.ac.nz/lals/resources/academicwordlist</x:v>
      </x:c>
    </x:row>
    <x:row r="235" ht="26" customHeight="1">
      <x:c r="A235" s="167" t="n">
        <x:v>234</x:v>
      </x:c>
      <x:c r="B235" s="167" t="str">
        <x:v>statistics</x:v>
      </x:c>
      <x:c r="C235" s="170" t="str">
        <x:v>статистика</x:v>
      </x:c>
      <x:c r="D235" s="167" t="n">
        <x:v>4</x:v>
      </x:c>
      <x:c r="E235" s="167" t="str">
        <x:v>No</x:v>
      </x:c>
      <x:c r="F235" s="167" t="str">
        <x:v>Medium</x:v>
      </x:c>
      <x:c r="G235" s="167" t="str">
        <x:v>General</x:v>
      </x:c>
      <x:c r="H235" s="167" t="str">
        <x:v>Not Started</x:v>
      </x:c>
      <x:c r="I235" s="167" t="n">
        <x:v>0</x:v>
      </x:c>
      <x:c r="J235" s="168"/>
      <x:c r="K235" s="168" t="str">
        <x:f>IF(OR(H235="Mastered",J235=""),"",J235+IF(I235&gt;=5,30,IF(I235=4,14,IF(I235=3,7,IF(I235=2,3,1)))))</x:f>
      </x:c>
      <x:c r="L235" s="171" t="str"/>
      <x:c r="M235" s="171" t="str"/>
      <x:c r="N235" s="171" t="str">
        <x:v>Draft — verify in context</x:v>
      </x:c>
      <x:c r="O235" s="167" t="str">
        <x:v>https://www.wgtn.ac.nz/lals/resources/academicwordlist</x:v>
      </x:c>
    </x:row>
    <x:row r="236" ht="26" customHeight="1">
      <x:c r="A236" s="167" t="n">
        <x:v>235</x:v>
      </x:c>
      <x:c r="B236" s="167" t="str">
        <x:v>status</x:v>
      </x:c>
      <x:c r="C236" s="170" t="str">
        <x:v>статус</x:v>
      </x:c>
      <x:c r="D236" s="167" t="n">
        <x:v>4</x:v>
      </x:c>
      <x:c r="E236" s="167" t="str">
        <x:v>No</x:v>
      </x:c>
      <x:c r="F236" s="167" t="str">
        <x:v>Medium</x:v>
      </x:c>
      <x:c r="G236" s="167" t="str">
        <x:v>General</x:v>
      </x:c>
      <x:c r="H236" s="167" t="str">
        <x:v>Not Started</x:v>
      </x:c>
      <x:c r="I236" s="167" t="n">
        <x:v>0</x:v>
      </x:c>
      <x:c r="J236" s="168"/>
      <x:c r="K236" s="168" t="str">
        <x:f>IF(OR(H236="Mastered",J236=""),"",J236+IF(I236&gt;=5,30,IF(I236=4,14,IF(I236=3,7,IF(I236=2,3,1)))))</x:f>
      </x:c>
      <x:c r="L236" s="171" t="str"/>
      <x:c r="M236" s="171" t="str"/>
      <x:c r="N236" s="171" t="str">
        <x:v>Draft — verify in context</x:v>
      </x:c>
      <x:c r="O236" s="167" t="str">
        <x:v>https://www.wgtn.ac.nz/lals/resources/academicwordlist</x:v>
      </x:c>
    </x:row>
    <x:row r="237" ht="26" customHeight="1">
      <x:c r="A237" s="167" t="n">
        <x:v>236</x:v>
      </x:c>
      <x:c r="B237" s="167" t="str">
        <x:v>stress</x:v>
      </x:c>
      <x:c r="C237" s="170" t="str">
        <x:v>стрес</x:v>
      </x:c>
      <x:c r="D237" s="167" t="n">
        <x:v>4</x:v>
      </x:c>
      <x:c r="E237" s="167" t="str">
        <x:v>No</x:v>
      </x:c>
      <x:c r="F237" s="167" t="str">
        <x:v>Medium</x:v>
      </x:c>
      <x:c r="G237" s="167" t="str">
        <x:v>General</x:v>
      </x:c>
      <x:c r="H237" s="167" t="str">
        <x:v>Not Started</x:v>
      </x:c>
      <x:c r="I237" s="167" t="n">
        <x:v>0</x:v>
      </x:c>
      <x:c r="J237" s="168"/>
      <x:c r="K237" s="168" t="str">
        <x:f>IF(OR(H237="Mastered",J237=""),"",J237+IF(I237&gt;=5,30,IF(I237=4,14,IF(I237=3,7,IF(I237=2,3,1)))))</x:f>
      </x:c>
      <x:c r="L237" s="171" t="str"/>
      <x:c r="M237" s="171" t="str"/>
      <x:c r="N237" s="171" t="str">
        <x:v>Draft — verify in context</x:v>
      </x:c>
      <x:c r="O237" s="167" t="str">
        <x:v>https://www.wgtn.ac.nz/lals/resources/academicwordlist</x:v>
      </x:c>
    </x:row>
    <x:row r="238" ht="26" customHeight="1">
      <x:c r="A238" s="167" t="n">
        <x:v>237</x:v>
      </x:c>
      <x:c r="B238" s="167" t="str">
        <x:v>subsequent</x:v>
      </x:c>
      <x:c r="C238" s="170" t="str">
        <x:v>наступні</x:v>
      </x:c>
      <x:c r="D238" s="167" t="n">
        <x:v>4</x:v>
      </x:c>
      <x:c r="E238" s="167" t="str">
        <x:v>No</x:v>
      </x:c>
      <x:c r="F238" s="167" t="str">
        <x:v>Medium</x:v>
      </x:c>
      <x:c r="G238" s="167" t="str">
        <x:v>General</x:v>
      </x:c>
      <x:c r="H238" s="167" t="str">
        <x:v>Not Started</x:v>
      </x:c>
      <x:c r="I238" s="167" t="n">
        <x:v>0</x:v>
      </x:c>
      <x:c r="J238" s="168"/>
      <x:c r="K238" s="168" t="str">
        <x:f>IF(OR(H238="Mastered",J238=""),"",J238+IF(I238&gt;=5,30,IF(I238=4,14,IF(I238=3,7,IF(I238=2,3,1)))))</x:f>
      </x:c>
      <x:c r="L238" s="171" t="str"/>
      <x:c r="M238" s="171" t="str"/>
      <x:c r="N238" s="171" t="str">
        <x:v>Draft — verify in context</x:v>
      </x:c>
      <x:c r="O238" s="167" t="str">
        <x:v>https://www.wgtn.ac.nz/lals/resources/academicwordlist</x:v>
      </x:c>
    </x:row>
    <x:row r="239" ht="26" customHeight="1">
      <x:c r="A239" s="167" t="n">
        <x:v>238</x:v>
      </x:c>
      <x:c r="B239" s="167" t="str">
        <x:v>sum</x:v>
      </x:c>
      <x:c r="C239" s="170" t="str">
        <x:v>сума</x:v>
      </x:c>
      <x:c r="D239" s="167" t="n">
        <x:v>4</x:v>
      </x:c>
      <x:c r="E239" s="167" t="str">
        <x:v>No</x:v>
      </x:c>
      <x:c r="F239" s="167" t="str">
        <x:v>Medium</x:v>
      </x:c>
      <x:c r="G239" s="167" t="str">
        <x:v>General</x:v>
      </x:c>
      <x:c r="H239" s="167" t="str">
        <x:v>Not Started</x:v>
      </x:c>
      <x:c r="I239" s="167" t="n">
        <x:v>0</x:v>
      </x:c>
      <x:c r="J239" s="168"/>
      <x:c r="K239" s="168" t="str">
        <x:f>IF(OR(H239="Mastered",J239=""),"",J239+IF(I239&gt;=5,30,IF(I239=4,14,IF(I239=3,7,IF(I239=2,3,1)))))</x:f>
      </x:c>
      <x:c r="L239" s="171" t="str"/>
      <x:c r="M239" s="171" t="str"/>
      <x:c r="N239" s="171" t="str">
        <x:v>Draft — verify in context</x:v>
      </x:c>
      <x:c r="O239" s="167" t="str">
        <x:v>https://www.wgtn.ac.nz/lals/resources/academicwordlist</x:v>
      </x:c>
    </x:row>
    <x:row r="240" ht="26" customHeight="1">
      <x:c r="A240" s="167" t="n">
        <x:v>239</x:v>
      </x:c>
      <x:c r="B240" s="167" t="str">
        <x:v>summary</x:v>
      </x:c>
      <x:c r="C240" s="170" t="str">
        <x:v>резюме</x:v>
      </x:c>
      <x:c r="D240" s="167" t="n">
        <x:v>4</x:v>
      </x:c>
      <x:c r="E240" s="167" t="str">
        <x:v>No</x:v>
      </x:c>
      <x:c r="F240" s="167" t="str">
        <x:v>Medium</x:v>
      </x:c>
      <x:c r="G240" s="167" t="str">
        <x:v>General</x:v>
      </x:c>
      <x:c r="H240" s="167" t="str">
        <x:v>Not Started</x:v>
      </x:c>
      <x:c r="I240" s="167" t="n">
        <x:v>0</x:v>
      </x:c>
      <x:c r="J240" s="168"/>
      <x:c r="K240" s="168" t="str">
        <x:f>IF(OR(H240="Mastered",J240=""),"",J240+IF(I240&gt;=5,30,IF(I240=4,14,IF(I240=3,7,IF(I240=2,3,1)))))</x:f>
      </x:c>
      <x:c r="L240" s="171" t="str"/>
      <x:c r="M240" s="171" t="str"/>
      <x:c r="N240" s="171" t="str">
        <x:v>Draft — verify in context</x:v>
      </x:c>
      <x:c r="O240" s="167" t="str">
        <x:v>https://www.wgtn.ac.nz/lals/resources/academicwordlist</x:v>
      </x:c>
    </x:row>
    <x:row r="241" ht="26" customHeight="1">
      <x:c r="A241" s="167" t="n">
        <x:v>240</x:v>
      </x:c>
      <x:c r="B241" s="167" t="str">
        <x:v>undertaken</x:v>
      </x:c>
      <x:c r="C241" s="170" t="str">
        <x:v>зроблено</x:v>
      </x:c>
      <x:c r="D241" s="167" t="n">
        <x:v>4</x:v>
      </x:c>
      <x:c r="E241" s="167" t="str">
        <x:v>No</x:v>
      </x:c>
      <x:c r="F241" s="167" t="str">
        <x:v>Medium</x:v>
      </x:c>
      <x:c r="G241" s="167" t="str">
        <x:v>General</x:v>
      </x:c>
      <x:c r="H241" s="167" t="str">
        <x:v>Not Started</x:v>
      </x:c>
      <x:c r="I241" s="167" t="n">
        <x:v>0</x:v>
      </x:c>
      <x:c r="J241" s="168"/>
      <x:c r="K241" s="168" t="str">
        <x:f>IF(OR(H241="Mastered",J241=""),"",J241+IF(I241&gt;=5,30,IF(I241=4,14,IF(I241=3,7,IF(I241=2,3,1)))))</x:f>
      </x:c>
      <x:c r="L241" s="171" t="str"/>
      <x:c r="M241" s="171" t="str"/>
      <x:c r="N241" s="171" t="str">
        <x:v>Draft — verify in context</x:v>
      </x:c>
      <x:c r="O241" s="167" t="str">
        <x:v>https://www.wgtn.ac.nz/lals/resources/academicwordlist</x:v>
      </x:c>
    </x:row>
    <x:row r="242" ht="26" customHeight="1">
      <x:c r="A242" s="167" t="n">
        <x:v>241</x:v>
      </x:c>
      <x:c r="B242" s="167" t="str">
        <x:v>academic</x:v>
      </x:c>
      <x:c r="C242" s="170" t="str">
        <x:v>академічний</x:v>
      </x:c>
      <x:c r="D242" s="167" t="n">
        <x:v>5</x:v>
      </x:c>
      <x:c r="E242" s="167" t="str">
        <x:v>No</x:v>
      </x:c>
      <x:c r="F242" s="167" t="str">
        <x:v>Medium</x:v>
      </x:c>
      <x:c r="G242" s="167" t="str">
        <x:v>General</x:v>
      </x:c>
      <x:c r="H242" s="167" t="str">
        <x:v>Not Started</x:v>
      </x:c>
      <x:c r="I242" s="167" t="n">
        <x:v>0</x:v>
      </x:c>
      <x:c r="J242" s="168"/>
      <x:c r="K242" s="168" t="str">
        <x:f>IF(OR(H242="Mastered",J242=""),"",J242+IF(I242&gt;=5,30,IF(I242=4,14,IF(I242=3,7,IF(I242=2,3,1)))))</x:f>
      </x:c>
      <x:c r="L242" s="171" t="str"/>
      <x:c r="M242" s="171" t="str"/>
      <x:c r="N242" s="171" t="str">
        <x:v>Draft — verify in context</x:v>
      </x:c>
      <x:c r="O242" s="167" t="str">
        <x:v>https://www.wgtn.ac.nz/lals/resources/academicwordlist</x:v>
      </x:c>
    </x:row>
    <x:row r="243" ht="26" customHeight="1">
      <x:c r="A243" s="167" t="n">
        <x:v>242</x:v>
      </x:c>
      <x:c r="B243" s="167" t="str">
        <x:v>adjustment</x:v>
      </x:c>
      <x:c r="C243" s="170" t="str">
        <x:v>коригування</x:v>
      </x:c>
      <x:c r="D243" s="167" t="n">
        <x:v>5</x:v>
      </x:c>
      <x:c r="E243" s="167" t="str">
        <x:v>Yes</x:v>
      </x:c>
      <x:c r="F243" s="167" t="str">
        <x:v>Medium</x:v>
      </x:c>
      <x:c r="G243" s="167" t="str">
        <x:v>General</x:v>
      </x:c>
      <x:c r="H243" s="167" t="str">
        <x:v>Not Started</x:v>
      </x:c>
      <x:c r="I243" s="167" t="n">
        <x:v>0</x:v>
      </x:c>
      <x:c r="J243" s="168"/>
      <x:c r="K243" s="168" t="str">
        <x:f>IF(OR(H243="Mastered",J243=""),"",J243+IF(I243&gt;=5,30,IF(I243=4,14,IF(I243=3,7,IF(I243=2,3,1)))))</x:f>
      </x:c>
      <x:c r="L243" s="171" t="str"/>
      <x:c r="M243" s="171" t="str"/>
      <x:c r="N243" s="171" t="str">
        <x:v>Draft — verify in context</x:v>
      </x:c>
      <x:c r="O243" s="167" t="str">
        <x:v>https://www.wgtn.ac.nz/lals/resources/academicwordlist</x:v>
      </x:c>
    </x:row>
    <x:row r="244" ht="26" customHeight="1">
      <x:c r="A244" s="167" t="n">
        <x:v>243</x:v>
      </x:c>
      <x:c r="B244" s="167" t="str">
        <x:v>alter</x:v>
      </x:c>
      <x:c r="C244" s="170" t="str">
        <x:v>змінювати</x:v>
      </x:c>
      <x:c r="D244" s="167" t="n">
        <x:v>5</x:v>
      </x:c>
      <x:c r="E244" s="167" t="str">
        <x:v>No</x:v>
      </x:c>
      <x:c r="F244" s="167" t="str">
        <x:v>Medium</x:v>
      </x:c>
      <x:c r="G244" s="167" t="str">
        <x:v>General</x:v>
      </x:c>
      <x:c r="H244" s="167" t="str">
        <x:v>Not Started</x:v>
      </x:c>
      <x:c r="I244" s="167" t="n">
        <x:v>0</x:v>
      </x:c>
      <x:c r="J244" s="168"/>
      <x:c r="K244" s="168" t="str">
        <x:f>IF(OR(H244="Mastered",J244=""),"",J244+IF(I244&gt;=5,30,IF(I244=4,14,IF(I244=3,7,IF(I244=2,3,1)))))</x:f>
      </x:c>
      <x:c r="L244" s="171" t="str"/>
      <x:c r="M244" s="171" t="str"/>
      <x:c r="N244" s="171" t="str">
        <x:v>Draft — verify in context</x:v>
      </x:c>
      <x:c r="O244" s="167" t="str">
        <x:v>https://www.wgtn.ac.nz/lals/resources/academicwordlist</x:v>
      </x:c>
    </x:row>
    <x:row r="245" ht="26" customHeight="1">
      <x:c r="A245" s="167" t="n">
        <x:v>244</x:v>
      </x:c>
      <x:c r="B245" s="167" t="str">
        <x:v>amendment</x:v>
      </x:c>
      <x:c r="C245" s="170" t="str">
        <x:v>поправка</x:v>
      </x:c>
      <x:c r="D245" s="167" t="n">
        <x:v>5</x:v>
      </x:c>
      <x:c r="E245" s="167" t="str">
        <x:v>Yes</x:v>
      </x:c>
      <x:c r="F245" s="167" t="str">
        <x:v>Medium</x:v>
      </x:c>
      <x:c r="G245" s="167" t="str">
        <x:v>General</x:v>
      </x:c>
      <x:c r="H245" s="167" t="str">
        <x:v>Not Started</x:v>
      </x:c>
      <x:c r="I245" s="167" t="n">
        <x:v>0</x:v>
      </x:c>
      <x:c r="J245" s="168"/>
      <x:c r="K245" s="168" t="str">
        <x:f>IF(OR(H245="Mastered",J245=""),"",J245+IF(I245&gt;=5,30,IF(I245=4,14,IF(I245=3,7,IF(I245=2,3,1)))))</x:f>
      </x:c>
      <x:c r="L245" s="171" t="str"/>
      <x:c r="M245" s="171" t="str"/>
      <x:c r="N245" s="171" t="str">
        <x:v>Draft — verify in context</x:v>
      </x:c>
      <x:c r="O245" s="167" t="str">
        <x:v>https://www.wgtn.ac.nz/lals/resources/academicwordlist</x:v>
      </x:c>
    </x:row>
    <x:row r="246" ht="26" customHeight="1">
      <x:c r="A246" s="167" t="n">
        <x:v>245</x:v>
      </x:c>
      <x:c r="B246" s="167" t="str">
        <x:v>aware</x:v>
      </x:c>
      <x:c r="C246" s="170" t="str">
        <x:v>в курсі</x:v>
      </x:c>
      <x:c r="D246" s="167" t="n">
        <x:v>5</x:v>
      </x:c>
      <x:c r="E246" s="167" t="str">
        <x:v>No</x:v>
      </x:c>
      <x:c r="F246" s="167" t="str">
        <x:v>Medium</x:v>
      </x:c>
      <x:c r="G246" s="167" t="str">
        <x:v>General</x:v>
      </x:c>
      <x:c r="H246" s="167" t="str">
        <x:v>Not Started</x:v>
      </x:c>
      <x:c r="I246" s="167" t="n">
        <x:v>0</x:v>
      </x:c>
      <x:c r="J246" s="168"/>
      <x:c r="K246" s="168" t="str">
        <x:f>IF(OR(H246="Mastered",J246=""),"",J246+IF(I246&gt;=5,30,IF(I246=4,14,IF(I246=3,7,IF(I246=2,3,1)))))</x:f>
      </x:c>
      <x:c r="L246" s="171" t="str"/>
      <x:c r="M246" s="171" t="str"/>
      <x:c r="N246" s="171" t="str">
        <x:v>Draft — verify in context</x:v>
      </x:c>
      <x:c r="O246" s="167" t="str">
        <x:v>https://www.wgtn.ac.nz/lals/resources/academicwordlist</x:v>
      </x:c>
    </x:row>
    <x:row r="247" ht="26" customHeight="1">
      <x:c r="A247" s="167" t="n">
        <x:v>246</x:v>
      </x:c>
      <x:c r="B247" s="167" t="str">
        <x:v>capacity</x:v>
      </x:c>
      <x:c r="C247" s="170" t="str">
        <x:v>місткість</x:v>
      </x:c>
      <x:c r="D247" s="167" t="n">
        <x:v>5</x:v>
      </x:c>
      <x:c r="E247" s="167" t="str">
        <x:v>No</x:v>
      </x:c>
      <x:c r="F247" s="167" t="str">
        <x:v>Medium</x:v>
      </x:c>
      <x:c r="G247" s="167" t="str">
        <x:v>General</x:v>
      </x:c>
      <x:c r="H247" s="167" t="str">
        <x:v>Not Started</x:v>
      </x:c>
      <x:c r="I247" s="167" t="n">
        <x:v>0</x:v>
      </x:c>
      <x:c r="J247" s="168"/>
      <x:c r="K247" s="168" t="str">
        <x:f>IF(OR(H247="Mastered",J247=""),"",J247+IF(I247&gt;=5,30,IF(I247=4,14,IF(I247=3,7,IF(I247=2,3,1)))))</x:f>
      </x:c>
      <x:c r="L247" s="171" t="str"/>
      <x:c r="M247" s="171" t="str"/>
      <x:c r="N247" s="171" t="str">
        <x:v>Draft — verify in context</x:v>
      </x:c>
      <x:c r="O247" s="167" t="str">
        <x:v>https://www.wgtn.ac.nz/lals/resources/academicwordlist</x:v>
      </x:c>
    </x:row>
    <x:row r="248" ht="26" customHeight="1">
      <x:c r="A248" s="167" t="n">
        <x:v>247</x:v>
      </x:c>
      <x:c r="B248" s="167" t="str">
        <x:v>challenge</x:v>
      </x:c>
      <x:c r="C248" s="170" t="str">
        <x:v>виклик</x:v>
      </x:c>
      <x:c r="D248" s="167" t="n">
        <x:v>5</x:v>
      </x:c>
      <x:c r="E248" s="167" t="str">
        <x:v>No</x:v>
      </x:c>
      <x:c r="F248" s="167" t="str">
        <x:v>Medium</x:v>
      </x:c>
      <x:c r="G248" s="167" t="str">
        <x:v>General</x:v>
      </x:c>
      <x:c r="H248" s="167" t="str">
        <x:v>Not Started</x:v>
      </x:c>
      <x:c r="I248" s="167" t="n">
        <x:v>0</x:v>
      </x:c>
      <x:c r="J248" s="168"/>
      <x:c r="K248" s="168" t="str">
        <x:f>IF(OR(H248="Mastered",J248=""),"",J248+IF(I248&gt;=5,30,IF(I248=4,14,IF(I248=3,7,IF(I248=2,3,1)))))</x:f>
      </x:c>
      <x:c r="L248" s="171" t="str"/>
      <x:c r="M248" s="171" t="str"/>
      <x:c r="N248" s="171" t="str">
        <x:v>Draft — verify in context</x:v>
      </x:c>
      <x:c r="O248" s="167" t="str">
        <x:v>https://www.wgtn.ac.nz/lals/resources/academicwordlist</x:v>
      </x:c>
    </x:row>
    <x:row r="249" ht="26" customHeight="1">
      <x:c r="A249" s="167" t="n">
        <x:v>248</x:v>
      </x:c>
      <x:c r="B249" s="167" t="str">
        <x:v>clause</x:v>
      </x:c>
      <x:c r="C249" s="170" t="str">
        <x:v>пункт</x:v>
      </x:c>
      <x:c r="D249" s="167" t="n">
        <x:v>5</x:v>
      </x:c>
      <x:c r="E249" s="167" t="str">
        <x:v>No</x:v>
      </x:c>
      <x:c r="F249" s="167" t="str">
        <x:v>Medium</x:v>
      </x:c>
      <x:c r="G249" s="167" t="str">
        <x:v>General</x:v>
      </x:c>
      <x:c r="H249" s="167" t="str">
        <x:v>Not Started</x:v>
      </x:c>
      <x:c r="I249" s="167" t="n">
        <x:v>0</x:v>
      </x:c>
      <x:c r="J249" s="168"/>
      <x:c r="K249" s="168" t="str">
        <x:f>IF(OR(H249="Mastered",J249=""),"",J249+IF(I249&gt;=5,30,IF(I249=4,14,IF(I249=3,7,IF(I249=2,3,1)))))</x:f>
      </x:c>
      <x:c r="L249" s="171" t="str"/>
      <x:c r="M249" s="171" t="str"/>
      <x:c r="N249" s="171" t="str">
        <x:v>Draft — verify in context</x:v>
      </x:c>
      <x:c r="O249" s="167" t="str">
        <x:v>https://www.wgtn.ac.nz/lals/resources/academicwordlist</x:v>
      </x:c>
    </x:row>
    <x:row r="250" ht="26" customHeight="1">
      <x:c r="A250" s="167" t="n">
        <x:v>249</x:v>
      </x:c>
      <x:c r="B250" s="167" t="str">
        <x:v>compounds</x:v>
      </x:c>
      <x:c r="C250" s="170" t="str">
        <x:v>сполуки</x:v>
      </x:c>
      <x:c r="D250" s="167" t="n">
        <x:v>5</x:v>
      </x:c>
      <x:c r="E250" s="167" t="str">
        <x:v>No</x:v>
      </x:c>
      <x:c r="F250" s="167" t="str">
        <x:v>Medium</x:v>
      </x:c>
      <x:c r="G250" s="167" t="str">
        <x:v>General</x:v>
      </x:c>
      <x:c r="H250" s="167" t="str">
        <x:v>Not Started</x:v>
      </x:c>
      <x:c r="I250" s="167" t="n">
        <x:v>0</x:v>
      </x:c>
      <x:c r="J250" s="168"/>
      <x:c r="K250" s="168" t="str">
        <x:f>IF(OR(H250="Mastered",J250=""),"",J250+IF(I250&gt;=5,30,IF(I250=4,14,IF(I250=3,7,IF(I250=2,3,1)))))</x:f>
      </x:c>
      <x:c r="L250" s="171" t="str"/>
      <x:c r="M250" s="171" t="str"/>
      <x:c r="N250" s="171" t="str">
        <x:v>Draft — verify in context</x:v>
      </x:c>
      <x:c r="O250" s="167" t="str">
        <x:v>https://www.wgtn.ac.nz/lals/resources/academicwordlist</x:v>
      </x:c>
    </x:row>
    <x:row r="251" ht="26" customHeight="1">
      <x:c r="A251" s="167" t="n">
        <x:v>250</x:v>
      </x:c>
      <x:c r="B251" s="167" t="str">
        <x:v>conflict</x:v>
      </x:c>
      <x:c r="C251" s="170" t="str">
        <x:v>конфлікт</x:v>
      </x:c>
      <x:c r="D251" s="167" t="n">
        <x:v>5</x:v>
      </x:c>
      <x:c r="E251" s="167" t="str">
        <x:v>No</x:v>
      </x:c>
      <x:c r="F251" s="167" t="str">
        <x:v>Medium</x:v>
      </x:c>
      <x:c r="G251" s="167" t="str">
        <x:v>General</x:v>
      </x:c>
      <x:c r="H251" s="167" t="str">
        <x:v>Not Started</x:v>
      </x:c>
      <x:c r="I251" s="167" t="n">
        <x:v>0</x:v>
      </x:c>
      <x:c r="J251" s="168"/>
      <x:c r="K251" s="168" t="str">
        <x:f>IF(OR(H251="Mastered",J251=""),"",J251+IF(I251&gt;=5,30,IF(I251=4,14,IF(I251=3,7,IF(I251=2,3,1)))))</x:f>
      </x:c>
      <x:c r="L251" s="171" t="str"/>
      <x:c r="M251" s="171" t="str"/>
      <x:c r="N251" s="171" t="str">
        <x:v>Draft — verify in context</x:v>
      </x:c>
      <x:c r="O251" s="167" t="str">
        <x:v>https://www.wgtn.ac.nz/lals/resources/academicwordlist</x:v>
      </x:c>
    </x:row>
    <x:row r="252" ht="26" customHeight="1">
      <x:c r="A252" s="167" t="n">
        <x:v>251</x:v>
      </x:c>
      <x:c r="B252" s="167" t="str">
        <x:v>consultation</x:v>
      </x:c>
      <x:c r="C252" s="170" t="str">
        <x:v>консультація</x:v>
      </x:c>
      <x:c r="D252" s="167" t="n">
        <x:v>5</x:v>
      </x:c>
      <x:c r="E252" s="167" t="str">
        <x:v>Yes</x:v>
      </x:c>
      <x:c r="F252" s="167" t="str">
        <x:v>Medium</x:v>
      </x:c>
      <x:c r="G252" s="167" t="str">
        <x:v>General</x:v>
      </x:c>
      <x:c r="H252" s="167" t="str">
        <x:v>Not Started</x:v>
      </x:c>
      <x:c r="I252" s="167" t="n">
        <x:v>0</x:v>
      </x:c>
      <x:c r="J252" s="168"/>
      <x:c r="K252" s="168" t="str">
        <x:f>IF(OR(H252="Mastered",J252=""),"",J252+IF(I252&gt;=5,30,IF(I252=4,14,IF(I252=3,7,IF(I252=2,3,1)))))</x:f>
      </x:c>
      <x:c r="L252" s="171" t="str"/>
      <x:c r="M252" s="171" t="str"/>
      <x:c r="N252" s="171" t="str">
        <x:v>Draft — verify in context</x:v>
      </x:c>
      <x:c r="O252" s="167" t="str">
        <x:v>https://www.wgtn.ac.nz/lals/resources/academicwordlist</x:v>
      </x:c>
    </x:row>
    <x:row r="253" ht="26" customHeight="1">
      <x:c r="A253" s="167" t="n">
        <x:v>252</x:v>
      </x:c>
      <x:c r="B253" s="167" t="str">
        <x:v>contact</x:v>
      </x:c>
      <x:c r="C253" s="170" t="str">
        <x:v>контакт</x:v>
      </x:c>
      <x:c r="D253" s="167" t="n">
        <x:v>5</x:v>
      </x:c>
      <x:c r="E253" s="167" t="str">
        <x:v>No</x:v>
      </x:c>
      <x:c r="F253" s="167" t="str">
        <x:v>Medium</x:v>
      </x:c>
      <x:c r="G253" s="167" t="str">
        <x:v>General</x:v>
      </x:c>
      <x:c r="H253" s="167" t="str">
        <x:v>Not Started</x:v>
      </x:c>
      <x:c r="I253" s="167" t="n">
        <x:v>0</x:v>
      </x:c>
      <x:c r="J253" s="168"/>
      <x:c r="K253" s="168" t="str">
        <x:f>IF(OR(H253="Mastered",J253=""),"",J253+IF(I253&gt;=5,30,IF(I253=4,14,IF(I253=3,7,IF(I253=2,3,1)))))</x:f>
      </x:c>
      <x:c r="L253" s="171" t="str"/>
      <x:c r="M253" s="171" t="str"/>
      <x:c r="N253" s="171" t="str">
        <x:v>Draft — verify in context</x:v>
      </x:c>
      <x:c r="O253" s="167" t="str">
        <x:v>https://www.wgtn.ac.nz/lals/resources/academicwordlist</x:v>
      </x:c>
    </x:row>
    <x:row r="254" ht="26" customHeight="1">
      <x:c r="A254" s="167" t="n">
        <x:v>253</x:v>
      </x:c>
      <x:c r="B254" s="167" t="str">
        <x:v>decline</x:v>
      </x:c>
      <x:c r="C254" s="170" t="str">
        <x:v>занепад</x:v>
      </x:c>
      <x:c r="D254" s="167" t="n">
        <x:v>5</x:v>
      </x:c>
      <x:c r="E254" s="167" t="str">
        <x:v>No</x:v>
      </x:c>
      <x:c r="F254" s="167" t="str">
        <x:v>Medium</x:v>
      </x:c>
      <x:c r="G254" s="167" t="str">
        <x:v>General</x:v>
      </x:c>
      <x:c r="H254" s="167" t="str">
        <x:v>Not Started</x:v>
      </x:c>
      <x:c r="I254" s="167" t="n">
        <x:v>0</x:v>
      </x:c>
      <x:c r="J254" s="168"/>
      <x:c r="K254" s="168" t="str">
        <x:f>IF(OR(H254="Mastered",J254=""),"",J254+IF(I254&gt;=5,30,IF(I254=4,14,IF(I254=3,7,IF(I254=2,3,1)))))</x:f>
      </x:c>
      <x:c r="L254" s="171" t="str"/>
      <x:c r="M254" s="171" t="str"/>
      <x:c r="N254" s="171" t="str">
        <x:v>Draft — verify in context</x:v>
      </x:c>
      <x:c r="O254" s="167" t="str">
        <x:v>https://www.wgtn.ac.nz/lals/resources/academicwordlist</x:v>
      </x:c>
    </x:row>
    <x:row r="255" ht="26" customHeight="1">
      <x:c r="A255" s="167" t="n">
        <x:v>254</x:v>
      </x:c>
      <x:c r="B255" s="167" t="str">
        <x:v>discretion</x:v>
      </x:c>
      <x:c r="C255" s="170" t="str">
        <x:v>розсуд</x:v>
      </x:c>
      <x:c r="D255" s="167" t="n">
        <x:v>5</x:v>
      </x:c>
      <x:c r="E255" s="167" t="str">
        <x:v>Yes</x:v>
      </x:c>
      <x:c r="F255" s="167" t="str">
        <x:v>Medium</x:v>
      </x:c>
      <x:c r="G255" s="167" t="str">
        <x:v>General</x:v>
      </x:c>
      <x:c r="H255" s="167" t="str">
        <x:v>Not Started</x:v>
      </x:c>
      <x:c r="I255" s="167" t="n">
        <x:v>0</x:v>
      </x:c>
      <x:c r="J255" s="168"/>
      <x:c r="K255" s="168" t="str">
        <x:f>IF(OR(H255="Mastered",J255=""),"",J255+IF(I255&gt;=5,30,IF(I255=4,14,IF(I255=3,7,IF(I255=2,3,1)))))</x:f>
      </x:c>
      <x:c r="L255" s="171" t="str"/>
      <x:c r="M255" s="171" t="str"/>
      <x:c r="N255" s="171" t="str">
        <x:v>Draft — verify in context</x:v>
      </x:c>
      <x:c r="O255" s="167" t="str">
        <x:v>https://www.wgtn.ac.nz/lals/resources/academicwordlist</x:v>
      </x:c>
    </x:row>
    <x:row r="256" ht="26" customHeight="1">
      <x:c r="A256" s="167" t="n">
        <x:v>255</x:v>
      </x:c>
      <x:c r="B256" s="167" t="str">
        <x:v>draft</x:v>
      </x:c>
      <x:c r="C256" s="170" t="str">
        <x:v>проект</x:v>
      </x:c>
      <x:c r="D256" s="167" t="n">
        <x:v>5</x:v>
      </x:c>
      <x:c r="E256" s="167" t="str">
        <x:v>No</x:v>
      </x:c>
      <x:c r="F256" s="167" t="str">
        <x:v>Medium</x:v>
      </x:c>
      <x:c r="G256" s="167" t="str">
        <x:v>General</x:v>
      </x:c>
      <x:c r="H256" s="167" t="str">
        <x:v>Not Started</x:v>
      </x:c>
      <x:c r="I256" s="167" t="n">
        <x:v>0</x:v>
      </x:c>
      <x:c r="J256" s="168"/>
      <x:c r="K256" s="168" t="str">
        <x:f>IF(OR(H256="Mastered",J256=""),"",J256+IF(I256&gt;=5,30,IF(I256=4,14,IF(I256=3,7,IF(I256=2,3,1)))))</x:f>
      </x:c>
      <x:c r="L256" s="171" t="str"/>
      <x:c r="M256" s="171" t="str"/>
      <x:c r="N256" s="171" t="str">
        <x:v>Draft — verify in context</x:v>
      </x:c>
      <x:c r="O256" s="167" t="str">
        <x:v>https://www.wgtn.ac.nz/lals/resources/academicwordlist</x:v>
      </x:c>
    </x:row>
    <x:row r="257" ht="26" customHeight="1">
      <x:c r="A257" s="167" t="n">
        <x:v>256</x:v>
      </x:c>
      <x:c r="B257" s="167" t="str">
        <x:v>enable</x:v>
      </x:c>
      <x:c r="C257" s="170" t="str">
        <x:v>включити</x:v>
      </x:c>
      <x:c r="D257" s="167" t="n">
        <x:v>5</x:v>
      </x:c>
      <x:c r="E257" s="167" t="str">
        <x:v>No</x:v>
      </x:c>
      <x:c r="F257" s="167" t="str">
        <x:v>Medium</x:v>
      </x:c>
      <x:c r="G257" s="167" t="str">
        <x:v>General</x:v>
      </x:c>
      <x:c r="H257" s="167" t="str">
        <x:v>Not Started</x:v>
      </x:c>
      <x:c r="I257" s="167" t="n">
        <x:v>0</x:v>
      </x:c>
      <x:c r="J257" s="168"/>
      <x:c r="K257" s="168" t="str">
        <x:f>IF(OR(H257="Mastered",J257=""),"",J257+IF(I257&gt;=5,30,IF(I257=4,14,IF(I257=3,7,IF(I257=2,3,1)))))</x:f>
      </x:c>
      <x:c r="L257" s="171" t="str"/>
      <x:c r="M257" s="171" t="str"/>
      <x:c r="N257" s="171" t="str">
        <x:v>Draft — verify in context</x:v>
      </x:c>
      <x:c r="O257" s="167" t="str">
        <x:v>https://www.wgtn.ac.nz/lals/resources/academicwordlist</x:v>
      </x:c>
    </x:row>
    <x:row r="258" ht="26" customHeight="1">
      <x:c r="A258" s="167" t="n">
        <x:v>257</x:v>
      </x:c>
      <x:c r="B258" s="167" t="str">
        <x:v>energy</x:v>
      </x:c>
      <x:c r="C258" s="170" t="str">
        <x:v>енергії</x:v>
      </x:c>
      <x:c r="D258" s="167" t="n">
        <x:v>5</x:v>
      </x:c>
      <x:c r="E258" s="167" t="str">
        <x:v>No</x:v>
      </x:c>
      <x:c r="F258" s="167" t="str">
        <x:v>Medium</x:v>
      </x:c>
      <x:c r="G258" s="167" t="str">
        <x:v>General</x:v>
      </x:c>
      <x:c r="H258" s="167" t="str">
        <x:v>Not Started</x:v>
      </x:c>
      <x:c r="I258" s="167" t="n">
        <x:v>0</x:v>
      </x:c>
      <x:c r="J258" s="168"/>
      <x:c r="K258" s="168" t="str">
        <x:f>IF(OR(H258="Mastered",J258=""),"",J258+IF(I258&gt;=5,30,IF(I258=4,14,IF(I258=3,7,IF(I258=2,3,1)))))</x:f>
      </x:c>
      <x:c r="L258" s="171" t="str"/>
      <x:c r="M258" s="171" t="str"/>
      <x:c r="N258" s="171" t="str">
        <x:v>Draft — verify in context</x:v>
      </x:c>
      <x:c r="O258" s="167" t="str">
        <x:v>https://www.wgtn.ac.nz/lals/resources/academicwordlist</x:v>
      </x:c>
    </x:row>
    <x:row r="259" ht="26" customHeight="1">
      <x:c r="A259" s="167" t="n">
        <x:v>258</x:v>
      </x:c>
      <x:c r="B259" s="167" t="str">
        <x:v>enforcement</x:v>
      </x:c>
      <x:c r="C259" s="170" t="str">
        <x:v>виконання</x:v>
      </x:c>
      <x:c r="D259" s="167" t="n">
        <x:v>5</x:v>
      </x:c>
      <x:c r="E259" s="167" t="str">
        <x:v>Yes</x:v>
      </x:c>
      <x:c r="F259" s="167" t="str">
        <x:v>Medium</x:v>
      </x:c>
      <x:c r="G259" s="167" t="str">
        <x:v>General</x:v>
      </x:c>
      <x:c r="H259" s="167" t="str">
        <x:v>Not Started</x:v>
      </x:c>
      <x:c r="I259" s="167" t="n">
        <x:v>0</x:v>
      </x:c>
      <x:c r="J259" s="168"/>
      <x:c r="K259" s="168" t="str">
        <x:f>IF(OR(H259="Mastered",J259=""),"",J259+IF(I259&gt;=5,30,IF(I259=4,14,IF(I259=3,7,IF(I259=2,3,1)))))</x:f>
      </x:c>
      <x:c r="L259" s="171" t="str"/>
      <x:c r="M259" s="171" t="str"/>
      <x:c r="N259" s="171" t="str">
        <x:v>Draft — verify in context</x:v>
      </x:c>
      <x:c r="O259" s="167" t="str">
        <x:v>https://www.wgtn.ac.nz/lals/resources/academicwordlist</x:v>
      </x:c>
    </x:row>
    <x:row r="260" ht="26" customHeight="1">
      <x:c r="A260" s="167" t="n">
        <x:v>259</x:v>
      </x:c>
      <x:c r="B260" s="167" t="str">
        <x:v>entities</x:v>
      </x:c>
      <x:c r="C260" s="170" t="str">
        <x:v>сутності</x:v>
      </x:c>
      <x:c r="D260" s="167" t="n">
        <x:v>5</x:v>
      </x:c>
      <x:c r="E260" s="167" t="str">
        <x:v>No</x:v>
      </x:c>
      <x:c r="F260" s="167" t="str">
        <x:v>Medium</x:v>
      </x:c>
      <x:c r="G260" s="167" t="str">
        <x:v>General</x:v>
      </x:c>
      <x:c r="H260" s="167" t="str">
        <x:v>Not Started</x:v>
      </x:c>
      <x:c r="I260" s="167" t="n">
        <x:v>0</x:v>
      </x:c>
      <x:c r="J260" s="168"/>
      <x:c r="K260" s="168" t="str">
        <x:f>IF(OR(H260="Mastered",J260=""),"",J260+IF(I260&gt;=5,30,IF(I260=4,14,IF(I260=3,7,IF(I260=2,3,1)))))</x:f>
      </x:c>
      <x:c r="L260" s="171" t="str"/>
      <x:c r="M260" s="171" t="str"/>
      <x:c r="N260" s="171" t="str">
        <x:v>Draft — verify in context</x:v>
      </x:c>
      <x:c r="O260" s="167" t="str">
        <x:v>https://www.wgtn.ac.nz/lals/resources/academicwordlist</x:v>
      </x:c>
    </x:row>
    <x:row r="261" ht="26" customHeight="1">
      <x:c r="A261" s="167" t="n">
        <x:v>260</x:v>
      </x:c>
      <x:c r="B261" s="167" t="str">
        <x:v>equivalent</x:v>
      </x:c>
      <x:c r="C261" s="170" t="str">
        <x:v>еквівалент</x:v>
      </x:c>
      <x:c r="D261" s="167" t="n">
        <x:v>5</x:v>
      </x:c>
      <x:c r="E261" s="167" t="str">
        <x:v>No</x:v>
      </x:c>
      <x:c r="F261" s="167" t="str">
        <x:v>Medium</x:v>
      </x:c>
      <x:c r="G261" s="167" t="str">
        <x:v>General</x:v>
      </x:c>
      <x:c r="H261" s="167" t="str">
        <x:v>Not Started</x:v>
      </x:c>
      <x:c r="I261" s="167" t="n">
        <x:v>0</x:v>
      </x:c>
      <x:c r="J261" s="168"/>
      <x:c r="K261" s="168" t="str">
        <x:f>IF(OR(H261="Mastered",J261=""),"",J261+IF(I261&gt;=5,30,IF(I261=4,14,IF(I261=3,7,IF(I261=2,3,1)))))</x:f>
      </x:c>
      <x:c r="L261" s="171" t="str"/>
      <x:c r="M261" s="171" t="str"/>
      <x:c r="N261" s="171" t="str">
        <x:v>Draft — verify in context</x:v>
      </x:c>
      <x:c r="O261" s="167" t="str">
        <x:v>https://www.wgtn.ac.nz/lals/resources/academicwordlist</x:v>
      </x:c>
    </x:row>
    <x:row r="262" ht="26" customHeight="1">
      <x:c r="A262" s="167" t="n">
        <x:v>261</x:v>
      </x:c>
      <x:c r="B262" s="167" t="str">
        <x:v>evolution</x:v>
      </x:c>
      <x:c r="C262" s="170" t="str">
        <x:v>еволюція</x:v>
      </x:c>
      <x:c r="D262" s="167" t="n">
        <x:v>5</x:v>
      </x:c>
      <x:c r="E262" s="167" t="str">
        <x:v>No</x:v>
      </x:c>
      <x:c r="F262" s="167" t="str">
        <x:v>Medium</x:v>
      </x:c>
      <x:c r="G262" s="167" t="str">
        <x:v>General</x:v>
      </x:c>
      <x:c r="H262" s="167" t="str">
        <x:v>Not Started</x:v>
      </x:c>
      <x:c r="I262" s="167" t="n">
        <x:v>0</x:v>
      </x:c>
      <x:c r="J262" s="168"/>
      <x:c r="K262" s="168" t="str">
        <x:f>IF(OR(H262="Mastered",J262=""),"",J262+IF(I262&gt;=5,30,IF(I262=4,14,IF(I262=3,7,IF(I262=2,3,1)))))</x:f>
      </x:c>
      <x:c r="L262" s="171" t="str"/>
      <x:c r="M262" s="171" t="str"/>
      <x:c r="N262" s="171" t="str">
        <x:v>Draft — verify in context</x:v>
      </x:c>
      <x:c r="O262" s="167" t="str">
        <x:v>https://www.wgtn.ac.nz/lals/resources/academicwordlist</x:v>
      </x:c>
    </x:row>
    <x:row r="263" ht="26" customHeight="1">
      <x:c r="A263" s="167" t="n">
        <x:v>262</x:v>
      </x:c>
      <x:c r="B263" s="167" t="str">
        <x:v>expansion</x:v>
      </x:c>
      <x:c r="C263" s="170" t="str">
        <x:v>розширення</x:v>
      </x:c>
      <x:c r="D263" s="167" t="n">
        <x:v>5</x:v>
      </x:c>
      <x:c r="E263" s="167" t="str">
        <x:v>No</x:v>
      </x:c>
      <x:c r="F263" s="167" t="str">
        <x:v>Medium</x:v>
      </x:c>
      <x:c r="G263" s="167" t="str">
        <x:v>General</x:v>
      </x:c>
      <x:c r="H263" s="167" t="str">
        <x:v>Not Started</x:v>
      </x:c>
      <x:c r="I263" s="167" t="n">
        <x:v>0</x:v>
      </x:c>
      <x:c r="J263" s="168"/>
      <x:c r="K263" s="168" t="str">
        <x:f>IF(OR(H263="Mastered",J263=""),"",J263+IF(I263&gt;=5,30,IF(I263=4,14,IF(I263=3,7,IF(I263=2,3,1)))))</x:f>
      </x:c>
      <x:c r="L263" s="171" t="str"/>
      <x:c r="M263" s="171" t="str"/>
      <x:c r="N263" s="171" t="str">
        <x:v>Draft — verify in context</x:v>
      </x:c>
      <x:c r="O263" s="167" t="str">
        <x:v>https://www.wgtn.ac.nz/lals/resources/academicwordlist</x:v>
      </x:c>
    </x:row>
    <x:row r="264" ht="26" customHeight="1">
      <x:c r="A264" s="167" t="n">
        <x:v>263</x:v>
      </x:c>
      <x:c r="B264" s="167" t="str">
        <x:v>exposure</x:v>
      </x:c>
      <x:c r="C264" s="170" t="str">
        <x:v>експозиція</x:v>
      </x:c>
      <x:c r="D264" s="167" t="n">
        <x:v>5</x:v>
      </x:c>
      <x:c r="E264" s="167" t="str">
        <x:v>No</x:v>
      </x:c>
      <x:c r="F264" s="167" t="str">
        <x:v>Medium</x:v>
      </x:c>
      <x:c r="G264" s="167" t="str">
        <x:v>General</x:v>
      </x:c>
      <x:c r="H264" s="167" t="str">
        <x:v>Not Started</x:v>
      </x:c>
      <x:c r="I264" s="167" t="n">
        <x:v>0</x:v>
      </x:c>
      <x:c r="J264" s="168"/>
      <x:c r="K264" s="168" t="str">
        <x:f>IF(OR(H264="Mastered",J264=""),"",J264+IF(I264&gt;=5,30,IF(I264=4,14,IF(I264=3,7,IF(I264=2,3,1)))))</x:f>
      </x:c>
      <x:c r="L264" s="171" t="str"/>
      <x:c r="M264" s="171" t="str"/>
      <x:c r="N264" s="171" t="str">
        <x:v>Draft — verify in context</x:v>
      </x:c>
      <x:c r="O264" s="167" t="str">
        <x:v>https://www.wgtn.ac.nz/lals/resources/academicwordlist</x:v>
      </x:c>
    </x:row>
    <x:row r="265" ht="26" customHeight="1">
      <x:c r="A265" s="167" t="n">
        <x:v>264</x:v>
      </x:c>
      <x:c r="B265" s="167" t="str">
        <x:v>external</x:v>
      </x:c>
      <x:c r="C265" s="170" t="str">
        <x:v>зовнішній</x:v>
      </x:c>
      <x:c r="D265" s="167" t="n">
        <x:v>5</x:v>
      </x:c>
      <x:c r="E265" s="167" t="str">
        <x:v>No</x:v>
      </x:c>
      <x:c r="F265" s="167" t="str">
        <x:v>Medium</x:v>
      </x:c>
      <x:c r="G265" s="167" t="str">
        <x:v>General</x:v>
      </x:c>
      <x:c r="H265" s="167" t="str">
        <x:v>Not Started</x:v>
      </x:c>
      <x:c r="I265" s="167" t="n">
        <x:v>0</x:v>
      </x:c>
      <x:c r="J265" s="168"/>
      <x:c r="K265" s="168" t="str">
        <x:f>IF(OR(H265="Mastered",J265=""),"",J265+IF(I265&gt;=5,30,IF(I265=4,14,IF(I265=3,7,IF(I265=2,3,1)))))</x:f>
      </x:c>
      <x:c r="L265" s="171" t="str"/>
      <x:c r="M265" s="171" t="str"/>
      <x:c r="N265" s="171" t="str">
        <x:v>Draft — verify in context</x:v>
      </x:c>
      <x:c r="O265" s="167" t="str">
        <x:v>https://www.wgtn.ac.nz/lals/resources/academicwordlist</x:v>
      </x:c>
    </x:row>
    <x:row r="266" ht="26" customHeight="1">
      <x:c r="A266" s="167" t="n">
        <x:v>265</x:v>
      </x:c>
      <x:c r="B266" s="167" t="str">
        <x:v>facilitate</x:v>
      </x:c>
      <x:c r="C266" s="170" t="str">
        <x:v>сприяти</x:v>
      </x:c>
      <x:c r="D266" s="167" t="n">
        <x:v>5</x:v>
      </x:c>
      <x:c r="E266" s="167" t="str">
        <x:v>Yes</x:v>
      </x:c>
      <x:c r="F266" s="167" t="str">
        <x:v>Medium</x:v>
      </x:c>
      <x:c r="G266" s="167" t="str">
        <x:v>General</x:v>
      </x:c>
      <x:c r="H266" s="167" t="str">
        <x:v>Not Started</x:v>
      </x:c>
      <x:c r="I266" s="167" t="n">
        <x:v>0</x:v>
      </x:c>
      <x:c r="J266" s="168"/>
      <x:c r="K266" s="168" t="str">
        <x:f>IF(OR(H266="Mastered",J266=""),"",J266+IF(I266&gt;=5,30,IF(I266=4,14,IF(I266=3,7,IF(I266=2,3,1)))))</x:f>
      </x:c>
      <x:c r="L266" s="171" t="str"/>
      <x:c r="M266" s="171" t="str"/>
      <x:c r="N266" s="171" t="str">
        <x:v>Draft — verify in context</x:v>
      </x:c>
      <x:c r="O266" s="167" t="str">
        <x:v>https://www.wgtn.ac.nz/lals/resources/academicwordlist</x:v>
      </x:c>
    </x:row>
    <x:row r="267" ht="26" customHeight="1">
      <x:c r="A267" s="167" t="n">
        <x:v>266</x:v>
      </x:c>
      <x:c r="B267" s="167" t="str">
        <x:v>fundamental</x:v>
      </x:c>
      <x:c r="C267" s="170" t="str">
        <x:v>фундаментальний</x:v>
      </x:c>
      <x:c r="D267" s="167" t="n">
        <x:v>5</x:v>
      </x:c>
      <x:c r="E267" s="167" t="str">
        <x:v>No</x:v>
      </x:c>
      <x:c r="F267" s="167" t="str">
        <x:v>Medium</x:v>
      </x:c>
      <x:c r="G267" s="167" t="str">
        <x:v>General</x:v>
      </x:c>
      <x:c r="H267" s="167" t="str">
        <x:v>Not Started</x:v>
      </x:c>
      <x:c r="I267" s="167" t="n">
        <x:v>0</x:v>
      </x:c>
      <x:c r="J267" s="168"/>
      <x:c r="K267" s="168" t="str">
        <x:f>IF(OR(H267="Mastered",J267=""),"",J267+IF(I267&gt;=5,30,IF(I267=4,14,IF(I267=3,7,IF(I267=2,3,1)))))</x:f>
      </x:c>
      <x:c r="L267" s="171" t="str"/>
      <x:c r="M267" s="171" t="str"/>
      <x:c r="N267" s="171" t="str">
        <x:v>Draft — verify in context</x:v>
      </x:c>
      <x:c r="O267" s="167" t="str">
        <x:v>https://www.wgtn.ac.nz/lals/resources/academicwordlist</x:v>
      </x:c>
    </x:row>
    <x:row r="268" ht="26" customHeight="1">
      <x:c r="A268" s="167" t="n">
        <x:v>267</x:v>
      </x:c>
      <x:c r="B268" s="167" t="str">
        <x:v>generated</x:v>
      </x:c>
      <x:c r="C268" s="170" t="str">
        <x:v>створений</x:v>
      </x:c>
      <x:c r="D268" s="167" t="n">
        <x:v>5</x:v>
      </x:c>
      <x:c r="E268" s="167" t="str">
        <x:v>No</x:v>
      </x:c>
      <x:c r="F268" s="167" t="str">
        <x:v>Medium</x:v>
      </x:c>
      <x:c r="G268" s="167" t="str">
        <x:v>General</x:v>
      </x:c>
      <x:c r="H268" s="167" t="str">
        <x:v>Not Started</x:v>
      </x:c>
      <x:c r="I268" s="167" t="n">
        <x:v>0</x:v>
      </x:c>
      <x:c r="J268" s="168"/>
      <x:c r="K268" s="168" t="str">
        <x:f>IF(OR(H268="Mastered",J268=""),"",J268+IF(I268&gt;=5,30,IF(I268=4,14,IF(I268=3,7,IF(I268=2,3,1)))))</x:f>
      </x:c>
      <x:c r="L268" s="171" t="str"/>
      <x:c r="M268" s="171" t="str"/>
      <x:c r="N268" s="171" t="str">
        <x:v>Draft — verify in context</x:v>
      </x:c>
      <x:c r="O268" s="167" t="str">
        <x:v>https://www.wgtn.ac.nz/lals/resources/academicwordlist</x:v>
      </x:c>
    </x:row>
    <x:row r="269" ht="26" customHeight="1">
      <x:c r="A269" s="167" t="n">
        <x:v>268</x:v>
      </x:c>
      <x:c r="B269" s="167" t="str">
        <x:v>generation</x:v>
      </x:c>
      <x:c r="C269" s="170" t="str">
        <x:v>покоління</x:v>
      </x:c>
      <x:c r="D269" s="167" t="n">
        <x:v>5</x:v>
      </x:c>
      <x:c r="E269" s="167" t="str">
        <x:v>No</x:v>
      </x:c>
      <x:c r="F269" s="167" t="str">
        <x:v>Medium</x:v>
      </x:c>
      <x:c r="G269" s="167" t="str">
        <x:v>General</x:v>
      </x:c>
      <x:c r="H269" s="167" t="str">
        <x:v>Not Started</x:v>
      </x:c>
      <x:c r="I269" s="167" t="n">
        <x:v>0</x:v>
      </x:c>
      <x:c r="J269" s="168"/>
      <x:c r="K269" s="168" t="str">
        <x:f>IF(OR(H269="Mastered",J269=""),"",J269+IF(I269&gt;=5,30,IF(I269=4,14,IF(I269=3,7,IF(I269=2,3,1)))))</x:f>
      </x:c>
      <x:c r="L269" s="171" t="str"/>
      <x:c r="M269" s="171" t="str"/>
      <x:c r="N269" s="171" t="str">
        <x:v>Draft — verify in context</x:v>
      </x:c>
      <x:c r="O269" s="167" t="str">
        <x:v>https://www.wgtn.ac.nz/lals/resources/academicwordlist</x:v>
      </x:c>
    </x:row>
    <x:row r="270" ht="26" customHeight="1">
      <x:c r="A270" s="167" t="n">
        <x:v>269</x:v>
      </x:c>
      <x:c r="B270" s="167" t="str">
        <x:v>image</x:v>
      </x:c>
      <x:c r="C270" s="170" t="str">
        <x:v>зображення</x:v>
      </x:c>
      <x:c r="D270" s="167" t="n">
        <x:v>5</x:v>
      </x:c>
      <x:c r="E270" s="167" t="str">
        <x:v>No</x:v>
      </x:c>
      <x:c r="F270" s="167" t="str">
        <x:v>Medium</x:v>
      </x:c>
      <x:c r="G270" s="167" t="str">
        <x:v>General</x:v>
      </x:c>
      <x:c r="H270" s="167" t="str">
        <x:v>Not Started</x:v>
      </x:c>
      <x:c r="I270" s="167" t="n">
        <x:v>0</x:v>
      </x:c>
      <x:c r="J270" s="168"/>
      <x:c r="K270" s="168" t="str">
        <x:f>IF(OR(H270="Mastered",J270=""),"",J270+IF(I270&gt;=5,30,IF(I270=4,14,IF(I270=3,7,IF(I270=2,3,1)))))</x:f>
      </x:c>
      <x:c r="L270" s="171" t="str"/>
      <x:c r="M270" s="171" t="str"/>
      <x:c r="N270" s="171" t="str">
        <x:v>Draft — verify in context</x:v>
      </x:c>
      <x:c r="O270" s="167" t="str">
        <x:v>https://www.wgtn.ac.nz/lals/resources/academicwordlist</x:v>
      </x:c>
    </x:row>
    <x:row r="271" ht="26" customHeight="1">
      <x:c r="A271" s="167" t="n">
        <x:v>270</x:v>
      </x:c>
      <x:c r="B271" s="167" t="str">
        <x:v>liberal</x:v>
      </x:c>
      <x:c r="C271" s="170" t="str">
        <x:v>ліберальний</x:v>
      </x:c>
      <x:c r="D271" s="167" t="n">
        <x:v>5</x:v>
      </x:c>
      <x:c r="E271" s="167" t="str">
        <x:v>Yes</x:v>
      </x:c>
      <x:c r="F271" s="167" t="str">
        <x:v>Medium</x:v>
      </x:c>
      <x:c r="G271" s="167" t="str">
        <x:v>General</x:v>
      </x:c>
      <x:c r="H271" s="167" t="str">
        <x:v>Not Started</x:v>
      </x:c>
      <x:c r="I271" s="167" t="n">
        <x:v>0</x:v>
      </x:c>
      <x:c r="J271" s="168"/>
      <x:c r="K271" s="168" t="str">
        <x:f>IF(OR(H271="Mastered",J271=""),"",J271+IF(I271&gt;=5,30,IF(I271=4,14,IF(I271=3,7,IF(I271=2,3,1)))))</x:f>
      </x:c>
      <x:c r="L271" s="171" t="str"/>
      <x:c r="M271" s="171" t="str"/>
      <x:c r="N271" s="171" t="str">
        <x:v>Draft — verify in context</x:v>
      </x:c>
      <x:c r="O271" s="167" t="str">
        <x:v>https://www.wgtn.ac.nz/lals/resources/academicwordlist</x:v>
      </x:c>
    </x:row>
    <x:row r="272" ht="26" customHeight="1">
      <x:c r="A272" s="167" t="n">
        <x:v>271</x:v>
      </x:c>
      <x:c r="B272" s="167" t="str">
        <x:v>licence</x:v>
      </x:c>
      <x:c r="C272" s="170" t="str">
        <x:v>ліцензія</x:v>
      </x:c>
      <x:c r="D272" s="167" t="n">
        <x:v>5</x:v>
      </x:c>
      <x:c r="E272" s="167" t="str">
        <x:v>No</x:v>
      </x:c>
      <x:c r="F272" s="167" t="str">
        <x:v>Medium</x:v>
      </x:c>
      <x:c r="G272" s="167" t="str">
        <x:v>General</x:v>
      </x:c>
      <x:c r="H272" s="167" t="str">
        <x:v>Not Started</x:v>
      </x:c>
      <x:c r="I272" s="167" t="n">
        <x:v>0</x:v>
      </x:c>
      <x:c r="J272" s="168"/>
      <x:c r="K272" s="168" t="str">
        <x:f>IF(OR(H272="Mastered",J272=""),"",J272+IF(I272&gt;=5,30,IF(I272=4,14,IF(I272=3,7,IF(I272=2,3,1)))))</x:f>
      </x:c>
      <x:c r="L272" s="171" t="str"/>
      <x:c r="M272" s="171" t="str"/>
      <x:c r="N272" s="171" t="str">
        <x:v>Draft — verify in context</x:v>
      </x:c>
      <x:c r="O272" s="167" t="str">
        <x:v>https://www.wgtn.ac.nz/lals/resources/academicwordlist</x:v>
      </x:c>
    </x:row>
    <x:row r="273" ht="26" customHeight="1">
      <x:c r="A273" s="167" t="n">
        <x:v>272</x:v>
      </x:c>
      <x:c r="B273" s="167" t="str">
        <x:v>logic</x:v>
      </x:c>
      <x:c r="C273" s="170" t="str">
        <x:v>логіка</x:v>
      </x:c>
      <x:c r="D273" s="167" t="n">
        <x:v>5</x:v>
      </x:c>
      <x:c r="E273" s="167" t="str">
        <x:v>Yes</x:v>
      </x:c>
      <x:c r="F273" s="167" t="str">
        <x:v>Medium</x:v>
      </x:c>
      <x:c r="G273" s="167" t="str">
        <x:v>General</x:v>
      </x:c>
      <x:c r="H273" s="167" t="str">
        <x:v>Not Started</x:v>
      </x:c>
      <x:c r="I273" s="167" t="n">
        <x:v>0</x:v>
      </x:c>
      <x:c r="J273" s="168"/>
      <x:c r="K273" s="168" t="str">
        <x:f>IF(OR(H273="Mastered",J273=""),"",J273+IF(I273&gt;=5,30,IF(I273=4,14,IF(I273=3,7,IF(I273=2,3,1)))))</x:f>
      </x:c>
      <x:c r="L273" s="171" t="str"/>
      <x:c r="M273" s="171" t="str"/>
      <x:c r="N273" s="171" t="str">
        <x:v>Draft — verify in context</x:v>
      </x:c>
      <x:c r="O273" s="167" t="str">
        <x:v>https://www.wgtn.ac.nz/lals/resources/academicwordlist</x:v>
      </x:c>
    </x:row>
    <x:row r="274" ht="26" customHeight="1">
      <x:c r="A274" s="167" t="n">
        <x:v>273</x:v>
      </x:c>
      <x:c r="B274" s="167" t="str">
        <x:v>marginal</x:v>
      </x:c>
      <x:c r="C274" s="170" t="str">
        <x:v>маргінальний</x:v>
      </x:c>
      <x:c r="D274" s="167" t="n">
        <x:v>5</x:v>
      </x:c>
      <x:c r="E274" s="167" t="str">
        <x:v>Yes</x:v>
      </x:c>
      <x:c r="F274" s="167" t="str">
        <x:v>Medium</x:v>
      </x:c>
      <x:c r="G274" s="167" t="str">
        <x:v>General</x:v>
      </x:c>
      <x:c r="H274" s="167" t="str">
        <x:v>Not Started</x:v>
      </x:c>
      <x:c r="I274" s="167" t="n">
        <x:v>0</x:v>
      </x:c>
      <x:c r="J274" s="168"/>
      <x:c r="K274" s="168" t="str">
        <x:f>IF(OR(H274="Mastered",J274=""),"",J274+IF(I274&gt;=5,30,IF(I274=4,14,IF(I274=3,7,IF(I274=2,3,1)))))</x:f>
      </x:c>
      <x:c r="L274" s="171" t="str"/>
      <x:c r="M274" s="171" t="str"/>
      <x:c r="N274" s="171" t="str">
        <x:v>Draft — verify in context</x:v>
      </x:c>
      <x:c r="O274" s="167" t="str">
        <x:v>https://www.wgtn.ac.nz/lals/resources/academicwordlist</x:v>
      </x:c>
    </x:row>
    <x:row r="275" ht="26" customHeight="1">
      <x:c r="A275" s="167" t="n">
        <x:v>274</x:v>
      </x:c>
      <x:c r="B275" s="167" t="str">
        <x:v>medical</x:v>
      </x:c>
      <x:c r="C275" s="170" t="str">
        <x:v>медичний</x:v>
      </x:c>
      <x:c r="D275" s="167" t="n">
        <x:v>5</x:v>
      </x:c>
      <x:c r="E275" s="167" t="str">
        <x:v>No</x:v>
      </x:c>
      <x:c r="F275" s="167" t="str">
        <x:v>Medium</x:v>
      </x:c>
      <x:c r="G275" s="167" t="str">
        <x:v>General</x:v>
      </x:c>
      <x:c r="H275" s="167" t="str">
        <x:v>Not Started</x:v>
      </x:c>
      <x:c r="I275" s="167" t="n">
        <x:v>0</x:v>
      </x:c>
      <x:c r="J275" s="168"/>
      <x:c r="K275" s="168" t="str">
        <x:f>IF(OR(H275="Mastered",J275=""),"",J275+IF(I275&gt;=5,30,IF(I275=4,14,IF(I275=3,7,IF(I275=2,3,1)))))</x:f>
      </x:c>
      <x:c r="L275" s="171" t="str"/>
      <x:c r="M275" s="171" t="str"/>
      <x:c r="N275" s="171" t="str">
        <x:v>Draft — verify in context</x:v>
      </x:c>
      <x:c r="O275" s="167" t="str">
        <x:v>https://www.wgtn.ac.nz/lals/resources/academicwordlist</x:v>
      </x:c>
    </x:row>
    <x:row r="276" ht="26" customHeight="1">
      <x:c r="A276" s="167" t="n">
        <x:v>275</x:v>
      </x:c>
      <x:c r="B276" s="167" t="str">
        <x:v>mental</x:v>
      </x:c>
      <x:c r="C276" s="170" t="str">
        <x:v>психічний</x:v>
      </x:c>
      <x:c r="D276" s="167" t="n">
        <x:v>5</x:v>
      </x:c>
      <x:c r="E276" s="167" t="str">
        <x:v>No</x:v>
      </x:c>
      <x:c r="F276" s="167" t="str">
        <x:v>Medium</x:v>
      </x:c>
      <x:c r="G276" s="167" t="str">
        <x:v>General</x:v>
      </x:c>
      <x:c r="H276" s="167" t="str">
        <x:v>Not Started</x:v>
      </x:c>
      <x:c r="I276" s="167" t="n">
        <x:v>0</x:v>
      </x:c>
      <x:c r="J276" s="168"/>
      <x:c r="K276" s="168" t="str">
        <x:f>IF(OR(H276="Mastered",J276=""),"",J276+IF(I276&gt;=5,30,IF(I276=4,14,IF(I276=3,7,IF(I276=2,3,1)))))</x:f>
      </x:c>
      <x:c r="L276" s="171" t="str"/>
      <x:c r="M276" s="171" t="str"/>
      <x:c r="N276" s="171" t="str">
        <x:v>Draft — verify in context</x:v>
      </x:c>
      <x:c r="O276" s="167" t="str">
        <x:v>https://www.wgtn.ac.nz/lals/resources/academicwordlist</x:v>
      </x:c>
    </x:row>
    <x:row r="277" ht="26" customHeight="1">
      <x:c r="A277" s="167" t="n">
        <x:v>276</x:v>
      </x:c>
      <x:c r="B277" s="167" t="str">
        <x:v>modified</x:v>
      </x:c>
      <x:c r="C277" s="170" t="str">
        <x:v>змінений</x:v>
      </x:c>
      <x:c r="D277" s="167" t="n">
        <x:v>5</x:v>
      </x:c>
      <x:c r="E277" s="167" t="str">
        <x:v>No</x:v>
      </x:c>
      <x:c r="F277" s="167" t="str">
        <x:v>Medium</x:v>
      </x:c>
      <x:c r="G277" s="167" t="str">
        <x:v>General</x:v>
      </x:c>
      <x:c r="H277" s="167" t="str">
        <x:v>Not Started</x:v>
      </x:c>
      <x:c r="I277" s="167" t="n">
        <x:v>0</x:v>
      </x:c>
      <x:c r="J277" s="168"/>
      <x:c r="K277" s="168" t="str">
        <x:f>IF(OR(H277="Mastered",J277=""),"",J277+IF(I277&gt;=5,30,IF(I277=4,14,IF(I277=3,7,IF(I277=2,3,1)))))</x:f>
      </x:c>
      <x:c r="L277" s="171" t="str"/>
      <x:c r="M277" s="171" t="str"/>
      <x:c r="N277" s="171" t="str">
        <x:v>Draft — verify in context</x:v>
      </x:c>
      <x:c r="O277" s="167" t="str">
        <x:v>https://www.wgtn.ac.nz/lals/resources/academicwordlist</x:v>
      </x:c>
    </x:row>
    <x:row r="278" ht="26" customHeight="1">
      <x:c r="A278" s="167" t="n">
        <x:v>277</x:v>
      </x:c>
      <x:c r="B278" s="167" t="str">
        <x:v>monitoring</x:v>
      </x:c>
      <x:c r="C278" s="170" t="str">
        <x:v>моніторинг</x:v>
      </x:c>
      <x:c r="D278" s="167" t="n">
        <x:v>5</x:v>
      </x:c>
      <x:c r="E278" s="167" t="str">
        <x:v>No</x:v>
      </x:c>
      <x:c r="F278" s="167" t="str">
        <x:v>Medium</x:v>
      </x:c>
      <x:c r="G278" s="167" t="str">
        <x:v>General</x:v>
      </x:c>
      <x:c r="H278" s="167" t="str">
        <x:v>Not Started</x:v>
      </x:c>
      <x:c r="I278" s="167" t="n">
        <x:v>0</x:v>
      </x:c>
      <x:c r="J278" s="168"/>
      <x:c r="K278" s="168" t="str">
        <x:f>IF(OR(H278="Mastered",J278=""),"",J278+IF(I278&gt;=5,30,IF(I278=4,14,IF(I278=3,7,IF(I278=2,3,1)))))</x:f>
      </x:c>
      <x:c r="L278" s="171" t="str"/>
      <x:c r="M278" s="171" t="str"/>
      <x:c r="N278" s="171" t="str">
        <x:v>Draft — verify in context</x:v>
      </x:c>
      <x:c r="O278" s="167" t="str">
        <x:v>https://www.wgtn.ac.nz/lals/resources/academicwordlist</x:v>
      </x:c>
    </x:row>
    <x:row r="279" ht="26" customHeight="1">
      <x:c r="A279" s="167" t="n">
        <x:v>278</x:v>
      </x:c>
      <x:c r="B279" s="167" t="str">
        <x:v>network</x:v>
      </x:c>
      <x:c r="C279" s="170" t="str">
        <x:v>мережі</x:v>
      </x:c>
      <x:c r="D279" s="167" t="n">
        <x:v>5</x:v>
      </x:c>
      <x:c r="E279" s="167" t="str">
        <x:v>No</x:v>
      </x:c>
      <x:c r="F279" s="167" t="str">
        <x:v>Medium</x:v>
      </x:c>
      <x:c r="G279" s="167" t="str">
        <x:v>General</x:v>
      </x:c>
      <x:c r="H279" s="167" t="str">
        <x:v>Not Started</x:v>
      </x:c>
      <x:c r="I279" s="167" t="n">
        <x:v>0</x:v>
      </x:c>
      <x:c r="J279" s="168"/>
      <x:c r="K279" s="168" t="str">
        <x:f>IF(OR(H279="Mastered",J279=""),"",J279+IF(I279&gt;=5,30,IF(I279=4,14,IF(I279=3,7,IF(I279=2,3,1)))))</x:f>
      </x:c>
      <x:c r="L279" s="171" t="str"/>
      <x:c r="M279" s="171" t="str"/>
      <x:c r="N279" s="171" t="str">
        <x:v>Draft — verify in context</x:v>
      </x:c>
      <x:c r="O279" s="167" t="str">
        <x:v>https://www.wgtn.ac.nz/lals/resources/academicwordlist</x:v>
      </x:c>
    </x:row>
    <x:row r="280" ht="26" customHeight="1">
      <x:c r="A280" s="167" t="n">
        <x:v>279</x:v>
      </x:c>
      <x:c r="B280" s="167" t="str">
        <x:v>notion</x:v>
      </x:c>
      <x:c r="C280" s="170" t="str">
        <x:v>поняття</x:v>
      </x:c>
      <x:c r="D280" s="167" t="n">
        <x:v>5</x:v>
      </x:c>
      <x:c r="E280" s="167" t="str">
        <x:v>No</x:v>
      </x:c>
      <x:c r="F280" s="167" t="str">
        <x:v>Medium</x:v>
      </x:c>
      <x:c r="G280" s="167" t="str">
        <x:v>General</x:v>
      </x:c>
      <x:c r="H280" s="167" t="str">
        <x:v>Not Started</x:v>
      </x:c>
      <x:c r="I280" s="167" t="n">
        <x:v>0</x:v>
      </x:c>
      <x:c r="J280" s="168"/>
      <x:c r="K280" s="168" t="str">
        <x:f>IF(OR(H280="Mastered",J280=""),"",J280+IF(I280&gt;=5,30,IF(I280=4,14,IF(I280=3,7,IF(I280=2,3,1)))))</x:f>
      </x:c>
      <x:c r="L280" s="171" t="str"/>
      <x:c r="M280" s="171" t="str"/>
      <x:c r="N280" s="171" t="str">
        <x:v>Draft — verify in context</x:v>
      </x:c>
      <x:c r="O280" s="167" t="str">
        <x:v>https://www.wgtn.ac.nz/lals/resources/academicwordlist</x:v>
      </x:c>
    </x:row>
    <x:row r="281" ht="26" customHeight="1">
      <x:c r="A281" s="167" t="n">
        <x:v>280</x:v>
      </x:c>
      <x:c r="B281" s="167" t="str">
        <x:v>objective</x:v>
      </x:c>
      <x:c r="C281" s="170" t="str">
        <x:v>об'єктивний</x:v>
      </x:c>
      <x:c r="D281" s="167" t="n">
        <x:v>5</x:v>
      </x:c>
      <x:c r="E281" s="167" t="str">
        <x:v>No</x:v>
      </x:c>
      <x:c r="F281" s="167" t="str">
        <x:v>Medium</x:v>
      </x:c>
      <x:c r="G281" s="167" t="str">
        <x:v>General</x:v>
      </x:c>
      <x:c r="H281" s="167" t="str">
        <x:v>Not Started</x:v>
      </x:c>
      <x:c r="I281" s="167" t="n">
        <x:v>0</x:v>
      </x:c>
      <x:c r="J281" s="168"/>
      <x:c r="K281" s="168" t="str">
        <x:f>IF(OR(H281="Mastered",J281=""),"",J281+IF(I281&gt;=5,30,IF(I281=4,14,IF(I281=3,7,IF(I281=2,3,1)))))</x:f>
      </x:c>
      <x:c r="L281" s="171" t="str"/>
      <x:c r="M281" s="171" t="str"/>
      <x:c r="N281" s="171" t="str">
        <x:v>Draft — verify in context</x:v>
      </x:c>
      <x:c r="O281" s="167" t="str">
        <x:v>https://www.wgtn.ac.nz/lals/resources/academicwordlist</x:v>
      </x:c>
    </x:row>
    <x:row r="282" ht="26" customHeight="1">
      <x:c r="A282" s="167" t="n">
        <x:v>281</x:v>
      </x:c>
      <x:c r="B282" s="167" t="str">
        <x:v>orientation</x:v>
      </x:c>
      <x:c r="C282" s="170" t="str">
        <x:v>орієнтація</x:v>
      </x:c>
      <x:c r="D282" s="167" t="n">
        <x:v>5</x:v>
      </x:c>
      <x:c r="E282" s="167" t="str">
        <x:v>Yes</x:v>
      </x:c>
      <x:c r="F282" s="167" t="str">
        <x:v>Medium</x:v>
      </x:c>
      <x:c r="G282" s="167" t="str">
        <x:v>General</x:v>
      </x:c>
      <x:c r="H282" s="167" t="str">
        <x:v>Not Started</x:v>
      </x:c>
      <x:c r="I282" s="167" t="n">
        <x:v>0</x:v>
      </x:c>
      <x:c r="J282" s="168"/>
      <x:c r="K282" s="168" t="str">
        <x:f>IF(OR(H282="Mastered",J282=""),"",J282+IF(I282&gt;=5,30,IF(I282=4,14,IF(I282=3,7,IF(I282=2,3,1)))))</x:f>
      </x:c>
      <x:c r="L282" s="171" t="str"/>
      <x:c r="M282" s="171" t="str"/>
      <x:c r="N282" s="171" t="str">
        <x:v>Draft — verify in context</x:v>
      </x:c>
      <x:c r="O282" s="167" t="str">
        <x:v>https://www.wgtn.ac.nz/lals/resources/academicwordlist</x:v>
      </x:c>
    </x:row>
    <x:row r="283" ht="26" customHeight="1">
      <x:c r="A283" s="167" t="n">
        <x:v>282</x:v>
      </x:c>
      <x:c r="B283" s="167" t="str">
        <x:v>perspective</x:v>
      </x:c>
      <x:c r="C283" s="170" t="str">
        <x:v>перспектива</x:v>
      </x:c>
      <x:c r="D283" s="167" t="n">
        <x:v>5</x:v>
      </x:c>
      <x:c r="E283" s="167" t="str">
        <x:v>No</x:v>
      </x:c>
      <x:c r="F283" s="167" t="str">
        <x:v>Medium</x:v>
      </x:c>
      <x:c r="G283" s="167" t="str">
        <x:v>General</x:v>
      </x:c>
      <x:c r="H283" s="167" t="str">
        <x:v>Not Started</x:v>
      </x:c>
      <x:c r="I283" s="167" t="n">
        <x:v>0</x:v>
      </x:c>
      <x:c r="J283" s="168"/>
      <x:c r="K283" s="168" t="str">
        <x:f>IF(OR(H283="Mastered",J283=""),"",J283+IF(I283&gt;=5,30,IF(I283=4,14,IF(I283=3,7,IF(I283=2,3,1)))))</x:f>
      </x:c>
      <x:c r="L283" s="171" t="str"/>
      <x:c r="M283" s="171" t="str"/>
      <x:c r="N283" s="171" t="str">
        <x:v>Draft — verify in context</x:v>
      </x:c>
      <x:c r="O283" s="167" t="str">
        <x:v>https://www.wgtn.ac.nz/lals/resources/academicwordlist</x:v>
      </x:c>
    </x:row>
    <x:row r="284" ht="26" customHeight="1">
      <x:c r="A284" s="167" t="n">
        <x:v>283</x:v>
      </x:c>
      <x:c r="B284" s="167" t="str">
        <x:v>precise</x:v>
      </x:c>
      <x:c r="C284" s="170" t="str">
        <x:v>точні</x:v>
      </x:c>
      <x:c r="D284" s="167" t="n">
        <x:v>5</x:v>
      </x:c>
      <x:c r="E284" s="167" t="str">
        <x:v>No</x:v>
      </x:c>
      <x:c r="F284" s="167" t="str">
        <x:v>Medium</x:v>
      </x:c>
      <x:c r="G284" s="167" t="str">
        <x:v>General</x:v>
      </x:c>
      <x:c r="H284" s="167" t="str">
        <x:v>Not Started</x:v>
      </x:c>
      <x:c r="I284" s="167" t="n">
        <x:v>0</x:v>
      </x:c>
      <x:c r="J284" s="168"/>
      <x:c r="K284" s="168" t="str">
        <x:f>IF(OR(H284="Mastered",J284=""),"",J284+IF(I284&gt;=5,30,IF(I284=4,14,IF(I284=3,7,IF(I284=2,3,1)))))</x:f>
      </x:c>
      <x:c r="L284" s="171" t="str"/>
      <x:c r="M284" s="171" t="str"/>
      <x:c r="N284" s="171" t="str">
        <x:v>Draft — verify in context</x:v>
      </x:c>
      <x:c r="O284" s="167" t="str">
        <x:v>https://www.wgtn.ac.nz/lals/resources/academicwordlist</x:v>
      </x:c>
    </x:row>
    <x:row r="285" ht="26" customHeight="1">
      <x:c r="A285" s="167" t="n">
        <x:v>284</x:v>
      </x:c>
      <x:c r="B285" s="167" t="str">
        <x:v>prime</x:v>
      </x:c>
      <x:c r="C285" s="170" t="str">
        <x:v>простий</x:v>
      </x:c>
      <x:c r="D285" s="167" t="n">
        <x:v>5</x:v>
      </x:c>
      <x:c r="E285" s="167" t="str">
        <x:v>No</x:v>
      </x:c>
      <x:c r="F285" s="167" t="str">
        <x:v>Medium</x:v>
      </x:c>
      <x:c r="G285" s="167" t="str">
        <x:v>General</x:v>
      </x:c>
      <x:c r="H285" s="167" t="str">
        <x:v>Not Started</x:v>
      </x:c>
      <x:c r="I285" s="167" t="n">
        <x:v>0</x:v>
      </x:c>
      <x:c r="J285" s="168"/>
      <x:c r="K285" s="168" t="str">
        <x:f>IF(OR(H285="Mastered",J285=""),"",J285+IF(I285&gt;=5,30,IF(I285=4,14,IF(I285=3,7,IF(I285=2,3,1)))))</x:f>
      </x:c>
      <x:c r="L285" s="171" t="str"/>
      <x:c r="M285" s="171" t="str"/>
      <x:c r="N285" s="171" t="str">
        <x:v>Draft — verify in context</x:v>
      </x:c>
      <x:c r="O285" s="167" t="str">
        <x:v>https://www.wgtn.ac.nz/lals/resources/academicwordlist</x:v>
      </x:c>
    </x:row>
    <x:row r="286" ht="26" customHeight="1">
      <x:c r="A286" s="167" t="n">
        <x:v>285</x:v>
      </x:c>
      <x:c r="B286" s="167" t="str">
        <x:v>psychology</x:v>
      </x:c>
      <x:c r="C286" s="170" t="str">
        <x:v>психологія</x:v>
      </x:c>
      <x:c r="D286" s="167" t="n">
        <x:v>5</x:v>
      </x:c>
      <x:c r="E286" s="167" t="str">
        <x:v>No</x:v>
      </x:c>
      <x:c r="F286" s="167" t="str">
        <x:v>Medium</x:v>
      </x:c>
      <x:c r="G286" s="167" t="str">
        <x:v>General</x:v>
      </x:c>
      <x:c r="H286" s="167" t="str">
        <x:v>Not Started</x:v>
      </x:c>
      <x:c r="I286" s="167" t="n">
        <x:v>0</x:v>
      </x:c>
      <x:c r="J286" s="168"/>
      <x:c r="K286" s="168" t="str">
        <x:f>IF(OR(H286="Mastered",J286=""),"",J286+IF(I286&gt;=5,30,IF(I286=4,14,IF(I286=3,7,IF(I286=2,3,1)))))</x:f>
      </x:c>
      <x:c r="L286" s="171" t="str"/>
      <x:c r="M286" s="171" t="str"/>
      <x:c r="N286" s="171" t="str">
        <x:v>Draft — verify in context</x:v>
      </x:c>
      <x:c r="O286" s="167" t="str">
        <x:v>https://www.wgtn.ac.nz/lals/resources/academicwordlist</x:v>
      </x:c>
    </x:row>
    <x:row r="287" ht="26" customHeight="1">
      <x:c r="A287" s="167" t="n">
        <x:v>286</x:v>
      </x:c>
      <x:c r="B287" s="167" t="str">
        <x:v>pursue</x:v>
      </x:c>
      <x:c r="C287" s="170" t="str">
        <x:v>переслідувати</x:v>
      </x:c>
      <x:c r="D287" s="167" t="n">
        <x:v>5</x:v>
      </x:c>
      <x:c r="E287" s="167" t="str">
        <x:v>No</x:v>
      </x:c>
      <x:c r="F287" s="167" t="str">
        <x:v>Medium</x:v>
      </x:c>
      <x:c r="G287" s="167" t="str">
        <x:v>General</x:v>
      </x:c>
      <x:c r="H287" s="167" t="str">
        <x:v>Not Started</x:v>
      </x:c>
      <x:c r="I287" s="167" t="n">
        <x:v>0</x:v>
      </x:c>
      <x:c r="J287" s="168"/>
      <x:c r="K287" s="168" t="str">
        <x:f>IF(OR(H287="Mastered",J287=""),"",J287+IF(I287&gt;=5,30,IF(I287=4,14,IF(I287=3,7,IF(I287=2,3,1)))))</x:f>
      </x:c>
      <x:c r="L287" s="171" t="str"/>
      <x:c r="M287" s="171" t="str"/>
      <x:c r="N287" s="171" t="str">
        <x:v>Draft — verify in context</x:v>
      </x:c>
      <x:c r="O287" s="167" t="str">
        <x:v>https://www.wgtn.ac.nz/lals/resources/academicwordlist</x:v>
      </x:c>
    </x:row>
    <x:row r="288" ht="26" customHeight="1">
      <x:c r="A288" s="167" t="n">
        <x:v>287</x:v>
      </x:c>
      <x:c r="B288" s="167" t="str">
        <x:v>ratio</x:v>
      </x:c>
      <x:c r="C288" s="170" t="str">
        <x:v>співвідношення</x:v>
      </x:c>
      <x:c r="D288" s="167" t="n">
        <x:v>5</x:v>
      </x:c>
      <x:c r="E288" s="167" t="str">
        <x:v>Yes</x:v>
      </x:c>
      <x:c r="F288" s="167" t="str">
        <x:v>Medium</x:v>
      </x:c>
      <x:c r="G288" s="167" t="str">
        <x:v>General</x:v>
      </x:c>
      <x:c r="H288" s="167" t="str">
        <x:v>Not Started</x:v>
      </x:c>
      <x:c r="I288" s="167" t="n">
        <x:v>0</x:v>
      </x:c>
      <x:c r="J288" s="168"/>
      <x:c r="K288" s="168" t="str">
        <x:f>IF(OR(H288="Mastered",J288=""),"",J288+IF(I288&gt;=5,30,IF(I288=4,14,IF(I288=3,7,IF(I288=2,3,1)))))</x:f>
      </x:c>
      <x:c r="L288" s="171" t="str"/>
      <x:c r="M288" s="171" t="str"/>
      <x:c r="N288" s="171" t="str">
        <x:v>Draft — verify in context</x:v>
      </x:c>
      <x:c r="O288" s="167" t="str">
        <x:v>https://www.wgtn.ac.nz/lals/resources/academicwordlist</x:v>
      </x:c>
    </x:row>
    <x:row r="289" ht="26" customHeight="1">
      <x:c r="A289" s="167" t="n">
        <x:v>288</x:v>
      </x:c>
      <x:c r="B289" s="167" t="str">
        <x:v>rejected</x:v>
      </x:c>
      <x:c r="C289" s="170" t="str">
        <x:v>відхилено</x:v>
      </x:c>
      <x:c r="D289" s="167" t="n">
        <x:v>5</x:v>
      </x:c>
      <x:c r="E289" s="167" t="str">
        <x:v>No</x:v>
      </x:c>
      <x:c r="F289" s="167" t="str">
        <x:v>Medium</x:v>
      </x:c>
      <x:c r="G289" s="167" t="str">
        <x:v>General</x:v>
      </x:c>
      <x:c r="H289" s="167" t="str">
        <x:v>Not Started</x:v>
      </x:c>
      <x:c r="I289" s="167" t="n">
        <x:v>0</x:v>
      </x:c>
      <x:c r="J289" s="168"/>
      <x:c r="K289" s="168" t="str">
        <x:f>IF(OR(H289="Mastered",J289=""),"",J289+IF(I289&gt;=5,30,IF(I289=4,14,IF(I289=3,7,IF(I289=2,3,1)))))</x:f>
      </x:c>
      <x:c r="L289" s="171" t="str"/>
      <x:c r="M289" s="171" t="str"/>
      <x:c r="N289" s="171" t="str">
        <x:v>Draft — verify in context</x:v>
      </x:c>
      <x:c r="O289" s="167" t="str">
        <x:v>https://www.wgtn.ac.nz/lals/resources/academicwordlist</x:v>
      </x:c>
    </x:row>
    <x:row r="290" ht="26" customHeight="1">
      <x:c r="A290" s="167" t="n">
        <x:v>289</x:v>
      </x:c>
      <x:c r="B290" s="167" t="str">
        <x:v>revenue</x:v>
      </x:c>
      <x:c r="C290" s="170" t="str">
        <x:v>дохід</x:v>
      </x:c>
      <x:c r="D290" s="167" t="n">
        <x:v>5</x:v>
      </x:c>
      <x:c r="E290" s="167" t="str">
        <x:v>No</x:v>
      </x:c>
      <x:c r="F290" s="167" t="str">
        <x:v>Medium</x:v>
      </x:c>
      <x:c r="G290" s="167" t="str">
        <x:v>Economy &amp; work</x:v>
      </x:c>
      <x:c r="H290" s="167" t="str">
        <x:v>Not Started</x:v>
      </x:c>
      <x:c r="I290" s="167" t="n">
        <x:v>0</x:v>
      </x:c>
      <x:c r="J290" s="168"/>
      <x:c r="K290" s="168" t="str">
        <x:f>IF(OR(H290="Mastered",J290=""),"",J290+IF(I290&gt;=5,30,IF(I290=4,14,IF(I290=3,7,IF(I290=2,3,1)))))</x:f>
      </x:c>
      <x:c r="L290" s="171" t="str"/>
      <x:c r="M290" s="171" t="str"/>
      <x:c r="N290" s="171" t="str">
        <x:v>Draft — verify in context</x:v>
      </x:c>
      <x:c r="O290" s="167" t="str">
        <x:v>https://www.wgtn.ac.nz/lals/resources/academicwordlist</x:v>
      </x:c>
    </x:row>
    <x:row r="291" ht="26" customHeight="1">
      <x:c r="A291" s="167" t="n">
        <x:v>290</x:v>
      </x:c>
      <x:c r="B291" s="167" t="str">
        <x:v>stability</x:v>
      </x:c>
      <x:c r="C291" s="170" t="str">
        <x:v>стабільність</x:v>
      </x:c>
      <x:c r="D291" s="167" t="n">
        <x:v>5</x:v>
      </x:c>
      <x:c r="E291" s="167" t="str">
        <x:v>Yes</x:v>
      </x:c>
      <x:c r="F291" s="167" t="str">
        <x:v>Medium</x:v>
      </x:c>
      <x:c r="G291" s="167" t="str">
        <x:v>General</x:v>
      </x:c>
      <x:c r="H291" s="167" t="str">
        <x:v>Not Started</x:v>
      </x:c>
      <x:c r="I291" s="167" t="n">
        <x:v>0</x:v>
      </x:c>
      <x:c r="J291" s="168"/>
      <x:c r="K291" s="168" t="str">
        <x:f>IF(OR(H291="Mastered",J291=""),"",J291+IF(I291&gt;=5,30,IF(I291=4,14,IF(I291=3,7,IF(I291=2,3,1)))))</x:f>
      </x:c>
      <x:c r="L291" s="171" t="str"/>
      <x:c r="M291" s="171" t="str"/>
      <x:c r="N291" s="171" t="str">
        <x:v>Draft — verify in context</x:v>
      </x:c>
      <x:c r="O291" s="167" t="str">
        <x:v>https://www.wgtn.ac.nz/lals/resources/academicwordlist</x:v>
      </x:c>
    </x:row>
    <x:row r="292" ht="26" customHeight="1">
      <x:c r="A292" s="167" t="n">
        <x:v>291</x:v>
      </x:c>
      <x:c r="B292" s="167" t="str">
        <x:v>styles</x:v>
      </x:c>
      <x:c r="C292" s="170" t="str">
        <x:v>стилі</x:v>
      </x:c>
      <x:c r="D292" s="167" t="n">
        <x:v>5</x:v>
      </x:c>
      <x:c r="E292" s="167" t="str">
        <x:v>No</x:v>
      </x:c>
      <x:c r="F292" s="167" t="str">
        <x:v>Medium</x:v>
      </x:c>
      <x:c r="G292" s="167" t="str">
        <x:v>General</x:v>
      </x:c>
      <x:c r="H292" s="167" t="str">
        <x:v>Not Started</x:v>
      </x:c>
      <x:c r="I292" s="167" t="n">
        <x:v>0</x:v>
      </x:c>
      <x:c r="J292" s="168"/>
      <x:c r="K292" s="168" t="str">
        <x:f>IF(OR(H292="Mastered",J292=""),"",J292+IF(I292&gt;=5,30,IF(I292=4,14,IF(I292=3,7,IF(I292=2,3,1)))))</x:f>
      </x:c>
      <x:c r="L292" s="171" t="str"/>
      <x:c r="M292" s="171" t="str"/>
      <x:c r="N292" s="171" t="str">
        <x:v>Draft — verify in context</x:v>
      </x:c>
      <x:c r="O292" s="167" t="str">
        <x:v>https://www.wgtn.ac.nz/lals/resources/academicwordlist</x:v>
      </x:c>
    </x:row>
    <x:row r="293" ht="26" customHeight="1">
      <x:c r="A293" s="167" t="n">
        <x:v>292</x:v>
      </x:c>
      <x:c r="B293" s="167" t="str">
        <x:v>substitution</x:v>
      </x:c>
      <x:c r="C293" s="170" t="str">
        <x:v>заміна</x:v>
      </x:c>
      <x:c r="D293" s="167" t="n">
        <x:v>5</x:v>
      </x:c>
      <x:c r="E293" s="167" t="str">
        <x:v>Yes</x:v>
      </x:c>
      <x:c r="F293" s="167" t="str">
        <x:v>Medium</x:v>
      </x:c>
      <x:c r="G293" s="167" t="str">
        <x:v>General</x:v>
      </x:c>
      <x:c r="H293" s="167" t="str">
        <x:v>Not Started</x:v>
      </x:c>
      <x:c r="I293" s="167" t="n">
        <x:v>0</x:v>
      </x:c>
      <x:c r="J293" s="168"/>
      <x:c r="K293" s="168" t="str">
        <x:f>IF(OR(H293="Mastered",J293=""),"",J293+IF(I293&gt;=5,30,IF(I293=4,14,IF(I293=3,7,IF(I293=2,3,1)))))</x:f>
      </x:c>
      <x:c r="L293" s="171" t="str"/>
      <x:c r="M293" s="171" t="str"/>
      <x:c r="N293" s="171" t="str">
        <x:v>Draft — verify in context</x:v>
      </x:c>
      <x:c r="O293" s="167" t="str">
        <x:v>https://www.wgtn.ac.nz/lals/resources/academicwordlist</x:v>
      </x:c>
    </x:row>
    <x:row r="294" ht="26" customHeight="1">
      <x:c r="A294" s="167" t="n">
        <x:v>293</x:v>
      </x:c>
      <x:c r="B294" s="167" t="str">
        <x:v>sustainable</x:v>
      </x:c>
      <x:c r="C294" s="170" t="str">
        <x:v>стійкий</x:v>
      </x:c>
      <x:c r="D294" s="167" t="n">
        <x:v>5</x:v>
      </x:c>
      <x:c r="E294" s="167" t="str">
        <x:v>No</x:v>
      </x:c>
      <x:c r="F294" s="167" t="str">
        <x:v>Medium</x:v>
      </x:c>
      <x:c r="G294" s="167" t="str">
        <x:v>Environment</x:v>
      </x:c>
      <x:c r="H294" s="167" t="str">
        <x:v>Not Started</x:v>
      </x:c>
      <x:c r="I294" s="167" t="n">
        <x:v>0</x:v>
      </x:c>
      <x:c r="J294" s="168"/>
      <x:c r="K294" s="168" t="str">
        <x:f>IF(OR(H294="Mastered",J294=""),"",J294+IF(I294&gt;=5,30,IF(I294=4,14,IF(I294=3,7,IF(I294=2,3,1)))))</x:f>
      </x:c>
      <x:c r="L294" s="171" t="str"/>
      <x:c r="M294" s="171" t="str"/>
      <x:c r="N294" s="171" t="str">
        <x:v>Draft — verify in context</x:v>
      </x:c>
      <x:c r="O294" s="167" t="str">
        <x:v>https://www.wgtn.ac.nz/lals/resources/academicwordlist</x:v>
      </x:c>
    </x:row>
    <x:row r="295" ht="26" customHeight="1">
      <x:c r="A295" s="167" t="n">
        <x:v>294</x:v>
      </x:c>
      <x:c r="B295" s="167" t="str">
        <x:v>symbolic</x:v>
      </x:c>
      <x:c r="C295" s="170" t="str">
        <x:v>символічний</x:v>
      </x:c>
      <x:c r="D295" s="167" t="n">
        <x:v>5</x:v>
      </x:c>
      <x:c r="E295" s="167" t="str">
        <x:v>Yes</x:v>
      </x:c>
      <x:c r="F295" s="167" t="str">
        <x:v>Medium</x:v>
      </x:c>
      <x:c r="G295" s="167" t="str">
        <x:v>General</x:v>
      </x:c>
      <x:c r="H295" s="167" t="str">
        <x:v>Not Started</x:v>
      </x:c>
      <x:c r="I295" s="167" t="n">
        <x:v>0</x:v>
      </x:c>
      <x:c r="J295" s="168"/>
      <x:c r="K295" s="168" t="str">
        <x:f>IF(OR(H295="Mastered",J295=""),"",J295+IF(I295&gt;=5,30,IF(I295=4,14,IF(I295=3,7,IF(I295=2,3,1)))))</x:f>
      </x:c>
      <x:c r="L295" s="171" t="str"/>
      <x:c r="M295" s="171" t="str"/>
      <x:c r="N295" s="171" t="str">
        <x:v>Draft — verify in context</x:v>
      </x:c>
      <x:c r="O295" s="167" t="str">
        <x:v>https://www.wgtn.ac.nz/lals/resources/academicwordlist</x:v>
      </x:c>
    </x:row>
    <x:row r="296" ht="26" customHeight="1">
      <x:c r="A296" s="167" t="n">
        <x:v>295</x:v>
      </x:c>
      <x:c r="B296" s="167" t="str">
        <x:v>target</x:v>
      </x:c>
      <x:c r="C296" s="170" t="str">
        <x:v>мета</x:v>
      </x:c>
      <x:c r="D296" s="167" t="n">
        <x:v>5</x:v>
      </x:c>
      <x:c r="E296" s="167" t="str">
        <x:v>No</x:v>
      </x:c>
      <x:c r="F296" s="167" t="str">
        <x:v>Medium</x:v>
      </x:c>
      <x:c r="G296" s="167" t="str">
        <x:v>General</x:v>
      </x:c>
      <x:c r="H296" s="167" t="str">
        <x:v>Not Started</x:v>
      </x:c>
      <x:c r="I296" s="167" t="n">
        <x:v>0</x:v>
      </x:c>
      <x:c r="J296" s="168"/>
      <x:c r="K296" s="168" t="str">
        <x:f>IF(OR(H296="Mastered",J296=""),"",J296+IF(I296&gt;=5,30,IF(I296=4,14,IF(I296=3,7,IF(I296=2,3,1)))))</x:f>
      </x:c>
      <x:c r="L296" s="171" t="str"/>
      <x:c r="M296" s="171" t="str"/>
      <x:c r="N296" s="171" t="str">
        <x:v>Draft — verify in context</x:v>
      </x:c>
      <x:c r="O296" s="167" t="str">
        <x:v>https://www.wgtn.ac.nz/lals/resources/academicwordlist</x:v>
      </x:c>
    </x:row>
    <x:row r="297" ht="26" customHeight="1">
      <x:c r="A297" s="167" t="n">
        <x:v>296</x:v>
      </x:c>
      <x:c r="B297" s="167" t="str">
        <x:v>transition</x:v>
      </x:c>
      <x:c r="C297" s="170" t="str">
        <x:v>перехід</x:v>
      </x:c>
      <x:c r="D297" s="167" t="n">
        <x:v>5</x:v>
      </x:c>
      <x:c r="E297" s="167" t="str">
        <x:v>No</x:v>
      </x:c>
      <x:c r="F297" s="167" t="str">
        <x:v>Medium</x:v>
      </x:c>
      <x:c r="G297" s="167" t="str">
        <x:v>General</x:v>
      </x:c>
      <x:c r="H297" s="167" t="str">
        <x:v>Not Started</x:v>
      </x:c>
      <x:c r="I297" s="167" t="n">
        <x:v>0</x:v>
      </x:c>
      <x:c r="J297" s="168"/>
      <x:c r="K297" s="168" t="str">
        <x:f>IF(OR(H297="Mastered",J297=""),"",J297+IF(I297&gt;=5,30,IF(I297=4,14,IF(I297=3,7,IF(I297=2,3,1)))))</x:f>
      </x:c>
      <x:c r="L297" s="171" t="str"/>
      <x:c r="M297" s="171" t="str"/>
      <x:c r="N297" s="171" t="str">
        <x:v>Draft — verify in context</x:v>
      </x:c>
      <x:c r="O297" s="167" t="str">
        <x:v>https://www.wgtn.ac.nz/lals/resources/academicwordlist</x:v>
      </x:c>
    </x:row>
    <x:row r="298" ht="26" customHeight="1">
      <x:c r="A298" s="167" t="n">
        <x:v>297</x:v>
      </x:c>
      <x:c r="B298" s="167" t="str">
        <x:v>trend</x:v>
      </x:c>
      <x:c r="C298" s="170" t="str">
        <x:v>тенденція</x:v>
      </x:c>
      <x:c r="D298" s="167" t="n">
        <x:v>5</x:v>
      </x:c>
      <x:c r="E298" s="167" t="str">
        <x:v>No</x:v>
      </x:c>
      <x:c r="F298" s="167" t="str">
        <x:v>Medium</x:v>
      </x:c>
      <x:c r="G298" s="167" t="str">
        <x:v>General</x:v>
      </x:c>
      <x:c r="H298" s="167" t="str">
        <x:v>Not Started</x:v>
      </x:c>
      <x:c r="I298" s="167" t="n">
        <x:v>0</x:v>
      </x:c>
      <x:c r="J298" s="168"/>
      <x:c r="K298" s="168" t="str">
        <x:f>IF(OR(H298="Mastered",J298=""),"",J298+IF(I298&gt;=5,30,IF(I298=4,14,IF(I298=3,7,IF(I298=2,3,1)))))</x:f>
      </x:c>
      <x:c r="L298" s="171" t="str"/>
      <x:c r="M298" s="171" t="str"/>
      <x:c r="N298" s="171" t="str">
        <x:v>Draft — verify in context</x:v>
      </x:c>
      <x:c r="O298" s="167" t="str">
        <x:v>https://www.wgtn.ac.nz/lals/resources/academicwordlist</x:v>
      </x:c>
    </x:row>
    <x:row r="299" ht="26" customHeight="1">
      <x:c r="A299" s="167" t="n">
        <x:v>298</x:v>
      </x:c>
      <x:c r="B299" s="167" t="str">
        <x:v>version</x:v>
      </x:c>
      <x:c r="C299" s="170" t="str">
        <x:v>версія</x:v>
      </x:c>
      <x:c r="D299" s="167" t="n">
        <x:v>5</x:v>
      </x:c>
      <x:c r="E299" s="167" t="str">
        <x:v>No</x:v>
      </x:c>
      <x:c r="F299" s="167" t="str">
        <x:v>Medium</x:v>
      </x:c>
      <x:c r="G299" s="167" t="str">
        <x:v>General</x:v>
      </x:c>
      <x:c r="H299" s="167" t="str">
        <x:v>Not Started</x:v>
      </x:c>
      <x:c r="I299" s="167" t="n">
        <x:v>0</x:v>
      </x:c>
      <x:c r="J299" s="168"/>
      <x:c r="K299" s="168" t="str">
        <x:f>IF(OR(H299="Mastered",J299=""),"",J299+IF(I299&gt;=5,30,IF(I299=4,14,IF(I299=3,7,IF(I299=2,3,1)))))</x:f>
      </x:c>
      <x:c r="L299" s="171" t="str"/>
      <x:c r="M299" s="171" t="str"/>
      <x:c r="N299" s="171" t="str">
        <x:v>Draft — verify in context</x:v>
      </x:c>
      <x:c r="O299" s="167" t="str">
        <x:v>https://www.wgtn.ac.nz/lals/resources/academicwordlist</x:v>
      </x:c>
    </x:row>
    <x:row r="300" ht="26" customHeight="1">
      <x:c r="A300" s="167" t="n">
        <x:v>299</x:v>
      </x:c>
      <x:c r="B300" s="167" t="str">
        <x:v>welfare</x:v>
      </x:c>
      <x:c r="C300" s="170" t="str">
        <x:v>добробуту</x:v>
      </x:c>
      <x:c r="D300" s="167" t="n">
        <x:v>5</x:v>
      </x:c>
      <x:c r="E300" s="167" t="str">
        <x:v>No</x:v>
      </x:c>
      <x:c r="F300" s="167" t="str">
        <x:v>Medium</x:v>
      </x:c>
      <x:c r="G300" s="167" t="str">
        <x:v>General</x:v>
      </x:c>
      <x:c r="H300" s="167" t="str">
        <x:v>Not Started</x:v>
      </x:c>
      <x:c r="I300" s="167" t="n">
        <x:v>0</x:v>
      </x:c>
      <x:c r="J300" s="168"/>
      <x:c r="K300" s="168" t="str">
        <x:f>IF(OR(H300="Mastered",J300=""),"",J300+IF(I300&gt;=5,30,IF(I300=4,14,IF(I300=3,7,IF(I300=2,3,1)))))</x:f>
      </x:c>
      <x:c r="L300" s="171" t="str"/>
      <x:c r="M300" s="171" t="str"/>
      <x:c r="N300" s="171" t="str">
        <x:v>Draft — verify in context</x:v>
      </x:c>
      <x:c r="O300" s="167" t="str">
        <x:v>https://www.wgtn.ac.nz/lals/resources/academicwordlist</x:v>
      </x:c>
    </x:row>
    <x:row r="301" ht="26" customHeight="1">
      <x:c r="A301" s="167" t="n">
        <x:v>300</x:v>
      </x:c>
      <x:c r="B301" s="167" t="str">
        <x:v>whereas</x:v>
      </x:c>
      <x:c r="C301" s="170" t="str">
        <x:v>тоді як</x:v>
      </x:c>
      <x:c r="D301" s="167" t="n">
        <x:v>5</x:v>
      </x:c>
      <x:c r="E301" s="167" t="str">
        <x:v>No</x:v>
      </x:c>
      <x:c r="F301" s="167" t="str">
        <x:v>Medium</x:v>
      </x:c>
      <x:c r="G301" s="167" t="str">
        <x:v>General</x:v>
      </x:c>
      <x:c r="H301" s="167" t="str">
        <x:v>Not Started</x:v>
      </x:c>
      <x:c r="I301" s="167" t="n">
        <x:v>0</x:v>
      </x:c>
      <x:c r="J301" s="168"/>
      <x:c r="K301" s="168" t="str">
        <x:f>IF(OR(H301="Mastered",J301=""),"",J301+IF(I301&gt;=5,30,IF(I301=4,14,IF(I301=3,7,IF(I301=2,3,1)))))</x:f>
      </x:c>
      <x:c r="L301" s="171" t="str"/>
      <x:c r="M301" s="171" t="str"/>
      <x:c r="N301" s="171" t="str">
        <x:v>Draft — verify in context</x:v>
      </x:c>
      <x:c r="O301" s="167" t="str">
        <x:v>https://www.wgtn.ac.nz/lals/resources/academicwordlist</x:v>
      </x:c>
    </x:row>
    <x:row r="302" ht="26" customHeight="1">
      <x:c r="A302" s="167" t="n">
        <x:v>301</x:v>
      </x:c>
      <x:c r="B302" s="167" t="str">
        <x:v>abstract</x:v>
      </x:c>
      <x:c r="C302" s="170" t="str">
        <x:v>анотація</x:v>
      </x:c>
      <x:c r="D302" s="167" t="n">
        <x:v>6</x:v>
      </x:c>
      <x:c r="E302" s="167" t="str">
        <x:v>No</x:v>
      </x:c>
      <x:c r="F302" s="167" t="str">
        <x:v>Medium</x:v>
      </x:c>
      <x:c r="G302" s="167" t="str">
        <x:v>General</x:v>
      </x:c>
      <x:c r="H302" s="167" t="str">
        <x:v>Not Started</x:v>
      </x:c>
      <x:c r="I302" s="167" t="n">
        <x:v>0</x:v>
      </x:c>
      <x:c r="J302" s="168"/>
      <x:c r="K302" s="168" t="str">
        <x:f>IF(OR(H302="Mastered",J302=""),"",J302+IF(I302&gt;=5,30,IF(I302=4,14,IF(I302=3,7,IF(I302=2,3,1)))))</x:f>
      </x:c>
      <x:c r="L302" s="171" t="str"/>
      <x:c r="M302" s="171" t="str"/>
      <x:c r="N302" s="171" t="str">
        <x:v>Draft — verify in context</x:v>
      </x:c>
      <x:c r="O302" s="167" t="str">
        <x:v>https://www.wgtn.ac.nz/lals/resources/academicwordlist</x:v>
      </x:c>
    </x:row>
    <x:row r="303" ht="26" customHeight="1">
      <x:c r="A303" s="167" t="n">
        <x:v>302</x:v>
      </x:c>
      <x:c r="B303" s="167" t="str">
        <x:v>accurate</x:v>
      </x:c>
      <x:c r="C303" s="170" t="str">
        <x:v>точні</x:v>
      </x:c>
      <x:c r="D303" s="167" t="n">
        <x:v>6</x:v>
      </x:c>
      <x:c r="E303" s="167" t="str">
        <x:v>No</x:v>
      </x:c>
      <x:c r="F303" s="167" t="str">
        <x:v>Medium</x:v>
      </x:c>
      <x:c r="G303" s="167" t="str">
        <x:v>General</x:v>
      </x:c>
      <x:c r="H303" s="167" t="str">
        <x:v>Not Started</x:v>
      </x:c>
      <x:c r="I303" s="167" t="n">
        <x:v>0</x:v>
      </x:c>
      <x:c r="J303" s="168"/>
      <x:c r="K303" s="168" t="str">
        <x:f>IF(OR(H303="Mastered",J303=""),"",J303+IF(I303&gt;=5,30,IF(I303=4,14,IF(I303=3,7,IF(I303=2,3,1)))))</x:f>
      </x:c>
      <x:c r="L303" s="171" t="str"/>
      <x:c r="M303" s="171" t="str"/>
      <x:c r="N303" s="171" t="str">
        <x:v>Draft — verify in context</x:v>
      </x:c>
      <x:c r="O303" s="167" t="str">
        <x:v>https://www.wgtn.ac.nz/lals/resources/academicwordlist</x:v>
      </x:c>
    </x:row>
    <x:row r="304" ht="26" customHeight="1">
      <x:c r="A304" s="167" t="n">
        <x:v>303</x:v>
      </x:c>
      <x:c r="B304" s="167" t="str">
        <x:v>acknowledged</x:v>
      </x:c>
      <x:c r="C304" s="170" t="str">
        <x:v>визнав</x:v>
      </x:c>
      <x:c r="D304" s="167" t="n">
        <x:v>6</x:v>
      </x:c>
      <x:c r="E304" s="167" t="str">
        <x:v>No</x:v>
      </x:c>
      <x:c r="F304" s="167" t="str">
        <x:v>Medium</x:v>
      </x:c>
      <x:c r="G304" s="167" t="str">
        <x:v>General</x:v>
      </x:c>
      <x:c r="H304" s="167" t="str">
        <x:v>Not Started</x:v>
      </x:c>
      <x:c r="I304" s="167" t="n">
        <x:v>0</x:v>
      </x:c>
      <x:c r="J304" s="168"/>
      <x:c r="K304" s="168" t="str">
        <x:f>IF(OR(H304="Mastered",J304=""),"",J304+IF(I304&gt;=5,30,IF(I304=4,14,IF(I304=3,7,IF(I304=2,3,1)))))</x:f>
      </x:c>
      <x:c r="L304" s="171" t="str"/>
      <x:c r="M304" s="171" t="str"/>
      <x:c r="N304" s="171" t="str">
        <x:v>Draft — verify in context</x:v>
      </x:c>
      <x:c r="O304" s="167" t="str">
        <x:v>https://www.wgtn.ac.nz/lals/resources/academicwordlist</x:v>
      </x:c>
    </x:row>
    <x:row r="305" ht="26" customHeight="1">
      <x:c r="A305" s="167" t="n">
        <x:v>304</x:v>
      </x:c>
      <x:c r="B305" s="167" t="str">
        <x:v>aggregate</x:v>
      </x:c>
      <x:c r="C305" s="170" t="str">
        <x:v>агрегатний</x:v>
      </x:c>
      <x:c r="D305" s="167" t="n">
        <x:v>6</x:v>
      </x:c>
      <x:c r="E305" s="167" t="str">
        <x:v>No</x:v>
      </x:c>
      <x:c r="F305" s="167" t="str">
        <x:v>Medium</x:v>
      </x:c>
      <x:c r="G305" s="167" t="str">
        <x:v>General</x:v>
      </x:c>
      <x:c r="H305" s="167" t="str">
        <x:v>Not Started</x:v>
      </x:c>
      <x:c r="I305" s="167" t="n">
        <x:v>0</x:v>
      </x:c>
      <x:c r="J305" s="168"/>
      <x:c r="K305" s="168" t="str">
        <x:f>IF(OR(H305="Mastered",J305=""),"",J305+IF(I305&gt;=5,30,IF(I305=4,14,IF(I305=3,7,IF(I305=2,3,1)))))</x:f>
      </x:c>
      <x:c r="L305" s="171" t="str"/>
      <x:c r="M305" s="171" t="str"/>
      <x:c r="N305" s="171" t="str">
        <x:v>Draft — verify in context</x:v>
      </x:c>
      <x:c r="O305" s="167" t="str">
        <x:v>https://www.wgtn.ac.nz/lals/resources/academicwordlist</x:v>
      </x:c>
    </x:row>
    <x:row r="306" ht="26" customHeight="1">
      <x:c r="A306" s="167" t="n">
        <x:v>305</x:v>
      </x:c>
      <x:c r="B306" s="167" t="str">
        <x:v>allocation</x:v>
      </x:c>
      <x:c r="C306" s="170" t="str">
        <x:v>виділення</x:v>
      </x:c>
      <x:c r="D306" s="167" t="n">
        <x:v>6</x:v>
      </x:c>
      <x:c r="E306" s="167" t="str">
        <x:v>Yes</x:v>
      </x:c>
      <x:c r="F306" s="167" t="str">
        <x:v>Medium</x:v>
      </x:c>
      <x:c r="G306" s="167" t="str">
        <x:v>General</x:v>
      </x:c>
      <x:c r="H306" s="167" t="str">
        <x:v>Not Started</x:v>
      </x:c>
      <x:c r="I306" s="167" t="n">
        <x:v>0</x:v>
      </x:c>
      <x:c r="J306" s="168"/>
      <x:c r="K306" s="168" t="str">
        <x:f>IF(OR(H306="Mastered",J306=""),"",J306+IF(I306&gt;=5,30,IF(I306=4,14,IF(I306=3,7,IF(I306=2,3,1)))))</x:f>
      </x:c>
      <x:c r="L306" s="171" t="str"/>
      <x:c r="M306" s="171" t="str"/>
      <x:c r="N306" s="171" t="str">
        <x:v>Draft — verify in context</x:v>
      </x:c>
      <x:c r="O306" s="167" t="str">
        <x:v>https://www.wgtn.ac.nz/lals/resources/academicwordlist</x:v>
      </x:c>
    </x:row>
    <x:row r="307" ht="26" customHeight="1">
      <x:c r="A307" s="167" t="n">
        <x:v>306</x:v>
      </x:c>
      <x:c r="B307" s="167" t="str">
        <x:v>assigned</x:v>
      </x:c>
      <x:c r="C307" s="170" t="str">
        <x:v>призначений</x:v>
      </x:c>
      <x:c r="D307" s="167" t="n">
        <x:v>6</x:v>
      </x:c>
      <x:c r="E307" s="167" t="str">
        <x:v>No</x:v>
      </x:c>
      <x:c r="F307" s="167" t="str">
        <x:v>Medium</x:v>
      </x:c>
      <x:c r="G307" s="167" t="str">
        <x:v>General</x:v>
      </x:c>
      <x:c r="H307" s="167" t="str">
        <x:v>Not Started</x:v>
      </x:c>
      <x:c r="I307" s="167" t="n">
        <x:v>0</x:v>
      </x:c>
      <x:c r="J307" s="168"/>
      <x:c r="K307" s="168" t="str">
        <x:f>IF(OR(H307="Mastered",J307=""),"",J307+IF(I307&gt;=5,30,IF(I307=4,14,IF(I307=3,7,IF(I307=2,3,1)))))</x:f>
      </x:c>
      <x:c r="L307" s="171" t="str"/>
      <x:c r="M307" s="171" t="str"/>
      <x:c r="N307" s="171" t="str">
        <x:v>Draft — verify in context</x:v>
      </x:c>
      <x:c r="O307" s="167" t="str">
        <x:v>https://www.wgtn.ac.nz/lals/resources/academicwordlist</x:v>
      </x:c>
    </x:row>
    <x:row r="308" ht="26" customHeight="1">
      <x:c r="A308" s="167" t="n">
        <x:v>307</x:v>
      </x:c>
      <x:c r="B308" s="167" t="str">
        <x:v>attached</x:v>
      </x:c>
      <x:c r="C308" s="170" t="str">
        <x:v>додається</x:v>
      </x:c>
      <x:c r="D308" s="167" t="n">
        <x:v>6</x:v>
      </x:c>
      <x:c r="E308" s="167" t="str">
        <x:v>No</x:v>
      </x:c>
      <x:c r="F308" s="167" t="str">
        <x:v>Medium</x:v>
      </x:c>
      <x:c r="G308" s="167" t="str">
        <x:v>General</x:v>
      </x:c>
      <x:c r="H308" s="167" t="str">
        <x:v>Not Started</x:v>
      </x:c>
      <x:c r="I308" s="167" t="n">
        <x:v>0</x:v>
      </x:c>
      <x:c r="J308" s="168"/>
      <x:c r="K308" s="168" t="str">
        <x:f>IF(OR(H308="Mastered",J308=""),"",J308+IF(I308&gt;=5,30,IF(I308=4,14,IF(I308=3,7,IF(I308=2,3,1)))))</x:f>
      </x:c>
      <x:c r="L308" s="171" t="str"/>
      <x:c r="M308" s="171" t="str"/>
      <x:c r="N308" s="171" t="str">
        <x:v>Draft — verify in context</x:v>
      </x:c>
      <x:c r="O308" s="167" t="str">
        <x:v>https://www.wgtn.ac.nz/lals/resources/academicwordlist</x:v>
      </x:c>
    </x:row>
    <x:row r="309" ht="26" customHeight="1">
      <x:c r="A309" s="167" t="n">
        <x:v>308</x:v>
      </x:c>
      <x:c r="B309" s="167" t="str">
        <x:v>author</x:v>
      </x:c>
      <x:c r="C309" s="170" t="str">
        <x:v>автор</x:v>
      </x:c>
      <x:c r="D309" s="167" t="n">
        <x:v>6</x:v>
      </x:c>
      <x:c r="E309" s="167" t="str">
        <x:v>No</x:v>
      </x:c>
      <x:c r="F309" s="167" t="str">
        <x:v>Medium</x:v>
      </x:c>
      <x:c r="G309" s="167" t="str">
        <x:v>General</x:v>
      </x:c>
      <x:c r="H309" s="167" t="str">
        <x:v>Not Started</x:v>
      </x:c>
      <x:c r="I309" s="167" t="n">
        <x:v>0</x:v>
      </x:c>
      <x:c r="J309" s="168"/>
      <x:c r="K309" s="168" t="str">
        <x:f>IF(OR(H309="Mastered",J309=""),"",J309+IF(I309&gt;=5,30,IF(I309=4,14,IF(I309=3,7,IF(I309=2,3,1)))))</x:f>
      </x:c>
      <x:c r="L309" s="171" t="str"/>
      <x:c r="M309" s="171" t="str"/>
      <x:c r="N309" s="171" t="str">
        <x:v>Draft — verify in context</x:v>
      </x:c>
      <x:c r="O309" s="167" t="str">
        <x:v>https://www.wgtn.ac.nz/lals/resources/academicwordlist</x:v>
      </x:c>
    </x:row>
    <x:row r="310" ht="26" customHeight="1">
      <x:c r="A310" s="167" t="n">
        <x:v>309</x:v>
      </x:c>
      <x:c r="B310" s="167" t="str">
        <x:v>bond</x:v>
      </x:c>
      <x:c r="C310" s="170" t="str">
        <x:v>облігація</x:v>
      </x:c>
      <x:c r="D310" s="167" t="n">
        <x:v>6</x:v>
      </x:c>
      <x:c r="E310" s="167" t="str">
        <x:v>No</x:v>
      </x:c>
      <x:c r="F310" s="167" t="str">
        <x:v>Medium</x:v>
      </x:c>
      <x:c r="G310" s="167" t="str">
        <x:v>General</x:v>
      </x:c>
      <x:c r="H310" s="167" t="str">
        <x:v>Not Started</x:v>
      </x:c>
      <x:c r="I310" s="167" t="n">
        <x:v>0</x:v>
      </x:c>
      <x:c r="J310" s="168"/>
      <x:c r="K310" s="168" t="str">
        <x:f>IF(OR(H310="Mastered",J310=""),"",J310+IF(I310&gt;=5,30,IF(I310=4,14,IF(I310=3,7,IF(I310=2,3,1)))))</x:f>
      </x:c>
      <x:c r="L310" s="171" t="str"/>
      <x:c r="M310" s="171" t="str"/>
      <x:c r="N310" s="171" t="str">
        <x:v>Draft — verify in context</x:v>
      </x:c>
      <x:c r="O310" s="167" t="str">
        <x:v>https://www.wgtn.ac.nz/lals/resources/academicwordlist</x:v>
      </x:c>
    </x:row>
    <x:row r="311" ht="26" customHeight="1">
      <x:c r="A311" s="167" t="n">
        <x:v>310</x:v>
      </x:c>
      <x:c r="B311" s="167" t="str">
        <x:v>brief</x:v>
      </x:c>
      <x:c r="C311" s="170" t="str">
        <x:v>короткий</x:v>
      </x:c>
      <x:c r="D311" s="167" t="n">
        <x:v>6</x:v>
      </x:c>
      <x:c r="E311" s="167" t="str">
        <x:v>No</x:v>
      </x:c>
      <x:c r="F311" s="167" t="str">
        <x:v>Medium</x:v>
      </x:c>
      <x:c r="G311" s="167" t="str">
        <x:v>General</x:v>
      </x:c>
      <x:c r="H311" s="167" t="str">
        <x:v>Not Started</x:v>
      </x:c>
      <x:c r="I311" s="167" t="n">
        <x:v>0</x:v>
      </x:c>
      <x:c r="J311" s="168"/>
      <x:c r="K311" s="168" t="str">
        <x:f>IF(OR(H311="Mastered",J311=""),"",J311+IF(I311&gt;=5,30,IF(I311=4,14,IF(I311=3,7,IF(I311=2,3,1)))))</x:f>
      </x:c>
      <x:c r="L311" s="171" t="str"/>
      <x:c r="M311" s="171" t="str"/>
      <x:c r="N311" s="171" t="str">
        <x:v>Draft — verify in context</x:v>
      </x:c>
      <x:c r="O311" s="167" t="str">
        <x:v>https://www.wgtn.ac.nz/lals/resources/academicwordlist</x:v>
      </x:c>
    </x:row>
    <x:row r="312" ht="26" customHeight="1">
      <x:c r="A312" s="167" t="n">
        <x:v>311</x:v>
      </x:c>
      <x:c r="B312" s="167" t="str">
        <x:v>capable</x:v>
      </x:c>
      <x:c r="C312" s="170" t="str">
        <x:v>здатний</x:v>
      </x:c>
      <x:c r="D312" s="167" t="n">
        <x:v>6</x:v>
      </x:c>
      <x:c r="E312" s="167" t="str">
        <x:v>No</x:v>
      </x:c>
      <x:c r="F312" s="167" t="str">
        <x:v>Medium</x:v>
      </x:c>
      <x:c r="G312" s="167" t="str">
        <x:v>General</x:v>
      </x:c>
      <x:c r="H312" s="167" t="str">
        <x:v>Not Started</x:v>
      </x:c>
      <x:c r="I312" s="167" t="n">
        <x:v>0</x:v>
      </x:c>
      <x:c r="J312" s="168"/>
      <x:c r="K312" s="168" t="str">
        <x:f>IF(OR(H312="Mastered",J312=""),"",J312+IF(I312&gt;=5,30,IF(I312=4,14,IF(I312=3,7,IF(I312=2,3,1)))))</x:f>
      </x:c>
      <x:c r="L312" s="171" t="str"/>
      <x:c r="M312" s="171" t="str"/>
      <x:c r="N312" s="171" t="str">
        <x:v>Draft — verify in context</x:v>
      </x:c>
      <x:c r="O312" s="167" t="str">
        <x:v>https://www.wgtn.ac.nz/lals/resources/academicwordlist</x:v>
      </x:c>
    </x:row>
    <x:row r="313" ht="26" customHeight="1">
      <x:c r="A313" s="167" t="n">
        <x:v>312</x:v>
      </x:c>
      <x:c r="B313" s="167" t="str">
        <x:v>cited</x:v>
      </x:c>
      <x:c r="C313" s="170" t="str">
        <x:v>цитується</x:v>
      </x:c>
      <x:c r="D313" s="167" t="n">
        <x:v>6</x:v>
      </x:c>
      <x:c r="E313" s="167" t="str">
        <x:v>No</x:v>
      </x:c>
      <x:c r="F313" s="167" t="str">
        <x:v>Medium</x:v>
      </x:c>
      <x:c r="G313" s="167" t="str">
        <x:v>General</x:v>
      </x:c>
      <x:c r="H313" s="167" t="str">
        <x:v>Not Started</x:v>
      </x:c>
      <x:c r="I313" s="167" t="n">
        <x:v>0</x:v>
      </x:c>
      <x:c r="J313" s="168"/>
      <x:c r="K313" s="168" t="str">
        <x:f>IF(OR(H313="Mastered",J313=""),"",J313+IF(I313&gt;=5,30,IF(I313=4,14,IF(I313=3,7,IF(I313=2,3,1)))))</x:f>
      </x:c>
      <x:c r="L313" s="171" t="str"/>
      <x:c r="M313" s="171" t="str"/>
      <x:c r="N313" s="171" t="str">
        <x:v>Draft — verify in context</x:v>
      </x:c>
      <x:c r="O313" s="167" t="str">
        <x:v>https://www.wgtn.ac.nz/lals/resources/academicwordlist</x:v>
      </x:c>
    </x:row>
    <x:row r="314" ht="26" customHeight="1">
      <x:c r="A314" s="167" t="n">
        <x:v>313</x:v>
      </x:c>
      <x:c r="B314" s="167" t="str">
        <x:v>cooperative</x:v>
      </x:c>
      <x:c r="C314" s="170" t="str">
        <x:v>кооператив</x:v>
      </x:c>
      <x:c r="D314" s="167" t="n">
        <x:v>6</x:v>
      </x:c>
      <x:c r="E314" s="167" t="str">
        <x:v>Yes</x:v>
      </x:c>
      <x:c r="F314" s="167" t="str">
        <x:v>Medium</x:v>
      </x:c>
      <x:c r="G314" s="167" t="str">
        <x:v>General</x:v>
      </x:c>
      <x:c r="H314" s="167" t="str">
        <x:v>Not Started</x:v>
      </x:c>
      <x:c r="I314" s="167" t="n">
        <x:v>0</x:v>
      </x:c>
      <x:c r="J314" s="168"/>
      <x:c r="K314" s="168" t="str">
        <x:f>IF(OR(H314="Mastered",J314=""),"",J314+IF(I314&gt;=5,30,IF(I314=4,14,IF(I314=3,7,IF(I314=2,3,1)))))</x:f>
      </x:c>
      <x:c r="L314" s="171" t="str"/>
      <x:c r="M314" s="171" t="str"/>
      <x:c r="N314" s="171" t="str">
        <x:v>Draft — verify in context</x:v>
      </x:c>
      <x:c r="O314" s="167" t="str">
        <x:v>https://www.wgtn.ac.nz/lals/resources/academicwordlist</x:v>
      </x:c>
    </x:row>
    <x:row r="315" ht="26" customHeight="1">
      <x:c r="A315" s="167" t="n">
        <x:v>314</x:v>
      </x:c>
      <x:c r="B315" s="167" t="str">
        <x:v>discrimination</x:v>
      </x:c>
      <x:c r="C315" s="170" t="str">
        <x:v>дискримінація</x:v>
      </x:c>
      <x:c r="D315" s="167" t="n">
        <x:v>6</x:v>
      </x:c>
      <x:c r="E315" s="167" t="str">
        <x:v>Yes</x:v>
      </x:c>
      <x:c r="F315" s="167" t="str">
        <x:v>Medium</x:v>
      </x:c>
      <x:c r="G315" s="167" t="str">
        <x:v>Society &amp; culture</x:v>
      </x:c>
      <x:c r="H315" s="167" t="str">
        <x:v>Not Started</x:v>
      </x:c>
      <x:c r="I315" s="167" t="n">
        <x:v>0</x:v>
      </x:c>
      <x:c r="J315" s="168"/>
      <x:c r="K315" s="168" t="str">
        <x:f>IF(OR(H315="Mastered",J315=""),"",J315+IF(I315&gt;=5,30,IF(I315=4,14,IF(I315=3,7,IF(I315=2,3,1)))))</x:f>
      </x:c>
      <x:c r="L315" s="171" t="str"/>
      <x:c r="M315" s="171" t="str"/>
      <x:c r="N315" s="171" t="str">
        <x:v>Draft — verify in context</x:v>
      </x:c>
      <x:c r="O315" s="167" t="str">
        <x:v>https://www.wgtn.ac.nz/lals/resources/academicwordlist</x:v>
      </x:c>
    </x:row>
    <x:row r="316" ht="26" customHeight="1">
      <x:c r="A316" s="167" t="n">
        <x:v>315</x:v>
      </x:c>
      <x:c r="B316" s="167" t="str">
        <x:v>display</x:v>
      </x:c>
      <x:c r="C316" s="170" t="str">
        <x:v>дисплей</x:v>
      </x:c>
      <x:c r="D316" s="167" t="n">
        <x:v>6</x:v>
      </x:c>
      <x:c r="E316" s="167" t="str">
        <x:v>No</x:v>
      </x:c>
      <x:c r="F316" s="167" t="str">
        <x:v>Medium</x:v>
      </x:c>
      <x:c r="G316" s="167" t="str">
        <x:v>General</x:v>
      </x:c>
      <x:c r="H316" s="167" t="str">
        <x:v>Not Started</x:v>
      </x:c>
      <x:c r="I316" s="167" t="n">
        <x:v>0</x:v>
      </x:c>
      <x:c r="J316" s="168"/>
      <x:c r="K316" s="168" t="str">
        <x:f>IF(OR(H316="Mastered",J316=""),"",J316+IF(I316&gt;=5,30,IF(I316=4,14,IF(I316=3,7,IF(I316=2,3,1)))))</x:f>
      </x:c>
      <x:c r="L316" s="171" t="str"/>
      <x:c r="M316" s="171" t="str"/>
      <x:c r="N316" s="171" t="str">
        <x:v>Draft — verify in context</x:v>
      </x:c>
      <x:c r="O316" s="167" t="str">
        <x:v>https://www.wgtn.ac.nz/lals/resources/academicwordlist</x:v>
      </x:c>
    </x:row>
    <x:row r="317" ht="26" customHeight="1">
      <x:c r="A317" s="167" t="n">
        <x:v>316</x:v>
      </x:c>
      <x:c r="B317" s="167" t="str">
        <x:v>diversity</x:v>
      </x:c>
      <x:c r="C317" s="170" t="str">
        <x:v>різноманітність</x:v>
      </x:c>
      <x:c r="D317" s="167" t="n">
        <x:v>6</x:v>
      </x:c>
      <x:c r="E317" s="167" t="str">
        <x:v>No</x:v>
      </x:c>
      <x:c r="F317" s="167" t="str">
        <x:v>Medium</x:v>
      </x:c>
      <x:c r="G317" s="167" t="str">
        <x:v>Society &amp; culture</x:v>
      </x:c>
      <x:c r="H317" s="167" t="str">
        <x:v>Not Started</x:v>
      </x:c>
      <x:c r="I317" s="167" t="n">
        <x:v>0</x:v>
      </x:c>
      <x:c r="J317" s="168"/>
      <x:c r="K317" s="168" t="str">
        <x:f>IF(OR(H317="Mastered",J317=""),"",J317+IF(I317&gt;=5,30,IF(I317=4,14,IF(I317=3,7,IF(I317=2,3,1)))))</x:f>
      </x:c>
      <x:c r="L317" s="171" t="str"/>
      <x:c r="M317" s="171" t="str"/>
      <x:c r="N317" s="171" t="str">
        <x:v>Draft — verify in context</x:v>
      </x:c>
      <x:c r="O317" s="167" t="str">
        <x:v>https://www.wgtn.ac.nz/lals/resources/academicwordlist</x:v>
      </x:c>
    </x:row>
    <x:row r="318" ht="26" customHeight="1">
      <x:c r="A318" s="167" t="n">
        <x:v>317</x:v>
      </x:c>
      <x:c r="B318" s="167" t="str">
        <x:v>domain</x:v>
      </x:c>
      <x:c r="C318" s="170" t="str">
        <x:v>домен</x:v>
      </x:c>
      <x:c r="D318" s="167" t="n">
        <x:v>6</x:v>
      </x:c>
      <x:c r="E318" s="167" t="str">
        <x:v>Yes</x:v>
      </x:c>
      <x:c r="F318" s="167" t="str">
        <x:v>Medium</x:v>
      </x:c>
      <x:c r="G318" s="167" t="str">
        <x:v>General</x:v>
      </x:c>
      <x:c r="H318" s="167" t="str">
        <x:v>Not Started</x:v>
      </x:c>
      <x:c r="I318" s="167" t="n">
        <x:v>0</x:v>
      </x:c>
      <x:c r="J318" s="168"/>
      <x:c r="K318" s="168" t="str">
        <x:f>IF(OR(H318="Mastered",J318=""),"",J318+IF(I318&gt;=5,30,IF(I318=4,14,IF(I318=3,7,IF(I318=2,3,1)))))</x:f>
      </x:c>
      <x:c r="L318" s="171" t="str"/>
      <x:c r="M318" s="171" t="str"/>
      <x:c r="N318" s="171" t="str">
        <x:v>Draft — verify in context</x:v>
      </x:c>
      <x:c r="O318" s="167" t="str">
        <x:v>https://www.wgtn.ac.nz/lals/resources/academicwordlist</x:v>
      </x:c>
    </x:row>
    <x:row r="319" ht="26" customHeight="1">
      <x:c r="A319" s="167" t="n">
        <x:v>318</x:v>
      </x:c>
      <x:c r="B319" s="167" t="str">
        <x:v>edition</x:v>
      </x:c>
      <x:c r="C319" s="170" t="str">
        <x:v>видання</x:v>
      </x:c>
      <x:c r="D319" s="167" t="n">
        <x:v>6</x:v>
      </x:c>
      <x:c r="E319" s="167" t="str">
        <x:v>No</x:v>
      </x:c>
      <x:c r="F319" s="167" t="str">
        <x:v>Medium</x:v>
      </x:c>
      <x:c r="G319" s="167" t="str">
        <x:v>General</x:v>
      </x:c>
      <x:c r="H319" s="167" t="str">
        <x:v>Not Started</x:v>
      </x:c>
      <x:c r="I319" s="167" t="n">
        <x:v>0</x:v>
      </x:c>
      <x:c r="J319" s="168"/>
      <x:c r="K319" s="168" t="str">
        <x:f>IF(OR(H319="Mastered",J319=""),"",J319+IF(I319&gt;=5,30,IF(I319=4,14,IF(I319=3,7,IF(I319=2,3,1)))))</x:f>
      </x:c>
      <x:c r="L319" s="171" t="str"/>
      <x:c r="M319" s="171" t="str"/>
      <x:c r="N319" s="171" t="str">
        <x:v>Draft — verify in context</x:v>
      </x:c>
      <x:c r="O319" s="167" t="str">
        <x:v>https://www.wgtn.ac.nz/lals/resources/academicwordlist</x:v>
      </x:c>
    </x:row>
    <x:row r="320" ht="26" customHeight="1">
      <x:c r="A320" s="167" t="n">
        <x:v>319</x:v>
      </x:c>
      <x:c r="B320" s="167" t="str">
        <x:v>enhanced</x:v>
      </x:c>
      <x:c r="C320" s="170" t="str">
        <x:v>посилений</x:v>
      </x:c>
      <x:c r="D320" s="167" t="n">
        <x:v>6</x:v>
      </x:c>
      <x:c r="E320" s="167" t="str">
        <x:v>No</x:v>
      </x:c>
      <x:c r="F320" s="167" t="str">
        <x:v>Medium</x:v>
      </x:c>
      <x:c r="G320" s="167" t="str">
        <x:v>General</x:v>
      </x:c>
      <x:c r="H320" s="167" t="str">
        <x:v>Not Started</x:v>
      </x:c>
      <x:c r="I320" s="167" t="n">
        <x:v>0</x:v>
      </x:c>
      <x:c r="J320" s="168"/>
      <x:c r="K320" s="168" t="str">
        <x:f>IF(OR(H320="Mastered",J320=""),"",J320+IF(I320&gt;=5,30,IF(I320=4,14,IF(I320=3,7,IF(I320=2,3,1)))))</x:f>
      </x:c>
      <x:c r="L320" s="171" t="str"/>
      <x:c r="M320" s="171" t="str"/>
      <x:c r="N320" s="171" t="str">
        <x:v>Draft — verify in context</x:v>
      </x:c>
      <x:c r="O320" s="167" t="str">
        <x:v>https://www.wgtn.ac.nz/lals/resources/academicwordlist</x:v>
      </x:c>
    </x:row>
    <x:row r="321" ht="26" customHeight="1">
      <x:c r="A321" s="167" t="n">
        <x:v>320</x:v>
      </x:c>
      <x:c r="B321" s="167" t="str">
        <x:v>estate</x:v>
      </x:c>
      <x:c r="C321" s="170" t="str">
        <x:v>маєток</x:v>
      </x:c>
      <x:c r="D321" s="167" t="n">
        <x:v>6</x:v>
      </x:c>
      <x:c r="E321" s="167" t="str">
        <x:v>No</x:v>
      </x:c>
      <x:c r="F321" s="167" t="str">
        <x:v>Medium</x:v>
      </x:c>
      <x:c r="G321" s="167" t="str">
        <x:v>General</x:v>
      </x:c>
      <x:c r="H321" s="167" t="str">
        <x:v>Not Started</x:v>
      </x:c>
      <x:c r="I321" s="167" t="n">
        <x:v>0</x:v>
      </x:c>
      <x:c r="J321" s="168"/>
      <x:c r="K321" s="168" t="str">
        <x:f>IF(OR(H321="Mastered",J321=""),"",J321+IF(I321&gt;=5,30,IF(I321=4,14,IF(I321=3,7,IF(I321=2,3,1)))))</x:f>
      </x:c>
      <x:c r="L321" s="171" t="str"/>
      <x:c r="M321" s="171" t="str"/>
      <x:c r="N321" s="171" t="str">
        <x:v>Draft — verify in context</x:v>
      </x:c>
      <x:c r="O321" s="167" t="str">
        <x:v>https://www.wgtn.ac.nz/lals/resources/academicwordlist</x:v>
      </x:c>
    </x:row>
    <x:row r="322" ht="26" customHeight="1">
      <x:c r="A322" s="167" t="n">
        <x:v>321</x:v>
      </x:c>
      <x:c r="B322" s="167" t="str">
        <x:v>exceed</x:v>
      </x:c>
      <x:c r="C322" s="170" t="str">
        <x:v>перевищувати</x:v>
      </x:c>
      <x:c r="D322" s="167" t="n">
        <x:v>6</x:v>
      </x:c>
      <x:c r="E322" s="167" t="str">
        <x:v>No</x:v>
      </x:c>
      <x:c r="F322" s="167" t="str">
        <x:v>Medium</x:v>
      </x:c>
      <x:c r="G322" s="167" t="str">
        <x:v>General</x:v>
      </x:c>
      <x:c r="H322" s="167" t="str">
        <x:v>Not Started</x:v>
      </x:c>
      <x:c r="I322" s="167" t="n">
        <x:v>0</x:v>
      </x:c>
      <x:c r="J322" s="168"/>
      <x:c r="K322" s="168" t="str">
        <x:f>IF(OR(H322="Mastered",J322=""),"",J322+IF(I322&gt;=5,30,IF(I322=4,14,IF(I322=3,7,IF(I322=2,3,1)))))</x:f>
      </x:c>
      <x:c r="L322" s="171" t="str"/>
      <x:c r="M322" s="171" t="str"/>
      <x:c r="N322" s="171" t="str">
        <x:v>Draft — verify in context</x:v>
      </x:c>
      <x:c r="O322" s="167" t="str">
        <x:v>https://www.wgtn.ac.nz/lals/resources/academicwordlist</x:v>
      </x:c>
    </x:row>
    <x:row r="323" ht="26" customHeight="1">
      <x:c r="A323" s="167" t="n">
        <x:v>322</x:v>
      </x:c>
      <x:c r="B323" s="167" t="str">
        <x:v>expert</x:v>
      </x:c>
      <x:c r="C323" s="170" t="str">
        <x:v>експерт</x:v>
      </x:c>
      <x:c r="D323" s="167" t="n">
        <x:v>6</x:v>
      </x:c>
      <x:c r="E323" s="167" t="str">
        <x:v>No</x:v>
      </x:c>
      <x:c r="F323" s="167" t="str">
        <x:v>Medium</x:v>
      </x:c>
      <x:c r="G323" s="167" t="str">
        <x:v>General</x:v>
      </x:c>
      <x:c r="H323" s="167" t="str">
        <x:v>Not Started</x:v>
      </x:c>
      <x:c r="I323" s="167" t="n">
        <x:v>0</x:v>
      </x:c>
      <x:c r="J323" s="168"/>
      <x:c r="K323" s="168" t="str">
        <x:f>IF(OR(H323="Mastered",J323=""),"",J323+IF(I323&gt;=5,30,IF(I323=4,14,IF(I323=3,7,IF(I323=2,3,1)))))</x:f>
      </x:c>
      <x:c r="L323" s="171" t="str"/>
      <x:c r="M323" s="171" t="str"/>
      <x:c r="N323" s="171" t="str">
        <x:v>Draft — verify in context</x:v>
      </x:c>
      <x:c r="O323" s="167" t="str">
        <x:v>https://www.wgtn.ac.nz/lals/resources/academicwordlist</x:v>
      </x:c>
    </x:row>
    <x:row r="324" ht="26" customHeight="1">
      <x:c r="A324" s="167" t="n">
        <x:v>323</x:v>
      </x:c>
      <x:c r="B324" s="167" t="str">
        <x:v>explicit</x:v>
      </x:c>
      <x:c r="C324" s="170" t="str">
        <x:v>явний</x:v>
      </x:c>
      <x:c r="D324" s="167" t="n">
        <x:v>6</x:v>
      </x:c>
      <x:c r="E324" s="167" t="str">
        <x:v>Yes</x:v>
      </x:c>
      <x:c r="F324" s="167" t="str">
        <x:v>Medium</x:v>
      </x:c>
      <x:c r="G324" s="167" t="str">
        <x:v>General</x:v>
      </x:c>
      <x:c r="H324" s="167" t="str">
        <x:v>Not Started</x:v>
      </x:c>
      <x:c r="I324" s="167" t="n">
        <x:v>0</x:v>
      </x:c>
      <x:c r="J324" s="168"/>
      <x:c r="K324" s="168" t="str">
        <x:f>IF(OR(H324="Mastered",J324=""),"",J324+IF(I324&gt;=5,30,IF(I324=4,14,IF(I324=3,7,IF(I324=2,3,1)))))</x:f>
      </x:c>
      <x:c r="L324" s="171" t="str"/>
      <x:c r="M324" s="171" t="str"/>
      <x:c r="N324" s="171" t="str">
        <x:v>Draft — verify in context</x:v>
      </x:c>
      <x:c r="O324" s="167" t="str">
        <x:v>https://www.wgtn.ac.nz/lals/resources/academicwordlist</x:v>
      </x:c>
    </x:row>
    <x:row r="325" ht="26" customHeight="1">
      <x:c r="A325" s="167" t="n">
        <x:v>324</x:v>
      </x:c>
      <x:c r="B325" s="167" t="str">
        <x:v>federal</x:v>
      </x:c>
      <x:c r="C325" s="170" t="str">
        <x:v>федеральний</x:v>
      </x:c>
      <x:c r="D325" s="167" t="n">
        <x:v>6</x:v>
      </x:c>
      <x:c r="E325" s="167" t="str">
        <x:v>No</x:v>
      </x:c>
      <x:c r="F325" s="167" t="str">
        <x:v>Medium</x:v>
      </x:c>
      <x:c r="G325" s="167" t="str">
        <x:v>General</x:v>
      </x:c>
      <x:c r="H325" s="167" t="str">
        <x:v>Not Started</x:v>
      </x:c>
      <x:c r="I325" s="167" t="n">
        <x:v>0</x:v>
      </x:c>
      <x:c r="J325" s="168"/>
      <x:c r="K325" s="168" t="str">
        <x:f>IF(OR(H325="Mastered",J325=""),"",J325+IF(I325&gt;=5,30,IF(I325=4,14,IF(I325=3,7,IF(I325=2,3,1)))))</x:f>
      </x:c>
      <x:c r="L325" s="171" t="str"/>
      <x:c r="M325" s="171" t="str"/>
      <x:c r="N325" s="171" t="str">
        <x:v>Draft — verify in context</x:v>
      </x:c>
      <x:c r="O325" s="167" t="str">
        <x:v>https://www.wgtn.ac.nz/lals/resources/academicwordlist</x:v>
      </x:c>
    </x:row>
    <x:row r="326" ht="26" customHeight="1">
      <x:c r="A326" s="167" t="n">
        <x:v>325</x:v>
      </x:c>
      <x:c r="B326" s="167" t="str">
        <x:v>fees</x:v>
      </x:c>
      <x:c r="C326" s="170" t="str">
        <x:v>збори</x:v>
      </x:c>
      <x:c r="D326" s="167" t="n">
        <x:v>6</x:v>
      </x:c>
      <x:c r="E326" s="167" t="str">
        <x:v>No</x:v>
      </x:c>
      <x:c r="F326" s="167" t="str">
        <x:v>Medium</x:v>
      </x:c>
      <x:c r="G326" s="167" t="str">
        <x:v>General</x:v>
      </x:c>
      <x:c r="H326" s="167" t="str">
        <x:v>Not Started</x:v>
      </x:c>
      <x:c r="I326" s="167" t="n">
        <x:v>0</x:v>
      </x:c>
      <x:c r="J326" s="168"/>
      <x:c r="K326" s="168" t="str">
        <x:f>IF(OR(H326="Mastered",J326=""),"",J326+IF(I326&gt;=5,30,IF(I326=4,14,IF(I326=3,7,IF(I326=2,3,1)))))</x:f>
      </x:c>
      <x:c r="L326" s="171" t="str"/>
      <x:c r="M326" s="171" t="str"/>
      <x:c r="N326" s="171" t="str">
        <x:v>Draft — verify in context</x:v>
      </x:c>
      <x:c r="O326" s="167" t="str">
        <x:v>https://www.wgtn.ac.nz/lals/resources/academicwordlist</x:v>
      </x:c>
    </x:row>
    <x:row r="327" ht="26" customHeight="1">
      <x:c r="A327" s="167" t="n">
        <x:v>326</x:v>
      </x:c>
      <x:c r="B327" s="167" t="str">
        <x:v>flexibility</x:v>
      </x:c>
      <x:c r="C327" s="170" t="str">
        <x:v>гнучкість</x:v>
      </x:c>
      <x:c r="D327" s="167" t="n">
        <x:v>6</x:v>
      </x:c>
      <x:c r="E327" s="167" t="str">
        <x:v>Yes</x:v>
      </x:c>
      <x:c r="F327" s="167" t="str">
        <x:v>Medium</x:v>
      </x:c>
      <x:c r="G327" s="167" t="str">
        <x:v>General</x:v>
      </x:c>
      <x:c r="H327" s="167" t="str">
        <x:v>Not Started</x:v>
      </x:c>
      <x:c r="I327" s="167" t="n">
        <x:v>0</x:v>
      </x:c>
      <x:c r="J327" s="168"/>
      <x:c r="K327" s="168" t="str">
        <x:f>IF(OR(H327="Mastered",J327=""),"",J327+IF(I327&gt;=5,30,IF(I327=4,14,IF(I327=3,7,IF(I327=2,3,1)))))</x:f>
      </x:c>
      <x:c r="L327" s="171" t="str"/>
      <x:c r="M327" s="171" t="str"/>
      <x:c r="N327" s="171" t="str">
        <x:v>Draft — verify in context</x:v>
      </x:c>
      <x:c r="O327" s="167" t="str">
        <x:v>https://www.wgtn.ac.nz/lals/resources/academicwordlist</x:v>
      </x:c>
    </x:row>
    <x:row r="328" ht="26" customHeight="1">
      <x:c r="A328" s="167" t="n">
        <x:v>327</x:v>
      </x:c>
      <x:c r="B328" s="167" t="str">
        <x:v>furthermore</x:v>
      </x:c>
      <x:c r="C328" s="170" t="str">
        <x:v>крім того</x:v>
      </x:c>
      <x:c r="D328" s="167" t="n">
        <x:v>6</x:v>
      </x:c>
      <x:c r="E328" s="167" t="str">
        <x:v>No</x:v>
      </x:c>
      <x:c r="F328" s="167" t="str">
        <x:v>Medium</x:v>
      </x:c>
      <x:c r="G328" s="167" t="str">
        <x:v>General</x:v>
      </x:c>
      <x:c r="H328" s="167" t="str">
        <x:v>Not Started</x:v>
      </x:c>
      <x:c r="I328" s="167" t="n">
        <x:v>0</x:v>
      </x:c>
      <x:c r="J328" s="168"/>
      <x:c r="K328" s="168" t="str">
        <x:f>IF(OR(H328="Mastered",J328=""),"",J328+IF(I328&gt;=5,30,IF(I328=4,14,IF(I328=3,7,IF(I328=2,3,1)))))</x:f>
      </x:c>
      <x:c r="L328" s="171" t="str"/>
      <x:c r="M328" s="171" t="str"/>
      <x:c r="N328" s="171" t="str">
        <x:v>Draft — verify in context</x:v>
      </x:c>
      <x:c r="O328" s="167" t="str">
        <x:v>https://www.wgtn.ac.nz/lals/resources/academicwordlist</x:v>
      </x:c>
    </x:row>
    <x:row r="329" ht="26" customHeight="1">
      <x:c r="A329" s="167" t="n">
        <x:v>328</x:v>
      </x:c>
      <x:c r="B329" s="167" t="str">
        <x:v>gender</x:v>
      </x:c>
      <x:c r="C329" s="170" t="str">
        <x:v>стать</x:v>
      </x:c>
      <x:c r="D329" s="167" t="n">
        <x:v>6</x:v>
      </x:c>
      <x:c r="E329" s="167" t="str">
        <x:v>No</x:v>
      </x:c>
      <x:c r="F329" s="167" t="str">
        <x:v>Medium</x:v>
      </x:c>
      <x:c r="G329" s="167" t="str">
        <x:v>General</x:v>
      </x:c>
      <x:c r="H329" s="167" t="str">
        <x:v>Not Started</x:v>
      </x:c>
      <x:c r="I329" s="167" t="n">
        <x:v>0</x:v>
      </x:c>
      <x:c r="J329" s="168"/>
      <x:c r="K329" s="168" t="str">
        <x:f>IF(OR(H329="Mastered",J329=""),"",J329+IF(I329&gt;=5,30,IF(I329=4,14,IF(I329=3,7,IF(I329=2,3,1)))))</x:f>
      </x:c>
      <x:c r="L329" s="171" t="str"/>
      <x:c r="M329" s="171" t="str"/>
      <x:c r="N329" s="171" t="str">
        <x:v>Draft — verify in context</x:v>
      </x:c>
      <x:c r="O329" s="167" t="str">
        <x:v>https://www.wgtn.ac.nz/lals/resources/academicwordlist</x:v>
      </x:c>
    </x:row>
    <x:row r="330" ht="26" customHeight="1">
      <x:c r="A330" s="167" t="n">
        <x:v>329</x:v>
      </x:c>
      <x:c r="B330" s="167" t="str">
        <x:v>ignored</x:v>
      </x:c>
      <x:c r="C330" s="170" t="str">
        <x:v>ігнорується</x:v>
      </x:c>
      <x:c r="D330" s="167" t="n">
        <x:v>6</x:v>
      </x:c>
      <x:c r="E330" s="167" t="str">
        <x:v>No</x:v>
      </x:c>
      <x:c r="F330" s="167" t="str">
        <x:v>Medium</x:v>
      </x:c>
      <x:c r="G330" s="167" t="str">
        <x:v>General</x:v>
      </x:c>
      <x:c r="H330" s="167" t="str">
        <x:v>Not Started</x:v>
      </x:c>
      <x:c r="I330" s="167" t="n">
        <x:v>0</x:v>
      </x:c>
      <x:c r="J330" s="168"/>
      <x:c r="K330" s="168" t="str">
        <x:f>IF(OR(H330="Mastered",J330=""),"",J330+IF(I330&gt;=5,30,IF(I330=4,14,IF(I330=3,7,IF(I330=2,3,1)))))</x:f>
      </x:c>
      <x:c r="L330" s="171" t="str"/>
      <x:c r="M330" s="171" t="str"/>
      <x:c r="N330" s="171" t="str">
        <x:v>Draft — verify in context</x:v>
      </x:c>
      <x:c r="O330" s="167" t="str">
        <x:v>https://www.wgtn.ac.nz/lals/resources/academicwordlist</x:v>
      </x:c>
    </x:row>
    <x:row r="331" ht="26" customHeight="1">
      <x:c r="A331" s="167" t="n">
        <x:v>330</x:v>
      </x:c>
      <x:c r="B331" s="167" t="str">
        <x:v>incentive</x:v>
      </x:c>
      <x:c r="C331" s="170" t="str">
        <x:v>стимул</x:v>
      </x:c>
      <x:c r="D331" s="167" t="n">
        <x:v>6</x:v>
      </x:c>
      <x:c r="E331" s="167" t="str">
        <x:v>No</x:v>
      </x:c>
      <x:c r="F331" s="167" t="str">
        <x:v>Medium</x:v>
      </x:c>
      <x:c r="G331" s="167" t="str">
        <x:v>General</x:v>
      </x:c>
      <x:c r="H331" s="167" t="str">
        <x:v>Not Started</x:v>
      </x:c>
      <x:c r="I331" s="167" t="n">
        <x:v>0</x:v>
      </x:c>
      <x:c r="J331" s="168"/>
      <x:c r="K331" s="168" t="str">
        <x:f>IF(OR(H331="Mastered",J331=""),"",J331+IF(I331&gt;=5,30,IF(I331=4,14,IF(I331=3,7,IF(I331=2,3,1)))))</x:f>
      </x:c>
      <x:c r="L331" s="171" t="str"/>
      <x:c r="M331" s="171" t="str"/>
      <x:c r="N331" s="171" t="str">
        <x:v>Draft — verify in context</x:v>
      </x:c>
      <x:c r="O331" s="167" t="str">
        <x:v>https://www.wgtn.ac.nz/lals/resources/academicwordlist</x:v>
      </x:c>
    </x:row>
    <x:row r="332" ht="26" customHeight="1">
      <x:c r="A332" s="167" t="n">
        <x:v>331</x:v>
      </x:c>
      <x:c r="B332" s="167" t="str">
        <x:v>incidence</x:v>
      </x:c>
      <x:c r="C332" s="170" t="str">
        <x:v>захворюваність</x:v>
      </x:c>
      <x:c r="D332" s="167" t="n">
        <x:v>6</x:v>
      </x:c>
      <x:c r="E332" s="167" t="str">
        <x:v>Yes</x:v>
      </x:c>
      <x:c r="F332" s="167" t="str">
        <x:v>Medium</x:v>
      </x:c>
      <x:c r="G332" s="167" t="str">
        <x:v>General</x:v>
      </x:c>
      <x:c r="H332" s="167" t="str">
        <x:v>Not Started</x:v>
      </x:c>
      <x:c r="I332" s="167" t="n">
        <x:v>0</x:v>
      </x:c>
      <x:c r="J332" s="168"/>
      <x:c r="K332" s="168" t="str">
        <x:f>IF(OR(H332="Mastered",J332=""),"",J332+IF(I332&gt;=5,30,IF(I332=4,14,IF(I332=3,7,IF(I332=2,3,1)))))</x:f>
      </x:c>
      <x:c r="L332" s="171" t="str"/>
      <x:c r="M332" s="171" t="str"/>
      <x:c r="N332" s="171" t="str">
        <x:v>Draft — verify in context</x:v>
      </x:c>
      <x:c r="O332" s="167" t="str">
        <x:v>https://www.wgtn.ac.nz/lals/resources/academicwordlist</x:v>
      </x:c>
    </x:row>
    <x:row r="333" ht="26" customHeight="1">
      <x:c r="A333" s="167" t="n">
        <x:v>332</x:v>
      </x:c>
      <x:c r="B333" s="167" t="str">
        <x:v>incorporated</x:v>
      </x:c>
      <x:c r="C333" s="170" t="str">
        <x:v>включені</x:v>
      </x:c>
      <x:c r="D333" s="167" t="n">
        <x:v>6</x:v>
      </x:c>
      <x:c r="E333" s="167" t="str">
        <x:v>No</x:v>
      </x:c>
      <x:c r="F333" s="167" t="str">
        <x:v>Medium</x:v>
      </x:c>
      <x:c r="G333" s="167" t="str">
        <x:v>General</x:v>
      </x:c>
      <x:c r="H333" s="167" t="str">
        <x:v>Not Started</x:v>
      </x:c>
      <x:c r="I333" s="167" t="n">
        <x:v>0</x:v>
      </x:c>
      <x:c r="J333" s="168"/>
      <x:c r="K333" s="168" t="str">
        <x:f>IF(OR(H333="Mastered",J333=""),"",J333+IF(I333&gt;=5,30,IF(I333=4,14,IF(I333=3,7,IF(I333=2,3,1)))))</x:f>
      </x:c>
      <x:c r="L333" s="171" t="str"/>
      <x:c r="M333" s="171" t="str"/>
      <x:c r="N333" s="171" t="str">
        <x:v>Draft — verify in context</x:v>
      </x:c>
      <x:c r="O333" s="167" t="str">
        <x:v>https://www.wgtn.ac.nz/lals/resources/academicwordlist</x:v>
      </x:c>
    </x:row>
    <x:row r="334" ht="26" customHeight="1">
      <x:c r="A334" s="167" t="n">
        <x:v>333</x:v>
      </x:c>
      <x:c r="B334" s="167" t="str">
        <x:v>index</x:v>
      </x:c>
      <x:c r="C334" s="170" t="str">
        <x:v>індекс</x:v>
      </x:c>
      <x:c r="D334" s="167" t="n">
        <x:v>6</x:v>
      </x:c>
      <x:c r="E334" s="167" t="str">
        <x:v>No</x:v>
      </x:c>
      <x:c r="F334" s="167" t="str">
        <x:v>Medium</x:v>
      </x:c>
      <x:c r="G334" s="167" t="str">
        <x:v>General</x:v>
      </x:c>
      <x:c r="H334" s="167" t="str">
        <x:v>Not Started</x:v>
      </x:c>
      <x:c r="I334" s="167" t="n">
        <x:v>0</x:v>
      </x:c>
      <x:c r="J334" s="168"/>
      <x:c r="K334" s="168" t="str">
        <x:f>IF(OR(H334="Mastered",J334=""),"",J334+IF(I334&gt;=5,30,IF(I334=4,14,IF(I334=3,7,IF(I334=2,3,1)))))</x:f>
      </x:c>
      <x:c r="L334" s="171" t="str"/>
      <x:c r="M334" s="171" t="str"/>
      <x:c r="N334" s="171" t="str">
        <x:v>Draft — verify in context</x:v>
      </x:c>
      <x:c r="O334" s="167" t="str">
        <x:v>https://www.wgtn.ac.nz/lals/resources/academicwordlist</x:v>
      </x:c>
    </x:row>
    <x:row r="335" ht="26" customHeight="1">
      <x:c r="A335" s="167" t="n">
        <x:v>334</x:v>
      </x:c>
      <x:c r="B335" s="167" t="str">
        <x:v>inhibition</x:v>
      </x:c>
      <x:c r="C335" s="170" t="str">
        <x:v>гальмування</x:v>
      </x:c>
      <x:c r="D335" s="167" t="n">
        <x:v>6</x:v>
      </x:c>
      <x:c r="E335" s="167" t="str">
        <x:v>No</x:v>
      </x:c>
      <x:c r="F335" s="167" t="str">
        <x:v>Medium</x:v>
      </x:c>
      <x:c r="G335" s="167" t="str">
        <x:v>General</x:v>
      </x:c>
      <x:c r="H335" s="167" t="str">
        <x:v>Not Started</x:v>
      </x:c>
      <x:c r="I335" s="167" t="n">
        <x:v>0</x:v>
      </x:c>
      <x:c r="J335" s="168"/>
      <x:c r="K335" s="168" t="str">
        <x:f>IF(OR(H335="Mastered",J335=""),"",J335+IF(I335&gt;=5,30,IF(I335=4,14,IF(I335=3,7,IF(I335=2,3,1)))))</x:f>
      </x:c>
      <x:c r="L335" s="171" t="str"/>
      <x:c r="M335" s="171" t="str"/>
      <x:c r="N335" s="171" t="str">
        <x:v>Draft — verify in context</x:v>
      </x:c>
      <x:c r="O335" s="167" t="str">
        <x:v>https://www.wgtn.ac.nz/lals/resources/academicwordlist</x:v>
      </x:c>
    </x:row>
    <x:row r="336" ht="26" customHeight="1">
      <x:c r="A336" s="167" t="n">
        <x:v>335</x:v>
      </x:c>
      <x:c r="B336" s="167" t="str">
        <x:v>initiatives</x:v>
      </x:c>
      <x:c r="C336" s="170" t="str">
        <x:v>ініціативи</x:v>
      </x:c>
      <x:c r="D336" s="167" t="n">
        <x:v>6</x:v>
      </x:c>
      <x:c r="E336" s="167" t="str">
        <x:v>No</x:v>
      </x:c>
      <x:c r="F336" s="167" t="str">
        <x:v>Medium</x:v>
      </x:c>
      <x:c r="G336" s="167" t="str">
        <x:v>General</x:v>
      </x:c>
      <x:c r="H336" s="167" t="str">
        <x:v>Not Started</x:v>
      </x:c>
      <x:c r="I336" s="167" t="n">
        <x:v>0</x:v>
      </x:c>
      <x:c r="J336" s="168"/>
      <x:c r="K336" s="168" t="str">
        <x:f>IF(OR(H336="Mastered",J336=""),"",J336+IF(I336&gt;=5,30,IF(I336=4,14,IF(I336=3,7,IF(I336=2,3,1)))))</x:f>
      </x:c>
      <x:c r="L336" s="171" t="str"/>
      <x:c r="M336" s="171" t="str"/>
      <x:c r="N336" s="171" t="str">
        <x:v>Draft — verify in context</x:v>
      </x:c>
      <x:c r="O336" s="167" t="str">
        <x:v>https://www.wgtn.ac.nz/lals/resources/academicwordlist</x:v>
      </x:c>
    </x:row>
    <x:row r="337" ht="26" customHeight="1">
      <x:c r="A337" s="167" t="n">
        <x:v>336</x:v>
      </x:c>
      <x:c r="B337" s="167" t="str">
        <x:v>input</x:v>
      </x:c>
      <x:c r="C337" s="170" t="str">
        <x:v>введення</x:v>
      </x:c>
      <x:c r="D337" s="167" t="n">
        <x:v>6</x:v>
      </x:c>
      <x:c r="E337" s="167" t="str">
        <x:v>No</x:v>
      </x:c>
      <x:c r="F337" s="167" t="str">
        <x:v>Medium</x:v>
      </x:c>
      <x:c r="G337" s="167" t="str">
        <x:v>General</x:v>
      </x:c>
      <x:c r="H337" s="167" t="str">
        <x:v>Not Started</x:v>
      </x:c>
      <x:c r="I337" s="167" t="n">
        <x:v>0</x:v>
      </x:c>
      <x:c r="J337" s="168"/>
      <x:c r="K337" s="168" t="str">
        <x:f>IF(OR(H337="Mastered",J337=""),"",J337+IF(I337&gt;=5,30,IF(I337=4,14,IF(I337=3,7,IF(I337=2,3,1)))))</x:f>
      </x:c>
      <x:c r="L337" s="171" t="str"/>
      <x:c r="M337" s="171" t="str"/>
      <x:c r="N337" s="171" t="str">
        <x:v>Draft — verify in context</x:v>
      </x:c>
      <x:c r="O337" s="167" t="str">
        <x:v>https://www.wgtn.ac.nz/lals/resources/academicwordlist</x:v>
      </x:c>
    </x:row>
    <x:row r="338" ht="26" customHeight="1">
      <x:c r="A338" s="167" t="n">
        <x:v>337</x:v>
      </x:c>
      <x:c r="B338" s="167" t="str">
        <x:v>instructions</x:v>
      </x:c>
      <x:c r="C338" s="170" t="str">
        <x:v>інструкції</x:v>
      </x:c>
      <x:c r="D338" s="167" t="n">
        <x:v>6</x:v>
      </x:c>
      <x:c r="E338" s="167" t="str">
        <x:v>No</x:v>
      </x:c>
      <x:c r="F338" s="167" t="str">
        <x:v>Medium</x:v>
      </x:c>
      <x:c r="G338" s="167" t="str">
        <x:v>General</x:v>
      </x:c>
      <x:c r="H338" s="167" t="str">
        <x:v>Not Started</x:v>
      </x:c>
      <x:c r="I338" s="167" t="n">
        <x:v>0</x:v>
      </x:c>
      <x:c r="J338" s="168"/>
      <x:c r="K338" s="168" t="str">
        <x:f>IF(OR(H338="Mastered",J338=""),"",J338+IF(I338&gt;=5,30,IF(I338=4,14,IF(I338=3,7,IF(I338=2,3,1)))))</x:f>
      </x:c>
      <x:c r="L338" s="171" t="str"/>
      <x:c r="M338" s="171" t="str"/>
      <x:c r="N338" s="171" t="str">
        <x:v>Draft — verify in context</x:v>
      </x:c>
      <x:c r="O338" s="167" t="str">
        <x:v>https://www.wgtn.ac.nz/lals/resources/academicwordlist</x:v>
      </x:c>
    </x:row>
    <x:row r="339" ht="26" customHeight="1">
      <x:c r="A339" s="167" t="n">
        <x:v>338</x:v>
      </x:c>
      <x:c r="B339" s="167" t="str">
        <x:v>intelligence</x:v>
      </x:c>
      <x:c r="C339" s="170" t="str">
        <x:v>інтелект</x:v>
      </x:c>
      <x:c r="D339" s="167" t="n">
        <x:v>6</x:v>
      </x:c>
      <x:c r="E339" s="167" t="str">
        <x:v>No</x:v>
      </x:c>
      <x:c r="F339" s="167" t="str">
        <x:v>Medium</x:v>
      </x:c>
      <x:c r="G339" s="167" t="str">
        <x:v>General</x:v>
      </x:c>
      <x:c r="H339" s="167" t="str">
        <x:v>Not Started</x:v>
      </x:c>
      <x:c r="I339" s="167" t="n">
        <x:v>0</x:v>
      </x:c>
      <x:c r="J339" s="168"/>
      <x:c r="K339" s="168" t="str">
        <x:f>IF(OR(H339="Mastered",J339=""),"",J339+IF(I339&gt;=5,30,IF(I339=4,14,IF(I339=3,7,IF(I339=2,3,1)))))</x:f>
      </x:c>
      <x:c r="L339" s="171" t="str"/>
      <x:c r="M339" s="171" t="str"/>
      <x:c r="N339" s="171" t="str">
        <x:v>Draft — verify in context</x:v>
      </x:c>
      <x:c r="O339" s="167" t="str">
        <x:v>https://www.wgtn.ac.nz/lals/resources/academicwordlist</x:v>
      </x:c>
    </x:row>
    <x:row r="340" ht="26" customHeight="1">
      <x:c r="A340" s="167" t="n">
        <x:v>339</x:v>
      </x:c>
      <x:c r="B340" s="167" t="str">
        <x:v>interval</x:v>
      </x:c>
      <x:c r="C340" s="170" t="str">
        <x:v>інтервал</x:v>
      </x:c>
      <x:c r="D340" s="167" t="n">
        <x:v>6</x:v>
      </x:c>
      <x:c r="E340" s="167" t="str">
        <x:v>No</x:v>
      </x:c>
      <x:c r="F340" s="167" t="str">
        <x:v>Medium</x:v>
      </x:c>
      <x:c r="G340" s="167" t="str">
        <x:v>General</x:v>
      </x:c>
      <x:c r="H340" s="167" t="str">
        <x:v>Not Started</x:v>
      </x:c>
      <x:c r="I340" s="167" t="n">
        <x:v>0</x:v>
      </x:c>
      <x:c r="J340" s="168"/>
      <x:c r="K340" s="168" t="str">
        <x:f>IF(OR(H340="Mastered",J340=""),"",J340+IF(I340&gt;=5,30,IF(I340=4,14,IF(I340=3,7,IF(I340=2,3,1)))))</x:f>
      </x:c>
      <x:c r="L340" s="171" t="str"/>
      <x:c r="M340" s="171" t="str"/>
      <x:c r="N340" s="171" t="str">
        <x:v>Draft — verify in context</x:v>
      </x:c>
      <x:c r="O340" s="167" t="str">
        <x:v>https://www.wgtn.ac.nz/lals/resources/academicwordlist</x:v>
      </x:c>
    </x:row>
    <x:row r="341" ht="26" customHeight="1">
      <x:c r="A341" s="167" t="n">
        <x:v>340</x:v>
      </x:c>
      <x:c r="B341" s="167" t="str">
        <x:v>lecture</x:v>
      </x:c>
      <x:c r="C341" s="170" t="str">
        <x:v>лекція</x:v>
      </x:c>
      <x:c r="D341" s="167" t="n">
        <x:v>6</x:v>
      </x:c>
      <x:c r="E341" s="167" t="str">
        <x:v>No</x:v>
      </x:c>
      <x:c r="F341" s="167" t="str">
        <x:v>Medium</x:v>
      </x:c>
      <x:c r="G341" s="167" t="str">
        <x:v>General</x:v>
      </x:c>
      <x:c r="H341" s="167" t="str">
        <x:v>Not Started</x:v>
      </x:c>
      <x:c r="I341" s="167" t="n">
        <x:v>0</x:v>
      </x:c>
      <x:c r="J341" s="168"/>
      <x:c r="K341" s="168" t="str">
        <x:f>IF(OR(H341="Mastered",J341=""),"",J341+IF(I341&gt;=5,30,IF(I341=4,14,IF(I341=3,7,IF(I341=2,3,1)))))</x:f>
      </x:c>
      <x:c r="L341" s="171" t="str"/>
      <x:c r="M341" s="171" t="str"/>
      <x:c r="N341" s="171" t="str">
        <x:v>Draft — verify in context</x:v>
      </x:c>
      <x:c r="O341" s="167" t="str">
        <x:v>https://www.wgtn.ac.nz/lals/resources/academicwordlist</x:v>
      </x:c>
    </x:row>
    <x:row r="342" ht="26" customHeight="1">
      <x:c r="A342" s="167" t="n">
        <x:v>341</x:v>
      </x:c>
      <x:c r="B342" s="167" t="str">
        <x:v>migration</x:v>
      </x:c>
      <x:c r="C342" s="170" t="str">
        <x:v>міграція</x:v>
      </x:c>
      <x:c r="D342" s="167" t="n">
        <x:v>6</x:v>
      </x:c>
      <x:c r="E342" s="167" t="str">
        <x:v>Yes</x:v>
      </x:c>
      <x:c r="F342" s="167" t="str">
        <x:v>Medium</x:v>
      </x:c>
      <x:c r="G342" s="167" t="str">
        <x:v>Society &amp; culture</x:v>
      </x:c>
      <x:c r="H342" s="167" t="str">
        <x:v>Not Started</x:v>
      </x:c>
      <x:c r="I342" s="167" t="n">
        <x:v>0</x:v>
      </x:c>
      <x:c r="J342" s="168"/>
      <x:c r="K342" s="168" t="str">
        <x:f>IF(OR(H342="Mastered",J342=""),"",J342+IF(I342&gt;=5,30,IF(I342=4,14,IF(I342=3,7,IF(I342=2,3,1)))))</x:f>
      </x:c>
      <x:c r="L342" s="171" t="str"/>
      <x:c r="M342" s="171" t="str"/>
      <x:c r="N342" s="171" t="str">
        <x:v>Draft — verify in context</x:v>
      </x:c>
      <x:c r="O342" s="167" t="str">
        <x:v>https://www.wgtn.ac.nz/lals/resources/academicwordlist</x:v>
      </x:c>
    </x:row>
    <x:row r="343" ht="26" customHeight="1">
      <x:c r="A343" s="167" t="n">
        <x:v>342</x:v>
      </x:c>
      <x:c r="B343" s="167" t="str">
        <x:v>minimum</x:v>
      </x:c>
      <x:c r="C343" s="170" t="str">
        <x:v>мінімум</x:v>
      </x:c>
      <x:c r="D343" s="167" t="n">
        <x:v>6</x:v>
      </x:c>
      <x:c r="E343" s="167" t="str">
        <x:v>No</x:v>
      </x:c>
      <x:c r="F343" s="167" t="str">
        <x:v>Medium</x:v>
      </x:c>
      <x:c r="G343" s="167" t="str">
        <x:v>General</x:v>
      </x:c>
      <x:c r="H343" s="167" t="str">
        <x:v>Not Started</x:v>
      </x:c>
      <x:c r="I343" s="167" t="n">
        <x:v>0</x:v>
      </x:c>
      <x:c r="J343" s="168"/>
      <x:c r="K343" s="168" t="str">
        <x:f>IF(OR(H343="Mastered",J343=""),"",J343+IF(I343&gt;=5,30,IF(I343=4,14,IF(I343=3,7,IF(I343=2,3,1)))))</x:f>
      </x:c>
      <x:c r="L343" s="171" t="str"/>
      <x:c r="M343" s="171" t="str"/>
      <x:c r="N343" s="171" t="str">
        <x:v>Draft — verify in context</x:v>
      </x:c>
      <x:c r="O343" s="167" t="str">
        <x:v>https://www.wgtn.ac.nz/lals/resources/academicwordlist</x:v>
      </x:c>
    </x:row>
    <x:row r="344" ht="26" customHeight="1">
      <x:c r="A344" s="167" t="n">
        <x:v>343</x:v>
      </x:c>
      <x:c r="B344" s="167" t="str">
        <x:v>ministry</x:v>
      </x:c>
      <x:c r="C344" s="170" t="str">
        <x:v>міністерство</x:v>
      </x:c>
      <x:c r="D344" s="167" t="n">
        <x:v>6</x:v>
      </x:c>
      <x:c r="E344" s="167" t="str">
        <x:v>Yes</x:v>
      </x:c>
      <x:c r="F344" s="167" t="str">
        <x:v>Medium</x:v>
      </x:c>
      <x:c r="G344" s="167" t="str">
        <x:v>General</x:v>
      </x:c>
      <x:c r="H344" s="167" t="str">
        <x:v>Not Started</x:v>
      </x:c>
      <x:c r="I344" s="167" t="n">
        <x:v>0</x:v>
      </x:c>
      <x:c r="J344" s="168"/>
      <x:c r="K344" s="168" t="str">
        <x:f>IF(OR(H344="Mastered",J344=""),"",J344+IF(I344&gt;=5,30,IF(I344=4,14,IF(I344=3,7,IF(I344=2,3,1)))))</x:f>
      </x:c>
      <x:c r="L344" s="171" t="str"/>
      <x:c r="M344" s="171" t="str"/>
      <x:c r="N344" s="171" t="str">
        <x:v>Draft — verify in context</x:v>
      </x:c>
      <x:c r="O344" s="167" t="str">
        <x:v>https://www.wgtn.ac.nz/lals/resources/academicwordlist</x:v>
      </x:c>
    </x:row>
    <x:row r="345" ht="26" customHeight="1">
      <x:c r="A345" s="167" t="n">
        <x:v>344</x:v>
      </x:c>
      <x:c r="B345" s="167" t="str">
        <x:v>motivation</x:v>
      </x:c>
      <x:c r="C345" s="170" t="str">
        <x:v>мотивація</x:v>
      </x:c>
      <x:c r="D345" s="167" t="n">
        <x:v>6</x:v>
      </x:c>
      <x:c r="E345" s="167" t="str">
        <x:v>No</x:v>
      </x:c>
      <x:c r="F345" s="167" t="str">
        <x:v>Medium</x:v>
      </x:c>
      <x:c r="G345" s="167" t="str">
        <x:v>General</x:v>
      </x:c>
      <x:c r="H345" s="167" t="str">
        <x:v>Not Started</x:v>
      </x:c>
      <x:c r="I345" s="167" t="n">
        <x:v>0</x:v>
      </x:c>
      <x:c r="J345" s="168"/>
      <x:c r="K345" s="168" t="str">
        <x:f>IF(OR(H345="Mastered",J345=""),"",J345+IF(I345&gt;=5,30,IF(I345=4,14,IF(I345=3,7,IF(I345=2,3,1)))))</x:f>
      </x:c>
      <x:c r="L345" s="171" t="str"/>
      <x:c r="M345" s="171" t="str"/>
      <x:c r="N345" s="171" t="str">
        <x:v>Draft — verify in context</x:v>
      </x:c>
      <x:c r="O345" s="167" t="str">
        <x:v>https://www.wgtn.ac.nz/lals/resources/academicwordlist</x:v>
      </x:c>
    </x:row>
    <x:row r="346" ht="26" customHeight="1">
      <x:c r="A346" s="167" t="n">
        <x:v>345</x:v>
      </x:c>
      <x:c r="B346" s="167" t="str">
        <x:v>neutral</x:v>
      </x:c>
      <x:c r="C346" s="170" t="str">
        <x:v>нейтральний</x:v>
      </x:c>
      <x:c r="D346" s="167" t="n">
        <x:v>6</x:v>
      </x:c>
      <x:c r="E346" s="167" t="str">
        <x:v>No</x:v>
      </x:c>
      <x:c r="F346" s="167" t="str">
        <x:v>Medium</x:v>
      </x:c>
      <x:c r="G346" s="167" t="str">
        <x:v>General</x:v>
      </x:c>
      <x:c r="H346" s="167" t="str">
        <x:v>Not Started</x:v>
      </x:c>
      <x:c r="I346" s="167" t="n">
        <x:v>0</x:v>
      </x:c>
      <x:c r="J346" s="168"/>
      <x:c r="K346" s="168" t="str">
        <x:f>IF(OR(H346="Mastered",J346=""),"",J346+IF(I346&gt;=5,30,IF(I346=4,14,IF(I346=3,7,IF(I346=2,3,1)))))</x:f>
      </x:c>
      <x:c r="L346" s="171" t="str"/>
      <x:c r="M346" s="171" t="str"/>
      <x:c r="N346" s="171" t="str">
        <x:v>Draft — verify in context</x:v>
      </x:c>
      <x:c r="O346" s="167" t="str">
        <x:v>https://www.wgtn.ac.nz/lals/resources/academicwordlist</x:v>
      </x:c>
    </x:row>
    <x:row r="347" ht="26" customHeight="1">
      <x:c r="A347" s="167" t="n">
        <x:v>346</x:v>
      </x:c>
      <x:c r="B347" s="167" t="str">
        <x:v>nevertheless</x:v>
      </x:c>
      <x:c r="C347" s="170" t="str">
        <x:v>тим не менш</x:v>
      </x:c>
      <x:c r="D347" s="167" t="n">
        <x:v>6</x:v>
      </x:c>
      <x:c r="E347" s="167" t="str">
        <x:v>No</x:v>
      </x:c>
      <x:c r="F347" s="167" t="str">
        <x:v>Medium</x:v>
      </x:c>
      <x:c r="G347" s="167" t="str">
        <x:v>General</x:v>
      </x:c>
      <x:c r="H347" s="167" t="str">
        <x:v>Not Started</x:v>
      </x:c>
      <x:c r="I347" s="167" t="n">
        <x:v>0</x:v>
      </x:c>
      <x:c r="J347" s="168"/>
      <x:c r="K347" s="168" t="str">
        <x:f>IF(OR(H347="Mastered",J347=""),"",J347+IF(I347&gt;=5,30,IF(I347=4,14,IF(I347=3,7,IF(I347=2,3,1)))))</x:f>
      </x:c>
      <x:c r="L347" s="171" t="str"/>
      <x:c r="M347" s="171" t="str"/>
      <x:c r="N347" s="171" t="str">
        <x:v>Draft — verify in context</x:v>
      </x:c>
      <x:c r="O347" s="167" t="str">
        <x:v>https://www.wgtn.ac.nz/lals/resources/academicwordlist</x:v>
      </x:c>
    </x:row>
    <x:row r="348" ht="26" customHeight="1">
      <x:c r="A348" s="167" t="n">
        <x:v>347</x:v>
      </x:c>
      <x:c r="B348" s="167" t="str">
        <x:v>overseas</x:v>
      </x:c>
      <x:c r="C348" s="170" t="str">
        <x:v>за кордоном</x:v>
      </x:c>
      <x:c r="D348" s="167" t="n">
        <x:v>6</x:v>
      </x:c>
      <x:c r="E348" s="167" t="str">
        <x:v>No</x:v>
      </x:c>
      <x:c r="F348" s="167" t="str">
        <x:v>Medium</x:v>
      </x:c>
      <x:c r="G348" s="167" t="str">
        <x:v>General</x:v>
      </x:c>
      <x:c r="H348" s="167" t="str">
        <x:v>Not Started</x:v>
      </x:c>
      <x:c r="I348" s="167" t="n">
        <x:v>0</x:v>
      </x:c>
      <x:c r="J348" s="168"/>
      <x:c r="K348" s="168" t="str">
        <x:f>IF(OR(H348="Mastered",J348=""),"",J348+IF(I348&gt;=5,30,IF(I348=4,14,IF(I348=3,7,IF(I348=2,3,1)))))</x:f>
      </x:c>
      <x:c r="L348" s="171" t="str"/>
      <x:c r="M348" s="171" t="str"/>
      <x:c r="N348" s="171" t="str">
        <x:v>Draft — verify in context</x:v>
      </x:c>
      <x:c r="O348" s="167" t="str">
        <x:v>https://www.wgtn.ac.nz/lals/resources/academicwordlist</x:v>
      </x:c>
    </x:row>
    <x:row r="349" ht="26" customHeight="1">
      <x:c r="A349" s="167" t="n">
        <x:v>348</x:v>
      </x:c>
      <x:c r="B349" s="167" t="str">
        <x:v>preceding</x:v>
      </x:c>
      <x:c r="C349" s="170" t="str">
        <x:v>попередній</x:v>
      </x:c>
      <x:c r="D349" s="167" t="n">
        <x:v>6</x:v>
      </x:c>
      <x:c r="E349" s="167" t="str">
        <x:v>No</x:v>
      </x:c>
      <x:c r="F349" s="167" t="str">
        <x:v>Medium</x:v>
      </x:c>
      <x:c r="G349" s="167" t="str">
        <x:v>General</x:v>
      </x:c>
      <x:c r="H349" s="167" t="str">
        <x:v>Not Started</x:v>
      </x:c>
      <x:c r="I349" s="167" t="n">
        <x:v>0</x:v>
      </x:c>
      <x:c r="J349" s="168"/>
      <x:c r="K349" s="168" t="str">
        <x:f>IF(OR(H349="Mastered",J349=""),"",J349+IF(I349&gt;=5,30,IF(I349=4,14,IF(I349=3,7,IF(I349=2,3,1)))))</x:f>
      </x:c>
      <x:c r="L349" s="171" t="str"/>
      <x:c r="M349" s="171" t="str"/>
      <x:c r="N349" s="171" t="str">
        <x:v>Draft — verify in context</x:v>
      </x:c>
      <x:c r="O349" s="167" t="str">
        <x:v>https://www.wgtn.ac.nz/lals/resources/academicwordlist</x:v>
      </x:c>
    </x:row>
    <x:row r="350" ht="26" customHeight="1">
      <x:c r="A350" s="167" t="n">
        <x:v>349</x:v>
      </x:c>
      <x:c r="B350" s="167" t="str">
        <x:v>presumption</x:v>
      </x:c>
      <x:c r="C350" s="170" t="str">
        <x:v>презумпція</x:v>
      </x:c>
      <x:c r="D350" s="167" t="n">
        <x:v>6</x:v>
      </x:c>
      <x:c r="E350" s="167" t="str">
        <x:v>No</x:v>
      </x:c>
      <x:c r="F350" s="167" t="str">
        <x:v>Medium</x:v>
      </x:c>
      <x:c r="G350" s="167" t="str">
        <x:v>General</x:v>
      </x:c>
      <x:c r="H350" s="167" t="str">
        <x:v>Not Started</x:v>
      </x:c>
      <x:c r="I350" s="167" t="n">
        <x:v>0</x:v>
      </x:c>
      <x:c r="J350" s="168"/>
      <x:c r="K350" s="168" t="str">
        <x:f>IF(OR(H350="Mastered",J350=""),"",J350+IF(I350&gt;=5,30,IF(I350=4,14,IF(I350=3,7,IF(I350=2,3,1)))))</x:f>
      </x:c>
      <x:c r="L350" s="171" t="str"/>
      <x:c r="M350" s="171" t="str"/>
      <x:c r="N350" s="171" t="str">
        <x:v>Draft — verify in context</x:v>
      </x:c>
      <x:c r="O350" s="167" t="str">
        <x:v>https://www.wgtn.ac.nz/lals/resources/academicwordlist</x:v>
      </x:c>
    </x:row>
    <x:row r="351" ht="26" customHeight="1">
      <x:c r="A351" s="167" t="n">
        <x:v>350</x:v>
      </x:c>
      <x:c r="B351" s="167" t="str">
        <x:v>rational</x:v>
      </x:c>
      <x:c r="C351" s="170" t="str">
        <x:v>раціональний</x:v>
      </x:c>
      <x:c r="D351" s="167" t="n">
        <x:v>6</x:v>
      </x:c>
      <x:c r="E351" s="167" t="str">
        <x:v>Yes</x:v>
      </x:c>
      <x:c r="F351" s="167" t="str">
        <x:v>Medium</x:v>
      </x:c>
      <x:c r="G351" s="167" t="str">
        <x:v>General</x:v>
      </x:c>
      <x:c r="H351" s="167" t="str">
        <x:v>Not Started</x:v>
      </x:c>
      <x:c r="I351" s="167" t="n">
        <x:v>0</x:v>
      </x:c>
      <x:c r="J351" s="168"/>
      <x:c r="K351" s="168" t="str">
        <x:f>IF(OR(H351="Mastered",J351=""),"",J351+IF(I351&gt;=5,30,IF(I351=4,14,IF(I351=3,7,IF(I351=2,3,1)))))</x:f>
      </x:c>
      <x:c r="L351" s="171" t="str"/>
      <x:c r="M351" s="171" t="str"/>
      <x:c r="N351" s="171" t="str">
        <x:v>Draft — verify in context</x:v>
      </x:c>
      <x:c r="O351" s="167" t="str">
        <x:v>https://www.wgtn.ac.nz/lals/resources/academicwordlist</x:v>
      </x:c>
    </x:row>
    <x:row r="352" ht="26" customHeight="1">
      <x:c r="A352" s="167" t="n">
        <x:v>351</x:v>
      </x:c>
      <x:c r="B352" s="167" t="str">
        <x:v>recovery</x:v>
      </x:c>
      <x:c r="C352" s="170" t="str">
        <x:v>відновлення</x:v>
      </x:c>
      <x:c r="D352" s="167" t="n">
        <x:v>6</x:v>
      </x:c>
      <x:c r="E352" s="167" t="str">
        <x:v>No</x:v>
      </x:c>
      <x:c r="F352" s="167" t="str">
        <x:v>Medium</x:v>
      </x:c>
      <x:c r="G352" s="167" t="str">
        <x:v>General</x:v>
      </x:c>
      <x:c r="H352" s="167" t="str">
        <x:v>Not Started</x:v>
      </x:c>
      <x:c r="I352" s="167" t="n">
        <x:v>0</x:v>
      </x:c>
      <x:c r="J352" s="168"/>
      <x:c r="K352" s="168" t="str">
        <x:f>IF(OR(H352="Mastered",J352=""),"",J352+IF(I352&gt;=5,30,IF(I352=4,14,IF(I352=3,7,IF(I352=2,3,1)))))</x:f>
      </x:c>
      <x:c r="L352" s="171" t="str"/>
      <x:c r="M352" s="171" t="str"/>
      <x:c r="N352" s="171" t="str">
        <x:v>Draft — verify in context</x:v>
      </x:c>
      <x:c r="O352" s="167" t="str">
        <x:v>https://www.wgtn.ac.nz/lals/resources/academicwordlist</x:v>
      </x:c>
    </x:row>
    <x:row r="353" ht="26" customHeight="1">
      <x:c r="A353" s="167" t="n">
        <x:v>352</x:v>
      </x:c>
      <x:c r="B353" s="167" t="str">
        <x:v>revealed</x:v>
      </x:c>
      <x:c r="C353" s="170" t="str">
        <x:v>виявлено</x:v>
      </x:c>
      <x:c r="D353" s="167" t="n">
        <x:v>6</x:v>
      </x:c>
      <x:c r="E353" s="167" t="str">
        <x:v>No</x:v>
      </x:c>
      <x:c r="F353" s="167" t="str">
        <x:v>Medium</x:v>
      </x:c>
      <x:c r="G353" s="167" t="str">
        <x:v>General</x:v>
      </x:c>
      <x:c r="H353" s="167" t="str">
        <x:v>Not Started</x:v>
      </x:c>
      <x:c r="I353" s="167" t="n">
        <x:v>0</x:v>
      </x:c>
      <x:c r="J353" s="168"/>
      <x:c r="K353" s="168" t="str">
        <x:f>IF(OR(H353="Mastered",J353=""),"",J353+IF(I353&gt;=5,30,IF(I353=4,14,IF(I353=3,7,IF(I353=2,3,1)))))</x:f>
      </x:c>
      <x:c r="L353" s="171" t="str"/>
      <x:c r="M353" s="171" t="str"/>
      <x:c r="N353" s="171" t="str">
        <x:v>Draft — verify in context</x:v>
      </x:c>
      <x:c r="O353" s="167" t="str">
        <x:v>https://www.wgtn.ac.nz/lals/resources/academicwordlist</x:v>
      </x:c>
    </x:row>
    <x:row r="354" ht="26" customHeight="1">
      <x:c r="A354" s="167" t="n">
        <x:v>353</x:v>
      </x:c>
      <x:c r="B354" s="167" t="str">
        <x:v>scope</x:v>
      </x:c>
      <x:c r="C354" s="170" t="str">
        <x:v>сфера застосування</x:v>
      </x:c>
      <x:c r="D354" s="167" t="n">
        <x:v>6</x:v>
      </x:c>
      <x:c r="E354" s="167" t="str">
        <x:v>Yes</x:v>
      </x:c>
      <x:c r="F354" s="167" t="str">
        <x:v>Medium</x:v>
      </x:c>
      <x:c r="G354" s="167" t="str">
        <x:v>General</x:v>
      </x:c>
      <x:c r="H354" s="167" t="str">
        <x:v>Not Started</x:v>
      </x:c>
      <x:c r="I354" s="167" t="n">
        <x:v>0</x:v>
      </x:c>
      <x:c r="J354" s="168"/>
      <x:c r="K354" s="168" t="str">
        <x:f>IF(OR(H354="Mastered",J354=""),"",J354+IF(I354&gt;=5,30,IF(I354=4,14,IF(I354=3,7,IF(I354=2,3,1)))))</x:f>
      </x:c>
      <x:c r="L354" s="171" t="str"/>
      <x:c r="M354" s="171" t="str"/>
      <x:c r="N354" s="171" t="str">
        <x:v>Draft — verify in context</x:v>
      </x:c>
      <x:c r="O354" s="167" t="str">
        <x:v>https://www.wgtn.ac.nz/lals/resources/academicwordlist</x:v>
      </x:c>
    </x:row>
    <x:row r="355" ht="26" customHeight="1">
      <x:c r="A355" s="167" t="n">
        <x:v>354</x:v>
      </x:c>
      <x:c r="B355" s="167" t="str">
        <x:v>subsidiary</x:v>
      </x:c>
      <x:c r="C355" s="170" t="str">
        <x:v>дочірнє підприємство</x:v>
      </x:c>
      <x:c r="D355" s="167" t="n">
        <x:v>6</x:v>
      </x:c>
      <x:c r="E355" s="167" t="str">
        <x:v>No</x:v>
      </x:c>
      <x:c r="F355" s="167" t="str">
        <x:v>Medium</x:v>
      </x:c>
      <x:c r="G355" s="167" t="str">
        <x:v>General</x:v>
      </x:c>
      <x:c r="H355" s="167" t="str">
        <x:v>Not Started</x:v>
      </x:c>
      <x:c r="I355" s="167" t="n">
        <x:v>0</x:v>
      </x:c>
      <x:c r="J355" s="168"/>
      <x:c r="K355" s="168" t="str">
        <x:f>IF(OR(H355="Mastered",J355=""),"",J355+IF(I355&gt;=5,30,IF(I355=4,14,IF(I355=3,7,IF(I355=2,3,1)))))</x:f>
      </x:c>
      <x:c r="L355" s="171" t="str"/>
      <x:c r="M355" s="171" t="str"/>
      <x:c r="N355" s="171" t="str">
        <x:v>Draft — verify in context</x:v>
      </x:c>
      <x:c r="O355" s="167" t="str">
        <x:v>https://www.wgtn.ac.nz/lals/resources/academicwordlist</x:v>
      </x:c>
    </x:row>
    <x:row r="356" ht="26" customHeight="1">
      <x:c r="A356" s="167" t="n">
        <x:v>355</x:v>
      </x:c>
      <x:c r="B356" s="167" t="str">
        <x:v>tapes</x:v>
      </x:c>
      <x:c r="C356" s="170" t="str">
        <x:v>стрічки</x:v>
      </x:c>
      <x:c r="D356" s="167" t="n">
        <x:v>6</x:v>
      </x:c>
      <x:c r="E356" s="167" t="str">
        <x:v>No</x:v>
      </x:c>
      <x:c r="F356" s="167" t="str">
        <x:v>Medium</x:v>
      </x:c>
      <x:c r="G356" s="167" t="str">
        <x:v>General</x:v>
      </x:c>
      <x:c r="H356" s="167" t="str">
        <x:v>Not Started</x:v>
      </x:c>
      <x:c r="I356" s="167" t="n">
        <x:v>0</x:v>
      </x:c>
      <x:c r="J356" s="168"/>
      <x:c r="K356" s="168" t="str">
        <x:f>IF(OR(H356="Mastered",J356=""),"",J356+IF(I356&gt;=5,30,IF(I356=4,14,IF(I356=3,7,IF(I356=2,3,1)))))</x:f>
      </x:c>
      <x:c r="L356" s="171" t="str"/>
      <x:c r="M356" s="171" t="str"/>
      <x:c r="N356" s="171" t="str">
        <x:v>Draft — verify in context</x:v>
      </x:c>
      <x:c r="O356" s="167" t="str">
        <x:v>https://www.wgtn.ac.nz/lals/resources/academicwordlist</x:v>
      </x:c>
    </x:row>
    <x:row r="357" ht="26" customHeight="1">
      <x:c r="A357" s="167" t="n">
        <x:v>356</x:v>
      </x:c>
      <x:c r="B357" s="167" t="str">
        <x:v>trace</x:v>
      </x:c>
      <x:c r="C357" s="170" t="str">
        <x:v>слід</x:v>
      </x:c>
      <x:c r="D357" s="167" t="n">
        <x:v>6</x:v>
      </x:c>
      <x:c r="E357" s="167" t="str">
        <x:v>Yes</x:v>
      </x:c>
      <x:c r="F357" s="167" t="str">
        <x:v>Medium</x:v>
      </x:c>
      <x:c r="G357" s="167" t="str">
        <x:v>General</x:v>
      </x:c>
      <x:c r="H357" s="167" t="str">
        <x:v>Not Started</x:v>
      </x:c>
      <x:c r="I357" s="167" t="n">
        <x:v>0</x:v>
      </x:c>
      <x:c r="J357" s="168"/>
      <x:c r="K357" s="168" t="str">
        <x:f>IF(OR(H357="Mastered",J357=""),"",J357+IF(I357&gt;=5,30,IF(I357=4,14,IF(I357=3,7,IF(I357=2,3,1)))))</x:f>
      </x:c>
      <x:c r="L357" s="171" t="str"/>
      <x:c r="M357" s="171" t="str"/>
      <x:c r="N357" s="171" t="str">
        <x:v>Draft — verify in context</x:v>
      </x:c>
      <x:c r="O357" s="167" t="str">
        <x:v>https://www.wgtn.ac.nz/lals/resources/academicwordlist</x:v>
      </x:c>
    </x:row>
    <x:row r="358" ht="26" customHeight="1">
      <x:c r="A358" s="167" t="n">
        <x:v>357</x:v>
      </x:c>
      <x:c r="B358" s="167" t="str">
        <x:v>transformation</x:v>
      </x:c>
      <x:c r="C358" s="170" t="str">
        <x:v>перетворення</x:v>
      </x:c>
      <x:c r="D358" s="167" t="n">
        <x:v>6</x:v>
      </x:c>
      <x:c r="E358" s="167" t="str">
        <x:v>Yes</x:v>
      </x:c>
      <x:c r="F358" s="167" t="str">
        <x:v>Medium</x:v>
      </x:c>
      <x:c r="G358" s="167" t="str">
        <x:v>General</x:v>
      </x:c>
      <x:c r="H358" s="167" t="str">
        <x:v>Not Started</x:v>
      </x:c>
      <x:c r="I358" s="167" t="n">
        <x:v>0</x:v>
      </x:c>
      <x:c r="J358" s="168"/>
      <x:c r="K358" s="168" t="str">
        <x:f>IF(OR(H358="Mastered",J358=""),"",J358+IF(I358&gt;=5,30,IF(I358=4,14,IF(I358=3,7,IF(I358=2,3,1)))))</x:f>
      </x:c>
      <x:c r="L358" s="171" t="str"/>
      <x:c r="M358" s="171" t="str"/>
      <x:c r="N358" s="171" t="str">
        <x:v>Draft — verify in context</x:v>
      </x:c>
      <x:c r="O358" s="167" t="str">
        <x:v>https://www.wgtn.ac.nz/lals/resources/academicwordlist</x:v>
      </x:c>
    </x:row>
    <x:row r="359" ht="26" customHeight="1">
      <x:c r="A359" s="167" t="n">
        <x:v>358</x:v>
      </x:c>
      <x:c r="B359" s="167" t="str">
        <x:v>transport</x:v>
      </x:c>
      <x:c r="C359" s="170" t="str">
        <x:v>транспорт</x:v>
      </x:c>
      <x:c r="D359" s="167" t="n">
        <x:v>6</x:v>
      </x:c>
      <x:c r="E359" s="167" t="str">
        <x:v>No</x:v>
      </x:c>
      <x:c r="F359" s="167" t="str">
        <x:v>Medium</x:v>
      </x:c>
      <x:c r="G359" s="167" t="str">
        <x:v>General</x:v>
      </x:c>
      <x:c r="H359" s="167" t="str">
        <x:v>Not Started</x:v>
      </x:c>
      <x:c r="I359" s="167" t="n">
        <x:v>0</x:v>
      </x:c>
      <x:c r="J359" s="168"/>
      <x:c r="K359" s="168" t="str">
        <x:f>IF(OR(H359="Mastered",J359=""),"",J359+IF(I359&gt;=5,30,IF(I359=4,14,IF(I359=3,7,IF(I359=2,3,1)))))</x:f>
      </x:c>
      <x:c r="L359" s="171" t="str"/>
      <x:c r="M359" s="171" t="str"/>
      <x:c r="N359" s="171" t="str">
        <x:v>Draft — verify in context</x:v>
      </x:c>
      <x:c r="O359" s="167" t="str">
        <x:v>https://www.wgtn.ac.nz/lals/resources/academicwordlist</x:v>
      </x:c>
    </x:row>
    <x:row r="360" ht="26" customHeight="1">
      <x:c r="A360" s="167" t="n">
        <x:v>359</x:v>
      </x:c>
      <x:c r="B360" s="167" t="str">
        <x:v>underlying</x:v>
      </x:c>
      <x:c r="C360" s="170" t="str">
        <x:v>лежить в основі</x:v>
      </x:c>
      <x:c r="D360" s="167" t="n">
        <x:v>6</x:v>
      </x:c>
      <x:c r="E360" s="167" t="str">
        <x:v>Yes</x:v>
      </x:c>
      <x:c r="F360" s="167" t="str">
        <x:v>Medium</x:v>
      </x:c>
      <x:c r="G360" s="167" t="str">
        <x:v>General</x:v>
      </x:c>
      <x:c r="H360" s="167" t="str">
        <x:v>Not Started</x:v>
      </x:c>
      <x:c r="I360" s="167" t="n">
        <x:v>0</x:v>
      </x:c>
      <x:c r="J360" s="168"/>
      <x:c r="K360" s="168" t="str">
        <x:f>IF(OR(H360="Mastered",J360=""),"",J360+IF(I360&gt;=5,30,IF(I360=4,14,IF(I360=3,7,IF(I360=2,3,1)))))</x:f>
      </x:c>
      <x:c r="L360" s="171" t="str"/>
      <x:c r="M360" s="171" t="str"/>
      <x:c r="N360" s="171" t="str">
        <x:v>Draft — verify in context</x:v>
      </x:c>
      <x:c r="O360" s="167" t="str">
        <x:v>https://www.wgtn.ac.nz/lals/resources/academicwordlist</x:v>
      </x:c>
    </x:row>
    <x:row r="361" ht="26" customHeight="1">
      <x:c r="A361" s="167" t="n">
        <x:v>360</x:v>
      </x:c>
      <x:c r="B361" s="167" t="str">
        <x:v>utility</x:v>
      </x:c>
      <x:c r="C361" s="170" t="str">
        <x:v>корисність; комунальна служба</x:v>
      </x:c>
      <x:c r="D361" s="167" t="n">
        <x:v>6</x:v>
      </x:c>
      <x:c r="E361" s="167" t="str">
        <x:v>Yes</x:v>
      </x:c>
      <x:c r="F361" s="167" t="str">
        <x:v>Medium</x:v>
      </x:c>
      <x:c r="G361" s="167" t="str">
        <x:v>General</x:v>
      </x:c>
      <x:c r="H361" s="167" t="str">
        <x:v>Not Started</x:v>
      </x:c>
      <x:c r="I361" s="167" t="n">
        <x:v>0</x:v>
      </x:c>
      <x:c r="J361" s="168"/>
      <x:c r="K361" s="168" t="str">
        <x:f>IF(OR(H361="Mastered",J361=""),"",J361+IF(I361&gt;=5,30,IF(I361=4,14,IF(I361=3,7,IF(I361=2,3,1)))))</x:f>
      </x:c>
      <x:c r="L361" s="171" t="str"/>
      <x:c r="M361" s="171" t="str"/>
      <x:c r="N361" s="171" t="str">
        <x:v>Draft — verify in context</x:v>
      </x:c>
      <x:c r="O361" s="167" t="str">
        <x:v>https://www.wgtn.ac.nz/lals/resources/academicwordlist</x:v>
      </x:c>
    </x:row>
    <x:row r="362" ht="26" customHeight="1">
      <x:c r="A362" s="167" t="n">
        <x:v>361</x:v>
      </x:c>
      <x:c r="B362" s="167" t="str">
        <x:v>adaptation</x:v>
      </x:c>
      <x:c r="C362" s="170" t="str">
        <x:v>адаптація</x:v>
      </x:c>
      <x:c r="D362" s="167" t="n">
        <x:v>7</x:v>
      </x:c>
      <x:c r="E362" s="167" t="str">
        <x:v>Yes</x:v>
      </x:c>
      <x:c r="F362" s="167" t="str">
        <x:v>Medium</x:v>
      </x:c>
      <x:c r="G362" s="167" t="str">
        <x:v>General</x:v>
      </x:c>
      <x:c r="H362" s="167" t="str">
        <x:v>Not Started</x:v>
      </x:c>
      <x:c r="I362" s="167" t="n">
        <x:v>0</x:v>
      </x:c>
      <x:c r="J362" s="168"/>
      <x:c r="K362" s="168" t="str">
        <x:f>IF(OR(H362="Mastered",J362=""),"",J362+IF(I362&gt;=5,30,IF(I362=4,14,IF(I362=3,7,IF(I362=2,3,1)))))</x:f>
      </x:c>
      <x:c r="L362" s="171" t="str"/>
      <x:c r="M362" s="171" t="str"/>
      <x:c r="N362" s="171" t="str">
        <x:v>Draft — verify in context</x:v>
      </x:c>
      <x:c r="O362" s="167" t="str">
        <x:v>https://www.wgtn.ac.nz/lals/resources/academicwordlist</x:v>
      </x:c>
    </x:row>
    <x:row r="363" ht="26" customHeight="1">
      <x:c r="A363" s="167" t="n">
        <x:v>362</x:v>
      </x:c>
      <x:c r="B363" s="167" t="str">
        <x:v>adults</x:v>
      </x:c>
      <x:c r="C363" s="170" t="str">
        <x:v>дорослі</x:v>
      </x:c>
      <x:c r="D363" s="167" t="n">
        <x:v>7</x:v>
      </x:c>
      <x:c r="E363" s="167" t="str">
        <x:v>No</x:v>
      </x:c>
      <x:c r="F363" s="167" t="str">
        <x:v>Medium</x:v>
      </x:c>
      <x:c r="G363" s="167" t="str">
        <x:v>General</x:v>
      </x:c>
      <x:c r="H363" s="167" t="str">
        <x:v>Not Started</x:v>
      </x:c>
      <x:c r="I363" s="167" t="n">
        <x:v>0</x:v>
      </x:c>
      <x:c r="J363" s="168"/>
      <x:c r="K363" s="168" t="str">
        <x:f>IF(OR(H363="Mastered",J363=""),"",J363+IF(I363&gt;=5,30,IF(I363=4,14,IF(I363=3,7,IF(I363=2,3,1)))))</x:f>
      </x:c>
      <x:c r="L363" s="171" t="str"/>
      <x:c r="M363" s="171" t="str"/>
      <x:c r="N363" s="171" t="str">
        <x:v>Draft — verify in context</x:v>
      </x:c>
      <x:c r="O363" s="167" t="str">
        <x:v>https://www.wgtn.ac.nz/lals/resources/academicwordlist</x:v>
      </x:c>
    </x:row>
    <x:row r="364" ht="26" customHeight="1">
      <x:c r="A364" s="167" t="n">
        <x:v>363</x:v>
      </x:c>
      <x:c r="B364" s="167" t="str">
        <x:v>advocate</x:v>
      </x:c>
      <x:c r="C364" s="170" t="str">
        <x:v>адвокат</x:v>
      </x:c>
      <x:c r="D364" s="167" t="n">
        <x:v>7</x:v>
      </x:c>
      <x:c r="E364" s="167" t="str">
        <x:v>Yes</x:v>
      </x:c>
      <x:c r="F364" s="167" t="str">
        <x:v>Medium</x:v>
      </x:c>
      <x:c r="G364" s="167" t="str">
        <x:v>General</x:v>
      </x:c>
      <x:c r="H364" s="167" t="str">
        <x:v>Not Started</x:v>
      </x:c>
      <x:c r="I364" s="167" t="n">
        <x:v>0</x:v>
      </x:c>
      <x:c r="J364" s="168"/>
      <x:c r="K364" s="168" t="str">
        <x:f>IF(OR(H364="Mastered",J364=""),"",J364+IF(I364&gt;=5,30,IF(I364=4,14,IF(I364=3,7,IF(I364=2,3,1)))))</x:f>
      </x:c>
      <x:c r="L364" s="171" t="str"/>
      <x:c r="M364" s="171" t="str"/>
      <x:c r="N364" s="171" t="str">
        <x:v>Draft — verify in context</x:v>
      </x:c>
      <x:c r="O364" s="167" t="str">
        <x:v>https://www.wgtn.ac.nz/lals/resources/academicwordlist</x:v>
      </x:c>
    </x:row>
    <x:row r="365" ht="26" customHeight="1">
      <x:c r="A365" s="167" t="n">
        <x:v>364</x:v>
      </x:c>
      <x:c r="B365" s="167" t="str">
        <x:v>aid</x:v>
      </x:c>
      <x:c r="C365" s="170" t="str">
        <x:v>допомога</x:v>
      </x:c>
      <x:c r="D365" s="167" t="n">
        <x:v>7</x:v>
      </x:c>
      <x:c r="E365" s="167" t="str">
        <x:v>No</x:v>
      </x:c>
      <x:c r="F365" s="167" t="str">
        <x:v>Medium</x:v>
      </x:c>
      <x:c r="G365" s="167" t="str">
        <x:v>General</x:v>
      </x:c>
      <x:c r="H365" s="167" t="str">
        <x:v>Not Started</x:v>
      </x:c>
      <x:c r="I365" s="167" t="n">
        <x:v>0</x:v>
      </x:c>
      <x:c r="J365" s="168"/>
      <x:c r="K365" s="168" t="str">
        <x:f>IF(OR(H365="Mastered",J365=""),"",J365+IF(I365&gt;=5,30,IF(I365=4,14,IF(I365=3,7,IF(I365=2,3,1)))))</x:f>
      </x:c>
      <x:c r="L365" s="171" t="str"/>
      <x:c r="M365" s="171" t="str"/>
      <x:c r="N365" s="171" t="str">
        <x:v>Draft — verify in context</x:v>
      </x:c>
      <x:c r="O365" s="167" t="str">
        <x:v>https://www.wgtn.ac.nz/lals/resources/academicwordlist</x:v>
      </x:c>
    </x:row>
    <x:row r="366" ht="26" customHeight="1">
      <x:c r="A366" s="167" t="n">
        <x:v>365</x:v>
      </x:c>
      <x:c r="B366" s="167" t="str">
        <x:v>channel</x:v>
      </x:c>
      <x:c r="C366" s="170" t="str">
        <x:v>канал</x:v>
      </x:c>
      <x:c r="D366" s="167" t="n">
        <x:v>7</x:v>
      </x:c>
      <x:c r="E366" s="167" t="str">
        <x:v>No</x:v>
      </x:c>
      <x:c r="F366" s="167" t="str">
        <x:v>Medium</x:v>
      </x:c>
      <x:c r="G366" s="167" t="str">
        <x:v>General</x:v>
      </x:c>
      <x:c r="H366" s="167" t="str">
        <x:v>Not Started</x:v>
      </x:c>
      <x:c r="I366" s="167" t="n">
        <x:v>0</x:v>
      </x:c>
      <x:c r="J366" s="168"/>
      <x:c r="K366" s="168" t="str">
        <x:f>IF(OR(H366="Mastered",J366=""),"",J366+IF(I366&gt;=5,30,IF(I366=4,14,IF(I366=3,7,IF(I366=2,3,1)))))</x:f>
      </x:c>
      <x:c r="L366" s="171" t="str"/>
      <x:c r="M366" s="171" t="str"/>
      <x:c r="N366" s="171" t="str">
        <x:v>Draft — verify in context</x:v>
      </x:c>
      <x:c r="O366" s="167" t="str">
        <x:v>https://www.wgtn.ac.nz/lals/resources/academicwordlist</x:v>
      </x:c>
    </x:row>
    <x:row r="367" ht="26" customHeight="1">
      <x:c r="A367" s="167" t="n">
        <x:v>366</x:v>
      </x:c>
      <x:c r="B367" s="167" t="str">
        <x:v>chemical</x:v>
      </x:c>
      <x:c r="C367" s="170" t="str">
        <x:v>хімічний</x:v>
      </x:c>
      <x:c r="D367" s="167" t="n">
        <x:v>7</x:v>
      </x:c>
      <x:c r="E367" s="167" t="str">
        <x:v>No</x:v>
      </x:c>
      <x:c r="F367" s="167" t="str">
        <x:v>Medium</x:v>
      </x:c>
      <x:c r="G367" s="167" t="str">
        <x:v>General</x:v>
      </x:c>
      <x:c r="H367" s="167" t="str">
        <x:v>Not Started</x:v>
      </x:c>
      <x:c r="I367" s="167" t="n">
        <x:v>0</x:v>
      </x:c>
      <x:c r="J367" s="168"/>
      <x:c r="K367" s="168" t="str">
        <x:f>IF(OR(H367="Mastered",J367=""),"",J367+IF(I367&gt;=5,30,IF(I367=4,14,IF(I367=3,7,IF(I367=2,3,1)))))</x:f>
      </x:c>
      <x:c r="L367" s="171" t="str"/>
      <x:c r="M367" s="171" t="str"/>
      <x:c r="N367" s="171" t="str">
        <x:v>Draft — verify in context</x:v>
      </x:c>
      <x:c r="O367" s="167" t="str">
        <x:v>https://www.wgtn.ac.nz/lals/resources/academicwordlist</x:v>
      </x:c>
    </x:row>
    <x:row r="368" ht="26" customHeight="1">
      <x:c r="A368" s="167" t="n">
        <x:v>367</x:v>
      </x:c>
      <x:c r="B368" s="167" t="str">
        <x:v>classical</x:v>
      </x:c>
      <x:c r="C368" s="170" t="str">
        <x:v>класичний</x:v>
      </x:c>
      <x:c r="D368" s="167" t="n">
        <x:v>7</x:v>
      </x:c>
      <x:c r="E368" s="167" t="str">
        <x:v>No</x:v>
      </x:c>
      <x:c r="F368" s="167" t="str">
        <x:v>Medium</x:v>
      </x:c>
      <x:c r="G368" s="167" t="str">
        <x:v>General</x:v>
      </x:c>
      <x:c r="H368" s="167" t="str">
        <x:v>Not Started</x:v>
      </x:c>
      <x:c r="I368" s="167" t="n">
        <x:v>0</x:v>
      </x:c>
      <x:c r="J368" s="168"/>
      <x:c r="K368" s="168" t="str">
        <x:f>IF(OR(H368="Mastered",J368=""),"",J368+IF(I368&gt;=5,30,IF(I368=4,14,IF(I368=3,7,IF(I368=2,3,1)))))</x:f>
      </x:c>
      <x:c r="L368" s="171" t="str"/>
      <x:c r="M368" s="171" t="str"/>
      <x:c r="N368" s="171" t="str">
        <x:v>Draft — verify in context</x:v>
      </x:c>
      <x:c r="O368" s="167" t="str">
        <x:v>https://www.wgtn.ac.nz/lals/resources/academicwordlist</x:v>
      </x:c>
    </x:row>
    <x:row r="369" ht="26" customHeight="1">
      <x:c r="A369" s="167" t="n">
        <x:v>368</x:v>
      </x:c>
      <x:c r="B369" s="167" t="str">
        <x:v>comprehensive</x:v>
      </x:c>
      <x:c r="C369" s="170" t="str">
        <x:v>комплексний</x:v>
      </x:c>
      <x:c r="D369" s="167" t="n">
        <x:v>7</x:v>
      </x:c>
      <x:c r="E369" s="167" t="str">
        <x:v>No</x:v>
      </x:c>
      <x:c r="F369" s="167" t="str">
        <x:v>Medium</x:v>
      </x:c>
      <x:c r="G369" s="167" t="str">
        <x:v>General</x:v>
      </x:c>
      <x:c r="H369" s="167" t="str">
        <x:v>Not Started</x:v>
      </x:c>
      <x:c r="I369" s="167" t="n">
        <x:v>0</x:v>
      </x:c>
      <x:c r="J369" s="168"/>
      <x:c r="K369" s="168" t="str">
        <x:f>IF(OR(H369="Mastered",J369=""),"",J369+IF(I369&gt;=5,30,IF(I369=4,14,IF(I369=3,7,IF(I369=2,3,1)))))</x:f>
      </x:c>
      <x:c r="L369" s="171" t="str"/>
      <x:c r="M369" s="171" t="str"/>
      <x:c r="N369" s="171" t="str">
        <x:v>Draft — verify in context</x:v>
      </x:c>
      <x:c r="O369" s="167" t="str">
        <x:v>https://www.wgtn.ac.nz/lals/resources/academicwordlist</x:v>
      </x:c>
    </x:row>
    <x:row r="370" ht="26" customHeight="1">
      <x:c r="A370" s="167" t="n">
        <x:v>369</x:v>
      </x:c>
      <x:c r="B370" s="167" t="str">
        <x:v>comprise</x:v>
      </x:c>
      <x:c r="C370" s="170" t="str">
        <x:v>включати</x:v>
      </x:c>
      <x:c r="D370" s="167" t="n">
        <x:v>7</x:v>
      </x:c>
      <x:c r="E370" s="167" t="str">
        <x:v>No</x:v>
      </x:c>
      <x:c r="F370" s="167" t="str">
        <x:v>Medium</x:v>
      </x:c>
      <x:c r="G370" s="167" t="str">
        <x:v>General</x:v>
      </x:c>
      <x:c r="H370" s="167" t="str">
        <x:v>Not Started</x:v>
      </x:c>
      <x:c r="I370" s="167" t="n">
        <x:v>0</x:v>
      </x:c>
      <x:c r="J370" s="168"/>
      <x:c r="K370" s="168" t="str">
        <x:f>IF(OR(H370="Mastered",J370=""),"",J370+IF(I370&gt;=5,30,IF(I370=4,14,IF(I370=3,7,IF(I370=2,3,1)))))</x:f>
      </x:c>
      <x:c r="L370" s="171" t="str"/>
      <x:c r="M370" s="171" t="str"/>
      <x:c r="N370" s="171" t="str">
        <x:v>Draft — verify in context</x:v>
      </x:c>
      <x:c r="O370" s="167" t="str">
        <x:v>https://www.wgtn.ac.nz/lals/resources/academicwordlist</x:v>
      </x:c>
    </x:row>
    <x:row r="371" ht="26" customHeight="1">
      <x:c r="A371" s="167" t="n">
        <x:v>370</x:v>
      </x:c>
      <x:c r="B371" s="167" t="str">
        <x:v>confirmed</x:v>
      </x:c>
      <x:c r="C371" s="170" t="str">
        <x:v>підтверджено</x:v>
      </x:c>
      <x:c r="D371" s="167" t="n">
        <x:v>7</x:v>
      </x:c>
      <x:c r="E371" s="167" t="str">
        <x:v>No</x:v>
      </x:c>
      <x:c r="F371" s="167" t="str">
        <x:v>Medium</x:v>
      </x:c>
      <x:c r="G371" s="167" t="str">
        <x:v>General</x:v>
      </x:c>
      <x:c r="H371" s="167" t="str">
        <x:v>Not Started</x:v>
      </x:c>
      <x:c r="I371" s="167" t="n">
        <x:v>0</x:v>
      </x:c>
      <x:c r="J371" s="168"/>
      <x:c r="K371" s="168" t="str">
        <x:f>IF(OR(H371="Mastered",J371=""),"",J371+IF(I371&gt;=5,30,IF(I371=4,14,IF(I371=3,7,IF(I371=2,3,1)))))</x:f>
      </x:c>
      <x:c r="L371" s="171" t="str"/>
      <x:c r="M371" s="171" t="str"/>
      <x:c r="N371" s="171" t="str">
        <x:v>Draft — verify in context</x:v>
      </x:c>
      <x:c r="O371" s="167" t="str">
        <x:v>https://www.wgtn.ac.nz/lals/resources/academicwordlist</x:v>
      </x:c>
    </x:row>
    <x:row r="372" ht="26" customHeight="1">
      <x:c r="A372" s="167" t="n">
        <x:v>371</x:v>
      </x:c>
      <x:c r="B372" s="167" t="str">
        <x:v>contrary</x:v>
      </x:c>
      <x:c r="C372" s="170" t="str">
        <x:v>всупереч</x:v>
      </x:c>
      <x:c r="D372" s="167" t="n">
        <x:v>7</x:v>
      </x:c>
      <x:c r="E372" s="167" t="str">
        <x:v>Yes</x:v>
      </x:c>
      <x:c r="F372" s="167" t="str">
        <x:v>Medium</x:v>
      </x:c>
      <x:c r="G372" s="167" t="str">
        <x:v>General</x:v>
      </x:c>
      <x:c r="H372" s="167" t="str">
        <x:v>Not Started</x:v>
      </x:c>
      <x:c r="I372" s="167" t="n">
        <x:v>0</x:v>
      </x:c>
      <x:c r="J372" s="168"/>
      <x:c r="K372" s="168" t="str">
        <x:f>IF(OR(H372="Mastered",J372=""),"",J372+IF(I372&gt;=5,30,IF(I372=4,14,IF(I372=3,7,IF(I372=2,3,1)))))</x:f>
      </x:c>
      <x:c r="L372" s="171" t="str"/>
      <x:c r="M372" s="171" t="str"/>
      <x:c r="N372" s="171" t="str">
        <x:v>Draft — verify in context</x:v>
      </x:c>
      <x:c r="O372" s="167" t="str">
        <x:v>https://www.wgtn.ac.nz/lals/resources/academicwordlist</x:v>
      </x:c>
    </x:row>
    <x:row r="373" ht="26" customHeight="1">
      <x:c r="A373" s="167" t="n">
        <x:v>372</x:v>
      </x:c>
      <x:c r="B373" s="167" t="str">
        <x:v>converted</x:v>
      </x:c>
      <x:c r="C373" s="170" t="str">
        <x:v>перетворений</x:v>
      </x:c>
      <x:c r="D373" s="167" t="n">
        <x:v>7</x:v>
      </x:c>
      <x:c r="E373" s="167" t="str">
        <x:v>No</x:v>
      </x:c>
      <x:c r="F373" s="167" t="str">
        <x:v>Medium</x:v>
      </x:c>
      <x:c r="G373" s="167" t="str">
        <x:v>General</x:v>
      </x:c>
      <x:c r="H373" s="167" t="str">
        <x:v>Not Started</x:v>
      </x:c>
      <x:c r="I373" s="167" t="n">
        <x:v>0</x:v>
      </x:c>
      <x:c r="J373" s="168"/>
      <x:c r="K373" s="168" t="str">
        <x:f>IF(OR(H373="Mastered",J373=""),"",J373+IF(I373&gt;=5,30,IF(I373=4,14,IF(I373=3,7,IF(I373=2,3,1)))))</x:f>
      </x:c>
      <x:c r="L373" s="171" t="str"/>
      <x:c r="M373" s="171" t="str"/>
      <x:c r="N373" s="171" t="str">
        <x:v>Draft — verify in context</x:v>
      </x:c>
      <x:c r="O373" s="167" t="str">
        <x:v>https://www.wgtn.ac.nz/lals/resources/academicwordlist</x:v>
      </x:c>
    </x:row>
    <x:row r="374" ht="26" customHeight="1">
      <x:c r="A374" s="167" t="n">
        <x:v>373</x:v>
      </x:c>
      <x:c r="B374" s="167" t="str">
        <x:v>couple</x:v>
      </x:c>
      <x:c r="C374" s="170" t="str">
        <x:v>пара</x:v>
      </x:c>
      <x:c r="D374" s="167" t="n">
        <x:v>7</x:v>
      </x:c>
      <x:c r="E374" s="167" t="str">
        <x:v>No</x:v>
      </x:c>
      <x:c r="F374" s="167" t="str">
        <x:v>Medium</x:v>
      </x:c>
      <x:c r="G374" s="167" t="str">
        <x:v>General</x:v>
      </x:c>
      <x:c r="H374" s="167" t="str">
        <x:v>Not Started</x:v>
      </x:c>
      <x:c r="I374" s="167" t="n">
        <x:v>0</x:v>
      </x:c>
      <x:c r="J374" s="168"/>
      <x:c r="K374" s="168" t="str">
        <x:f>IF(OR(H374="Mastered",J374=""),"",J374+IF(I374&gt;=5,30,IF(I374=4,14,IF(I374=3,7,IF(I374=2,3,1)))))</x:f>
      </x:c>
      <x:c r="L374" s="171" t="str"/>
      <x:c r="M374" s="171" t="str"/>
      <x:c r="N374" s="171" t="str">
        <x:v>Draft — verify in context</x:v>
      </x:c>
      <x:c r="O374" s="167" t="str">
        <x:v>https://www.wgtn.ac.nz/lals/resources/academicwordlist</x:v>
      </x:c>
    </x:row>
    <x:row r="375" ht="26" customHeight="1">
      <x:c r="A375" s="167" t="n">
        <x:v>374</x:v>
      </x:c>
      <x:c r="B375" s="167" t="str">
        <x:v>decades</x:v>
      </x:c>
      <x:c r="C375" s="170" t="str">
        <x:v>десятиліть</x:v>
      </x:c>
      <x:c r="D375" s="167" t="n">
        <x:v>7</x:v>
      </x:c>
      <x:c r="E375" s="167" t="str">
        <x:v>No</x:v>
      </x:c>
      <x:c r="F375" s="167" t="str">
        <x:v>Medium</x:v>
      </x:c>
      <x:c r="G375" s="167" t="str">
        <x:v>General</x:v>
      </x:c>
      <x:c r="H375" s="167" t="str">
        <x:v>Not Started</x:v>
      </x:c>
      <x:c r="I375" s="167" t="n">
        <x:v>0</x:v>
      </x:c>
      <x:c r="J375" s="168"/>
      <x:c r="K375" s="168" t="str">
        <x:f>IF(OR(H375="Mastered",J375=""),"",J375+IF(I375&gt;=5,30,IF(I375=4,14,IF(I375=3,7,IF(I375=2,3,1)))))</x:f>
      </x:c>
      <x:c r="L375" s="171" t="str"/>
      <x:c r="M375" s="171" t="str"/>
      <x:c r="N375" s="171" t="str">
        <x:v>Draft — verify in context</x:v>
      </x:c>
      <x:c r="O375" s="167" t="str">
        <x:v>https://www.wgtn.ac.nz/lals/resources/academicwordlist</x:v>
      </x:c>
    </x:row>
    <x:row r="376" ht="26" customHeight="1">
      <x:c r="A376" s="167" t="n">
        <x:v>375</x:v>
      </x:c>
      <x:c r="B376" s="167" t="str">
        <x:v>definite</x:v>
      </x:c>
      <x:c r="C376" s="170" t="str">
        <x:v>певний</x:v>
      </x:c>
      <x:c r="D376" s="167" t="n">
        <x:v>7</x:v>
      </x:c>
      <x:c r="E376" s="167" t="str">
        <x:v>No</x:v>
      </x:c>
      <x:c r="F376" s="167" t="str">
        <x:v>Medium</x:v>
      </x:c>
      <x:c r="G376" s="167" t="str">
        <x:v>General</x:v>
      </x:c>
      <x:c r="H376" s="167" t="str">
        <x:v>Not Started</x:v>
      </x:c>
      <x:c r="I376" s="167" t="n">
        <x:v>0</x:v>
      </x:c>
      <x:c r="J376" s="168"/>
      <x:c r="K376" s="168" t="str">
        <x:f>IF(OR(H376="Mastered",J376=""),"",J376+IF(I376&gt;=5,30,IF(I376=4,14,IF(I376=3,7,IF(I376=2,3,1)))))</x:f>
      </x:c>
      <x:c r="L376" s="171" t="str"/>
      <x:c r="M376" s="171" t="str"/>
      <x:c r="N376" s="171" t="str">
        <x:v>Draft — verify in context</x:v>
      </x:c>
      <x:c r="O376" s="167" t="str">
        <x:v>https://www.wgtn.ac.nz/lals/resources/academicwordlist</x:v>
      </x:c>
    </x:row>
    <x:row r="377" ht="26" customHeight="1">
      <x:c r="A377" s="167" t="n">
        <x:v>376</x:v>
      </x:c>
      <x:c r="B377" s="167" t="str">
        <x:v>deny</x:v>
      </x:c>
      <x:c r="C377" s="170" t="str">
        <x:v>заперечувати</x:v>
      </x:c>
      <x:c r="D377" s="167" t="n">
        <x:v>7</x:v>
      </x:c>
      <x:c r="E377" s="167" t="str">
        <x:v>No</x:v>
      </x:c>
      <x:c r="F377" s="167" t="str">
        <x:v>Medium</x:v>
      </x:c>
      <x:c r="G377" s="167" t="str">
        <x:v>General</x:v>
      </x:c>
      <x:c r="H377" s="167" t="str">
        <x:v>Not Started</x:v>
      </x:c>
      <x:c r="I377" s="167" t="n">
        <x:v>0</x:v>
      </x:c>
      <x:c r="J377" s="168"/>
      <x:c r="K377" s="168" t="str">
        <x:f>IF(OR(H377="Mastered",J377=""),"",J377+IF(I377&gt;=5,30,IF(I377=4,14,IF(I377=3,7,IF(I377=2,3,1)))))</x:f>
      </x:c>
      <x:c r="L377" s="171" t="str"/>
      <x:c r="M377" s="171" t="str"/>
      <x:c r="N377" s="171" t="str">
        <x:v>Draft — verify in context</x:v>
      </x:c>
      <x:c r="O377" s="167" t="str">
        <x:v>https://www.wgtn.ac.nz/lals/resources/academicwordlist</x:v>
      </x:c>
    </x:row>
    <x:row r="378" ht="26" customHeight="1">
      <x:c r="A378" s="167" t="n">
        <x:v>377</x:v>
      </x:c>
      <x:c r="B378" s="167" t="str">
        <x:v>differentiation</x:v>
      </x:c>
      <x:c r="C378" s="170" t="str">
        <x:v>диференціація</x:v>
      </x:c>
      <x:c r="D378" s="167" t="n">
        <x:v>7</x:v>
      </x:c>
      <x:c r="E378" s="167" t="str">
        <x:v>No</x:v>
      </x:c>
      <x:c r="F378" s="167" t="str">
        <x:v>Medium</x:v>
      </x:c>
      <x:c r="G378" s="167" t="str">
        <x:v>General</x:v>
      </x:c>
      <x:c r="H378" s="167" t="str">
        <x:v>Not Started</x:v>
      </x:c>
      <x:c r="I378" s="167" t="n">
        <x:v>0</x:v>
      </x:c>
      <x:c r="J378" s="168"/>
      <x:c r="K378" s="168" t="str">
        <x:f>IF(OR(H378="Mastered",J378=""),"",J378+IF(I378&gt;=5,30,IF(I378=4,14,IF(I378=3,7,IF(I378=2,3,1)))))</x:f>
      </x:c>
      <x:c r="L378" s="171" t="str"/>
      <x:c r="M378" s="171" t="str"/>
      <x:c r="N378" s="171" t="str">
        <x:v>Draft — verify in context</x:v>
      </x:c>
      <x:c r="O378" s="167" t="str">
        <x:v>https://www.wgtn.ac.nz/lals/resources/academicwordlist</x:v>
      </x:c>
    </x:row>
    <x:row r="379" ht="26" customHeight="1">
      <x:c r="A379" s="167" t="n">
        <x:v>378</x:v>
      </x:c>
      <x:c r="B379" s="167" t="str">
        <x:v>disposal</x:v>
      </x:c>
      <x:c r="C379" s="170" t="str">
        <x:v>утилізація</x:v>
      </x:c>
      <x:c r="D379" s="167" t="n">
        <x:v>7</x:v>
      </x:c>
      <x:c r="E379" s="167" t="str">
        <x:v>Yes</x:v>
      </x:c>
      <x:c r="F379" s="167" t="str">
        <x:v>Medium</x:v>
      </x:c>
      <x:c r="G379" s="167" t="str">
        <x:v>General</x:v>
      </x:c>
      <x:c r="H379" s="167" t="str">
        <x:v>Not Started</x:v>
      </x:c>
      <x:c r="I379" s="167" t="n">
        <x:v>0</x:v>
      </x:c>
      <x:c r="J379" s="168"/>
      <x:c r="K379" s="168" t="str">
        <x:f>IF(OR(H379="Mastered",J379=""),"",J379+IF(I379&gt;=5,30,IF(I379=4,14,IF(I379=3,7,IF(I379=2,3,1)))))</x:f>
      </x:c>
      <x:c r="L379" s="171" t="str"/>
      <x:c r="M379" s="171" t="str"/>
      <x:c r="N379" s="171" t="str">
        <x:v>Draft — verify in context</x:v>
      </x:c>
      <x:c r="O379" s="167" t="str">
        <x:v>https://www.wgtn.ac.nz/lals/resources/academicwordlist</x:v>
      </x:c>
    </x:row>
    <x:row r="380" ht="26" customHeight="1">
      <x:c r="A380" s="167" t="n">
        <x:v>379</x:v>
      </x:c>
      <x:c r="B380" s="167" t="str">
        <x:v>dynamic</x:v>
      </x:c>
      <x:c r="C380" s="170" t="str">
        <x:v>динамічний</x:v>
      </x:c>
      <x:c r="D380" s="167" t="n">
        <x:v>7</x:v>
      </x:c>
      <x:c r="E380" s="167" t="str">
        <x:v>Yes</x:v>
      </x:c>
      <x:c r="F380" s="167" t="str">
        <x:v>Medium</x:v>
      </x:c>
      <x:c r="G380" s="167" t="str">
        <x:v>General</x:v>
      </x:c>
      <x:c r="H380" s="167" t="str">
        <x:v>Not Started</x:v>
      </x:c>
      <x:c r="I380" s="167" t="n">
        <x:v>0</x:v>
      </x:c>
      <x:c r="J380" s="168"/>
      <x:c r="K380" s="168" t="str">
        <x:f>IF(OR(H380="Mastered",J380=""),"",J380+IF(I380&gt;=5,30,IF(I380=4,14,IF(I380=3,7,IF(I380=2,3,1)))))</x:f>
      </x:c>
      <x:c r="L380" s="171" t="str"/>
      <x:c r="M380" s="171" t="str"/>
      <x:c r="N380" s="171" t="str">
        <x:v>Draft — verify in context</x:v>
      </x:c>
      <x:c r="O380" s="167" t="str">
        <x:v>https://www.wgtn.ac.nz/lals/resources/academicwordlist</x:v>
      </x:c>
    </x:row>
    <x:row r="381" ht="26" customHeight="1">
      <x:c r="A381" s="167" t="n">
        <x:v>380</x:v>
      </x:c>
      <x:c r="B381" s="167" t="str">
        <x:v>eliminate</x:v>
      </x:c>
      <x:c r="C381" s="170" t="str">
        <x:v>ліквідувати</x:v>
      </x:c>
      <x:c r="D381" s="167" t="n">
        <x:v>7</x:v>
      </x:c>
      <x:c r="E381" s="167" t="str">
        <x:v>No</x:v>
      </x:c>
      <x:c r="F381" s="167" t="str">
        <x:v>Medium</x:v>
      </x:c>
      <x:c r="G381" s="167" t="str">
        <x:v>General</x:v>
      </x:c>
      <x:c r="H381" s="167" t="str">
        <x:v>Not Started</x:v>
      </x:c>
      <x:c r="I381" s="167" t="n">
        <x:v>0</x:v>
      </x:c>
      <x:c r="J381" s="168"/>
      <x:c r="K381" s="168" t="str">
        <x:f>IF(OR(H381="Mastered",J381=""),"",J381+IF(I381&gt;=5,30,IF(I381=4,14,IF(I381=3,7,IF(I381=2,3,1)))))</x:f>
      </x:c>
      <x:c r="L381" s="171" t="str"/>
      <x:c r="M381" s="171" t="str"/>
      <x:c r="N381" s="171" t="str">
        <x:v>Draft — verify in context</x:v>
      </x:c>
      <x:c r="O381" s="167" t="str">
        <x:v>https://www.wgtn.ac.nz/lals/resources/academicwordlist</x:v>
      </x:c>
    </x:row>
    <x:row r="382" ht="26" customHeight="1">
      <x:c r="A382" s="167" t="n">
        <x:v>381</x:v>
      </x:c>
      <x:c r="B382" s="167" t="str">
        <x:v>empirical</x:v>
      </x:c>
      <x:c r="C382" s="170" t="str">
        <x:v>емпіричний</x:v>
      </x:c>
      <x:c r="D382" s="167" t="n">
        <x:v>7</x:v>
      </x:c>
      <x:c r="E382" s="167" t="str">
        <x:v>Yes</x:v>
      </x:c>
      <x:c r="F382" s="167" t="str">
        <x:v>Medium</x:v>
      </x:c>
      <x:c r="G382" s="167" t="str">
        <x:v>Research &amp; data</x:v>
      </x:c>
      <x:c r="H382" s="167" t="str">
        <x:v>Not Started</x:v>
      </x:c>
      <x:c r="I382" s="167" t="n">
        <x:v>0</x:v>
      </x:c>
      <x:c r="J382" s="168"/>
      <x:c r="K382" s="168" t="str">
        <x:f>IF(OR(H382="Mastered",J382=""),"",J382+IF(I382&gt;=5,30,IF(I382=4,14,IF(I382=3,7,IF(I382=2,3,1)))))</x:f>
      </x:c>
      <x:c r="L382" s="171" t="str"/>
      <x:c r="M382" s="171" t="str"/>
      <x:c r="N382" s="171" t="str">
        <x:v>Draft — verify in context</x:v>
      </x:c>
      <x:c r="O382" s="167" t="str">
        <x:v>https://www.wgtn.ac.nz/lals/resources/academicwordlist</x:v>
      </x:c>
    </x:row>
    <x:row r="383" ht="26" customHeight="1">
      <x:c r="A383" s="167" t="n">
        <x:v>382</x:v>
      </x:c>
      <x:c r="B383" s="167" t="str">
        <x:v>equipment</x:v>
      </x:c>
      <x:c r="C383" s="170" t="str">
        <x:v>обладнання</x:v>
      </x:c>
      <x:c r="D383" s="167" t="n">
        <x:v>7</x:v>
      </x:c>
      <x:c r="E383" s="167" t="str">
        <x:v>No</x:v>
      </x:c>
      <x:c r="F383" s="167" t="str">
        <x:v>Medium</x:v>
      </x:c>
      <x:c r="G383" s="167" t="str">
        <x:v>General</x:v>
      </x:c>
      <x:c r="H383" s="167" t="str">
        <x:v>Not Started</x:v>
      </x:c>
      <x:c r="I383" s="167" t="n">
        <x:v>0</x:v>
      </x:c>
      <x:c r="J383" s="168"/>
      <x:c r="K383" s="168" t="str">
        <x:f>IF(OR(H383="Mastered",J383=""),"",J383+IF(I383&gt;=5,30,IF(I383=4,14,IF(I383=3,7,IF(I383=2,3,1)))))</x:f>
      </x:c>
      <x:c r="L383" s="171" t="str"/>
      <x:c r="M383" s="171" t="str"/>
      <x:c r="N383" s="171" t="str">
        <x:v>Draft — verify in context</x:v>
      </x:c>
      <x:c r="O383" s="167" t="str">
        <x:v>https://www.wgtn.ac.nz/lals/resources/academicwordlist</x:v>
      </x:c>
    </x:row>
    <x:row r="384" ht="26" customHeight="1">
      <x:c r="A384" s="167" t="n">
        <x:v>383</x:v>
      </x:c>
      <x:c r="B384" s="167" t="str">
        <x:v>extract</x:v>
      </x:c>
      <x:c r="C384" s="170" t="str">
        <x:v>екстракт</x:v>
      </x:c>
      <x:c r="D384" s="167" t="n">
        <x:v>7</x:v>
      </x:c>
      <x:c r="E384" s="167" t="str">
        <x:v>Yes</x:v>
      </x:c>
      <x:c r="F384" s="167" t="str">
        <x:v>Medium</x:v>
      </x:c>
      <x:c r="G384" s="167" t="str">
        <x:v>General</x:v>
      </x:c>
      <x:c r="H384" s="167" t="str">
        <x:v>Not Started</x:v>
      </x:c>
      <x:c r="I384" s="167" t="n">
        <x:v>0</x:v>
      </x:c>
      <x:c r="J384" s="168"/>
      <x:c r="K384" s="168" t="str">
        <x:f>IF(OR(H384="Mastered",J384=""),"",J384+IF(I384&gt;=5,30,IF(I384=4,14,IF(I384=3,7,IF(I384=2,3,1)))))</x:f>
      </x:c>
      <x:c r="L384" s="171" t="str"/>
      <x:c r="M384" s="171" t="str"/>
      <x:c r="N384" s="171" t="str">
        <x:v>Draft — verify in context</x:v>
      </x:c>
      <x:c r="O384" s="167" t="str">
        <x:v>https://www.wgtn.ac.nz/lals/resources/academicwordlist</x:v>
      </x:c>
    </x:row>
    <x:row r="385" ht="26" customHeight="1">
      <x:c r="A385" s="167" t="n">
        <x:v>384</x:v>
      </x:c>
      <x:c r="B385" s="167" t="str">
        <x:v>file</x:v>
      </x:c>
      <x:c r="C385" s="170" t="str">
        <x:v>файл</x:v>
      </x:c>
      <x:c r="D385" s="167" t="n">
        <x:v>7</x:v>
      </x:c>
      <x:c r="E385" s="167" t="str">
        <x:v>No</x:v>
      </x:c>
      <x:c r="F385" s="167" t="str">
        <x:v>Medium</x:v>
      </x:c>
      <x:c r="G385" s="167" t="str">
        <x:v>General</x:v>
      </x:c>
      <x:c r="H385" s="167" t="str">
        <x:v>Not Started</x:v>
      </x:c>
      <x:c r="I385" s="167" t="n">
        <x:v>0</x:v>
      </x:c>
      <x:c r="J385" s="168"/>
      <x:c r="K385" s="168" t="str">
        <x:f>IF(OR(H385="Mastered",J385=""),"",J385+IF(I385&gt;=5,30,IF(I385=4,14,IF(I385=3,7,IF(I385=2,3,1)))))</x:f>
      </x:c>
      <x:c r="L385" s="171" t="str"/>
      <x:c r="M385" s="171" t="str"/>
      <x:c r="N385" s="171" t="str">
        <x:v>Draft — verify in context</x:v>
      </x:c>
      <x:c r="O385" s="167" t="str">
        <x:v>https://www.wgtn.ac.nz/lals/resources/academicwordlist</x:v>
      </x:c>
    </x:row>
    <x:row r="386" ht="26" customHeight="1">
      <x:c r="A386" s="167" t="n">
        <x:v>385</x:v>
      </x:c>
      <x:c r="B386" s="167" t="str">
        <x:v>finite</x:v>
      </x:c>
      <x:c r="C386" s="170" t="str">
        <x:v>кінцевий</x:v>
      </x:c>
      <x:c r="D386" s="167" t="n">
        <x:v>7</x:v>
      </x:c>
      <x:c r="E386" s="167" t="str">
        <x:v>No</x:v>
      </x:c>
      <x:c r="F386" s="167" t="str">
        <x:v>Medium</x:v>
      </x:c>
      <x:c r="G386" s="167" t="str">
        <x:v>General</x:v>
      </x:c>
      <x:c r="H386" s="167" t="str">
        <x:v>Not Started</x:v>
      </x:c>
      <x:c r="I386" s="167" t="n">
        <x:v>0</x:v>
      </x:c>
      <x:c r="J386" s="168"/>
      <x:c r="K386" s="168" t="str">
        <x:f>IF(OR(H386="Mastered",J386=""),"",J386+IF(I386&gt;=5,30,IF(I386=4,14,IF(I386=3,7,IF(I386=2,3,1)))))</x:f>
      </x:c>
      <x:c r="L386" s="171" t="str"/>
      <x:c r="M386" s="171" t="str"/>
      <x:c r="N386" s="171" t="str">
        <x:v>Draft — verify in context</x:v>
      </x:c>
      <x:c r="O386" s="167" t="str">
        <x:v>https://www.wgtn.ac.nz/lals/resources/academicwordlist</x:v>
      </x:c>
    </x:row>
    <x:row r="387" ht="26" customHeight="1">
      <x:c r="A387" s="167" t="n">
        <x:v>386</x:v>
      </x:c>
      <x:c r="B387" s="167" t="str">
        <x:v>foundation</x:v>
      </x:c>
      <x:c r="C387" s="170" t="str">
        <x:v>основа</x:v>
      </x:c>
      <x:c r="D387" s="167" t="n">
        <x:v>7</x:v>
      </x:c>
      <x:c r="E387" s="167" t="str">
        <x:v>No</x:v>
      </x:c>
      <x:c r="F387" s="167" t="str">
        <x:v>Medium</x:v>
      </x:c>
      <x:c r="G387" s="167" t="str">
        <x:v>General</x:v>
      </x:c>
      <x:c r="H387" s="167" t="str">
        <x:v>Not Started</x:v>
      </x:c>
      <x:c r="I387" s="167" t="n">
        <x:v>0</x:v>
      </x:c>
      <x:c r="J387" s="168"/>
      <x:c r="K387" s="168" t="str">
        <x:f>IF(OR(H387="Mastered",J387=""),"",J387+IF(I387&gt;=5,30,IF(I387=4,14,IF(I387=3,7,IF(I387=2,3,1)))))</x:f>
      </x:c>
      <x:c r="L387" s="171" t="str"/>
      <x:c r="M387" s="171" t="str"/>
      <x:c r="N387" s="171" t="str">
        <x:v>Draft — verify in context</x:v>
      </x:c>
      <x:c r="O387" s="167" t="str">
        <x:v>https://www.wgtn.ac.nz/lals/resources/academicwordlist</x:v>
      </x:c>
    </x:row>
    <x:row r="388" ht="26" customHeight="1">
      <x:c r="A388" s="167" t="n">
        <x:v>387</x:v>
      </x:c>
      <x:c r="B388" s="167" t="str">
        <x:v>global</x:v>
      </x:c>
      <x:c r="C388" s="170" t="str">
        <x:v>глобальний</x:v>
      </x:c>
      <x:c r="D388" s="167" t="n">
        <x:v>7</x:v>
      </x:c>
      <x:c r="E388" s="167" t="str">
        <x:v>No</x:v>
      </x:c>
      <x:c r="F388" s="167" t="str">
        <x:v>Medium</x:v>
      </x:c>
      <x:c r="G388" s="167" t="str">
        <x:v>General</x:v>
      </x:c>
      <x:c r="H388" s="167" t="str">
        <x:v>Not Started</x:v>
      </x:c>
      <x:c r="I388" s="167" t="n">
        <x:v>0</x:v>
      </x:c>
      <x:c r="J388" s="168"/>
      <x:c r="K388" s="168" t="str">
        <x:f>IF(OR(H388="Mastered",J388=""),"",J388+IF(I388&gt;=5,30,IF(I388=4,14,IF(I388=3,7,IF(I388=2,3,1)))))</x:f>
      </x:c>
      <x:c r="L388" s="171" t="str"/>
      <x:c r="M388" s="171" t="str"/>
      <x:c r="N388" s="171" t="str">
        <x:v>Draft — verify in context</x:v>
      </x:c>
      <x:c r="O388" s="167" t="str">
        <x:v>https://www.wgtn.ac.nz/lals/resources/academicwordlist</x:v>
      </x:c>
    </x:row>
    <x:row r="389" ht="26" customHeight="1">
      <x:c r="A389" s="167" t="n">
        <x:v>388</x:v>
      </x:c>
      <x:c r="B389" s="167" t="str">
        <x:v>grade</x:v>
      </x:c>
      <x:c r="C389" s="170" t="str">
        <x:v>клас</x:v>
      </x:c>
      <x:c r="D389" s="167" t="n">
        <x:v>7</x:v>
      </x:c>
      <x:c r="E389" s="167" t="str">
        <x:v>No</x:v>
      </x:c>
      <x:c r="F389" s="167" t="str">
        <x:v>Medium</x:v>
      </x:c>
      <x:c r="G389" s="167" t="str">
        <x:v>General</x:v>
      </x:c>
      <x:c r="H389" s="167" t="str">
        <x:v>Not Started</x:v>
      </x:c>
      <x:c r="I389" s="167" t="n">
        <x:v>0</x:v>
      </x:c>
      <x:c r="J389" s="168"/>
      <x:c r="K389" s="168" t="str">
        <x:f>IF(OR(H389="Mastered",J389=""),"",J389+IF(I389&gt;=5,30,IF(I389=4,14,IF(I389=3,7,IF(I389=2,3,1)))))</x:f>
      </x:c>
      <x:c r="L389" s="171" t="str"/>
      <x:c r="M389" s="171" t="str"/>
      <x:c r="N389" s="171" t="str">
        <x:v>Draft — verify in context</x:v>
      </x:c>
      <x:c r="O389" s="167" t="str">
        <x:v>https://www.wgtn.ac.nz/lals/resources/academicwordlist</x:v>
      </x:c>
    </x:row>
    <x:row r="390" ht="26" customHeight="1">
      <x:c r="A390" s="167" t="n">
        <x:v>389</x:v>
      </x:c>
      <x:c r="B390" s="167" t="str">
        <x:v>guarantee</x:v>
      </x:c>
      <x:c r="C390" s="170" t="str">
        <x:v>гарантія</x:v>
      </x:c>
      <x:c r="D390" s="167" t="n">
        <x:v>7</x:v>
      </x:c>
      <x:c r="E390" s="167" t="str">
        <x:v>No</x:v>
      </x:c>
      <x:c r="F390" s="167" t="str">
        <x:v>Medium</x:v>
      </x:c>
      <x:c r="G390" s="167" t="str">
        <x:v>General</x:v>
      </x:c>
      <x:c r="H390" s="167" t="str">
        <x:v>Not Started</x:v>
      </x:c>
      <x:c r="I390" s="167" t="n">
        <x:v>0</x:v>
      </x:c>
      <x:c r="J390" s="168"/>
      <x:c r="K390" s="168" t="str">
        <x:f>IF(OR(H390="Mastered",J390=""),"",J390+IF(I390&gt;=5,30,IF(I390=4,14,IF(I390=3,7,IF(I390=2,3,1)))))</x:f>
      </x:c>
      <x:c r="L390" s="171" t="str"/>
      <x:c r="M390" s="171" t="str"/>
      <x:c r="N390" s="171" t="str">
        <x:v>Draft — verify in context</x:v>
      </x:c>
      <x:c r="O390" s="167" t="str">
        <x:v>https://www.wgtn.ac.nz/lals/resources/academicwordlist</x:v>
      </x:c>
    </x:row>
    <x:row r="391" ht="26" customHeight="1">
      <x:c r="A391" s="167" t="n">
        <x:v>390</x:v>
      </x:c>
      <x:c r="B391" s="167" t="str">
        <x:v>hierarchical</x:v>
      </x:c>
      <x:c r="C391" s="170" t="str">
        <x:v>ієрархічний</x:v>
      </x:c>
      <x:c r="D391" s="167" t="n">
        <x:v>7</x:v>
      </x:c>
      <x:c r="E391" s="167" t="str">
        <x:v>No</x:v>
      </x:c>
      <x:c r="F391" s="167" t="str">
        <x:v>Medium</x:v>
      </x:c>
      <x:c r="G391" s="167" t="str">
        <x:v>General</x:v>
      </x:c>
      <x:c r="H391" s="167" t="str">
        <x:v>Not Started</x:v>
      </x:c>
      <x:c r="I391" s="167" t="n">
        <x:v>0</x:v>
      </x:c>
      <x:c r="J391" s="168"/>
      <x:c r="K391" s="168" t="str">
        <x:f>IF(OR(H391="Mastered",J391=""),"",J391+IF(I391&gt;=5,30,IF(I391=4,14,IF(I391=3,7,IF(I391=2,3,1)))))</x:f>
      </x:c>
      <x:c r="L391" s="171" t="str"/>
      <x:c r="M391" s="171" t="str"/>
      <x:c r="N391" s="171" t="str">
        <x:v>Draft — verify in context</x:v>
      </x:c>
      <x:c r="O391" s="167" t="str">
        <x:v>https://www.wgtn.ac.nz/lals/resources/academicwordlist</x:v>
      </x:c>
    </x:row>
    <x:row r="392" ht="26" customHeight="1">
      <x:c r="A392" s="167" t="n">
        <x:v>391</x:v>
      </x:c>
      <x:c r="B392" s="167" t="str">
        <x:v>identical</x:v>
      </x:c>
      <x:c r="C392" s="170" t="str">
        <x:v>однакові</x:v>
      </x:c>
      <x:c r="D392" s="167" t="n">
        <x:v>7</x:v>
      </x:c>
      <x:c r="E392" s="167" t="str">
        <x:v>No</x:v>
      </x:c>
      <x:c r="F392" s="167" t="str">
        <x:v>Medium</x:v>
      </x:c>
      <x:c r="G392" s="167" t="str">
        <x:v>General</x:v>
      </x:c>
      <x:c r="H392" s="167" t="str">
        <x:v>Not Started</x:v>
      </x:c>
      <x:c r="I392" s="167" t="n">
        <x:v>0</x:v>
      </x:c>
      <x:c r="J392" s="168"/>
      <x:c r="K392" s="168" t="str">
        <x:f>IF(OR(H392="Mastered",J392=""),"",J392+IF(I392&gt;=5,30,IF(I392=4,14,IF(I392=3,7,IF(I392=2,3,1)))))</x:f>
      </x:c>
      <x:c r="L392" s="171" t="str"/>
      <x:c r="M392" s="171" t="str"/>
      <x:c r="N392" s="171" t="str">
        <x:v>Draft — verify in context</x:v>
      </x:c>
      <x:c r="O392" s="167" t="str">
        <x:v>https://www.wgtn.ac.nz/lals/resources/academicwordlist</x:v>
      </x:c>
    </x:row>
    <x:row r="393" ht="26" customHeight="1">
      <x:c r="A393" s="167" t="n">
        <x:v>392</x:v>
      </x:c>
      <x:c r="B393" s="167" t="str">
        <x:v>ideology</x:v>
      </x:c>
      <x:c r="C393" s="170" t="str">
        <x:v>ідеологія</x:v>
      </x:c>
      <x:c r="D393" s="167" t="n">
        <x:v>7</x:v>
      </x:c>
      <x:c r="E393" s="167" t="str">
        <x:v>Yes</x:v>
      </x:c>
      <x:c r="F393" s="167" t="str">
        <x:v>Medium</x:v>
      </x:c>
      <x:c r="G393" s="167" t="str">
        <x:v>Society &amp; culture</x:v>
      </x:c>
      <x:c r="H393" s="167" t="str">
        <x:v>Not Started</x:v>
      </x:c>
      <x:c r="I393" s="167" t="n">
        <x:v>0</x:v>
      </x:c>
      <x:c r="J393" s="168"/>
      <x:c r="K393" s="168" t="str">
        <x:f>IF(OR(H393="Mastered",J393=""),"",J393+IF(I393&gt;=5,30,IF(I393=4,14,IF(I393=3,7,IF(I393=2,3,1)))))</x:f>
      </x:c>
      <x:c r="L393" s="171" t="str"/>
      <x:c r="M393" s="171" t="str"/>
      <x:c r="N393" s="171" t="str">
        <x:v>Draft — verify in context</x:v>
      </x:c>
      <x:c r="O393" s="167" t="str">
        <x:v>https://www.wgtn.ac.nz/lals/resources/academicwordlist</x:v>
      </x:c>
    </x:row>
    <x:row r="394" ht="26" customHeight="1">
      <x:c r="A394" s="167" t="n">
        <x:v>393</x:v>
      </x:c>
      <x:c r="B394" s="167" t="str">
        <x:v>inferred</x:v>
      </x:c>
      <x:c r="C394" s="170" t="str">
        <x:v>висновок</x:v>
      </x:c>
      <x:c r="D394" s="167" t="n">
        <x:v>7</x:v>
      </x:c>
      <x:c r="E394" s="167" t="str">
        <x:v>No</x:v>
      </x:c>
      <x:c r="F394" s="167" t="str">
        <x:v>Medium</x:v>
      </x:c>
      <x:c r="G394" s="167" t="str">
        <x:v>General</x:v>
      </x:c>
      <x:c r="H394" s="167" t="str">
        <x:v>Not Started</x:v>
      </x:c>
      <x:c r="I394" s="167" t="n">
        <x:v>0</x:v>
      </x:c>
      <x:c r="J394" s="168"/>
      <x:c r="K394" s="168" t="str">
        <x:f>IF(OR(H394="Mastered",J394=""),"",J394+IF(I394&gt;=5,30,IF(I394=4,14,IF(I394=3,7,IF(I394=2,3,1)))))</x:f>
      </x:c>
      <x:c r="L394" s="171" t="str"/>
      <x:c r="M394" s="171" t="str"/>
      <x:c r="N394" s="171" t="str">
        <x:v>Draft — verify in context</x:v>
      </x:c>
      <x:c r="O394" s="167" t="str">
        <x:v>https://www.wgtn.ac.nz/lals/resources/academicwordlist</x:v>
      </x:c>
    </x:row>
    <x:row r="395" ht="26" customHeight="1">
      <x:c r="A395" s="167" t="n">
        <x:v>394</x:v>
      </x:c>
      <x:c r="B395" s="167" t="str">
        <x:v>innovation</x:v>
      </x:c>
      <x:c r="C395" s="170" t="str">
        <x:v>інноваційність</x:v>
      </x:c>
      <x:c r="D395" s="167" t="n">
        <x:v>7</x:v>
      </x:c>
      <x:c r="E395" s="167" t="str">
        <x:v>No</x:v>
      </x:c>
      <x:c r="F395" s="167" t="str">
        <x:v>Medium</x:v>
      </x:c>
      <x:c r="G395" s="167" t="str">
        <x:v>General</x:v>
      </x:c>
      <x:c r="H395" s="167" t="str">
        <x:v>Not Started</x:v>
      </x:c>
      <x:c r="I395" s="167" t="n">
        <x:v>0</x:v>
      </x:c>
      <x:c r="J395" s="168"/>
      <x:c r="K395" s="168" t="str">
        <x:f>IF(OR(H395="Mastered",J395=""),"",J395+IF(I395&gt;=5,30,IF(I395=4,14,IF(I395=3,7,IF(I395=2,3,1)))))</x:f>
      </x:c>
      <x:c r="L395" s="171" t="str"/>
      <x:c r="M395" s="171" t="str"/>
      <x:c r="N395" s="171" t="str">
        <x:v>Draft — verify in context</x:v>
      </x:c>
      <x:c r="O395" s="167" t="str">
        <x:v>https://www.wgtn.ac.nz/lals/resources/academicwordlist</x:v>
      </x:c>
    </x:row>
    <x:row r="396" ht="26" customHeight="1">
      <x:c r="A396" s="167" t="n">
        <x:v>395</x:v>
      </x:c>
      <x:c r="B396" s="167" t="str">
        <x:v>insert</x:v>
      </x:c>
      <x:c r="C396" s="170" t="str">
        <x:v>вставка</x:v>
      </x:c>
      <x:c r="D396" s="167" t="n">
        <x:v>7</x:v>
      </x:c>
      <x:c r="E396" s="167" t="str">
        <x:v>No</x:v>
      </x:c>
      <x:c r="F396" s="167" t="str">
        <x:v>Medium</x:v>
      </x:c>
      <x:c r="G396" s="167" t="str">
        <x:v>General</x:v>
      </x:c>
      <x:c r="H396" s="167" t="str">
        <x:v>Not Started</x:v>
      </x:c>
      <x:c r="I396" s="167" t="n">
        <x:v>0</x:v>
      </x:c>
      <x:c r="J396" s="168"/>
      <x:c r="K396" s="168" t="str">
        <x:f>IF(OR(H396="Mastered",J396=""),"",J396+IF(I396&gt;=5,30,IF(I396=4,14,IF(I396=3,7,IF(I396=2,3,1)))))</x:f>
      </x:c>
      <x:c r="L396" s="171" t="str"/>
      <x:c r="M396" s="171" t="str"/>
      <x:c r="N396" s="171" t="str">
        <x:v>Draft — verify in context</x:v>
      </x:c>
      <x:c r="O396" s="167" t="str">
        <x:v>https://www.wgtn.ac.nz/lals/resources/academicwordlist</x:v>
      </x:c>
    </x:row>
    <x:row r="397" ht="26" customHeight="1">
      <x:c r="A397" s="167" t="n">
        <x:v>396</x:v>
      </x:c>
      <x:c r="B397" s="167" t="str">
        <x:v>intervention</x:v>
      </x:c>
      <x:c r="C397" s="170" t="str">
        <x:v>втручання</x:v>
      </x:c>
      <x:c r="D397" s="167" t="n">
        <x:v>7</x:v>
      </x:c>
      <x:c r="E397" s="167" t="str">
        <x:v>Yes</x:v>
      </x:c>
      <x:c r="F397" s="167" t="str">
        <x:v>Medium</x:v>
      </x:c>
      <x:c r="G397" s="167" t="str">
        <x:v>General</x:v>
      </x:c>
      <x:c r="H397" s="167" t="str">
        <x:v>Not Started</x:v>
      </x:c>
      <x:c r="I397" s="167" t="n">
        <x:v>0</x:v>
      </x:c>
      <x:c r="J397" s="168"/>
      <x:c r="K397" s="168" t="str">
        <x:f>IF(OR(H397="Mastered",J397=""),"",J397+IF(I397&gt;=5,30,IF(I397=4,14,IF(I397=3,7,IF(I397=2,3,1)))))</x:f>
      </x:c>
      <x:c r="L397" s="171" t="str"/>
      <x:c r="M397" s="171" t="str"/>
      <x:c r="N397" s="171" t="str">
        <x:v>Draft — verify in context</x:v>
      </x:c>
      <x:c r="O397" s="167" t="str">
        <x:v>https://www.wgtn.ac.nz/lals/resources/academicwordlist</x:v>
      </x:c>
    </x:row>
    <x:row r="398" ht="26" customHeight="1">
      <x:c r="A398" s="167" t="n">
        <x:v>397</x:v>
      </x:c>
      <x:c r="B398" s="167" t="str">
        <x:v>isolated</x:v>
      </x:c>
      <x:c r="C398" s="170" t="str">
        <x:v>ізольований</x:v>
      </x:c>
      <x:c r="D398" s="167" t="n">
        <x:v>7</x:v>
      </x:c>
      <x:c r="E398" s="167" t="str">
        <x:v>No</x:v>
      </x:c>
      <x:c r="F398" s="167" t="str">
        <x:v>Medium</x:v>
      </x:c>
      <x:c r="G398" s="167" t="str">
        <x:v>General</x:v>
      </x:c>
      <x:c r="H398" s="167" t="str">
        <x:v>Not Started</x:v>
      </x:c>
      <x:c r="I398" s="167" t="n">
        <x:v>0</x:v>
      </x:c>
      <x:c r="J398" s="168"/>
      <x:c r="K398" s="168" t="str">
        <x:f>IF(OR(H398="Mastered",J398=""),"",J398+IF(I398&gt;=5,30,IF(I398=4,14,IF(I398=3,7,IF(I398=2,3,1)))))</x:f>
      </x:c>
      <x:c r="L398" s="171" t="str"/>
      <x:c r="M398" s="171" t="str"/>
      <x:c r="N398" s="171" t="str">
        <x:v>Draft — verify in context</x:v>
      </x:c>
      <x:c r="O398" s="167" t="str">
        <x:v>https://www.wgtn.ac.nz/lals/resources/academicwordlist</x:v>
      </x:c>
    </x:row>
    <x:row r="399" ht="26" customHeight="1">
      <x:c r="A399" s="167" t="n">
        <x:v>398</x:v>
      </x:c>
      <x:c r="B399" s="167" t="str">
        <x:v>media</x:v>
      </x:c>
      <x:c r="C399" s="170" t="str">
        <x:v>ЗМІ</x:v>
      </x:c>
      <x:c r="D399" s="167" t="n">
        <x:v>7</x:v>
      </x:c>
      <x:c r="E399" s="167" t="str">
        <x:v>No</x:v>
      </x:c>
      <x:c r="F399" s="167" t="str">
        <x:v>Medium</x:v>
      </x:c>
      <x:c r="G399" s="167" t="str">
        <x:v>General</x:v>
      </x:c>
      <x:c r="H399" s="167" t="str">
        <x:v>Not Started</x:v>
      </x:c>
      <x:c r="I399" s="167" t="n">
        <x:v>0</x:v>
      </x:c>
      <x:c r="J399" s="168"/>
      <x:c r="K399" s="168" t="str">
        <x:f>IF(OR(H399="Mastered",J399=""),"",J399+IF(I399&gt;=5,30,IF(I399=4,14,IF(I399=3,7,IF(I399=2,3,1)))))</x:f>
      </x:c>
      <x:c r="L399" s="171" t="str"/>
      <x:c r="M399" s="171" t="str"/>
      <x:c r="N399" s="171" t="str">
        <x:v>Draft — verify in context</x:v>
      </x:c>
      <x:c r="O399" s="167" t="str">
        <x:v>https://www.wgtn.ac.nz/lals/resources/academicwordlist</x:v>
      </x:c>
    </x:row>
    <x:row r="400" ht="26" customHeight="1">
      <x:c r="A400" s="167" t="n">
        <x:v>399</x:v>
      </x:c>
      <x:c r="B400" s="167" t="str">
        <x:v>mode</x:v>
      </x:c>
      <x:c r="C400" s="170" t="str">
        <x:v>режим</x:v>
      </x:c>
      <x:c r="D400" s="167" t="n">
        <x:v>7</x:v>
      </x:c>
      <x:c r="E400" s="167" t="str">
        <x:v>No</x:v>
      </x:c>
      <x:c r="F400" s="167" t="str">
        <x:v>Medium</x:v>
      </x:c>
      <x:c r="G400" s="167" t="str">
        <x:v>General</x:v>
      </x:c>
      <x:c r="H400" s="167" t="str">
        <x:v>Not Started</x:v>
      </x:c>
      <x:c r="I400" s="167" t="n">
        <x:v>0</x:v>
      </x:c>
      <x:c r="J400" s="168"/>
      <x:c r="K400" s="168" t="str">
        <x:f>IF(OR(H400="Mastered",J400=""),"",J400+IF(I400&gt;=5,30,IF(I400=4,14,IF(I400=3,7,IF(I400=2,3,1)))))</x:f>
      </x:c>
      <x:c r="L400" s="171" t="str"/>
      <x:c r="M400" s="171" t="str"/>
      <x:c r="N400" s="171" t="str">
        <x:v>Draft — verify in context</x:v>
      </x:c>
      <x:c r="O400" s="167" t="str">
        <x:v>https://www.wgtn.ac.nz/lals/resources/academicwordlist</x:v>
      </x:c>
    </x:row>
    <x:row r="401" ht="26" customHeight="1">
      <x:c r="A401" s="167" t="n">
        <x:v>400</x:v>
      </x:c>
      <x:c r="B401" s="167" t="str">
        <x:v>paradigm</x:v>
      </x:c>
      <x:c r="C401" s="170" t="str">
        <x:v>парадигма</x:v>
      </x:c>
      <x:c r="D401" s="167" t="n">
        <x:v>7</x:v>
      </x:c>
      <x:c r="E401" s="167" t="str">
        <x:v>No</x:v>
      </x:c>
      <x:c r="F401" s="167" t="str">
        <x:v>Medium</x:v>
      </x:c>
      <x:c r="G401" s="167" t="str">
        <x:v>General</x:v>
      </x:c>
      <x:c r="H401" s="167" t="str">
        <x:v>Not Started</x:v>
      </x:c>
      <x:c r="I401" s="167" t="n">
        <x:v>0</x:v>
      </x:c>
      <x:c r="J401" s="168"/>
      <x:c r="K401" s="168" t="str">
        <x:f>IF(OR(H401="Mastered",J401=""),"",J401+IF(I401&gt;=5,30,IF(I401=4,14,IF(I401=3,7,IF(I401=2,3,1)))))</x:f>
      </x:c>
      <x:c r="L401" s="171" t="str"/>
      <x:c r="M401" s="171" t="str"/>
      <x:c r="N401" s="171" t="str">
        <x:v>Draft — verify in context</x:v>
      </x:c>
      <x:c r="O401" s="167" t="str">
        <x:v>https://www.wgtn.ac.nz/lals/resources/academicwordlist</x:v>
      </x:c>
    </x:row>
    <x:row r="402" ht="26" customHeight="1">
      <x:c r="A402" s="167" t="n">
        <x:v>401</x:v>
      </x:c>
      <x:c r="B402" s="167" t="str">
        <x:v>phenomenon</x:v>
      </x:c>
      <x:c r="C402" s="170" t="str">
        <x:v>явище</x:v>
      </x:c>
      <x:c r="D402" s="167" t="n">
        <x:v>7</x:v>
      </x:c>
      <x:c r="E402" s="167" t="str">
        <x:v>No</x:v>
      </x:c>
      <x:c r="F402" s="167" t="str">
        <x:v>Medium</x:v>
      </x:c>
      <x:c r="G402" s="167" t="str">
        <x:v>General</x:v>
      </x:c>
      <x:c r="H402" s="167" t="str">
        <x:v>Not Started</x:v>
      </x:c>
      <x:c r="I402" s="167" t="n">
        <x:v>0</x:v>
      </x:c>
      <x:c r="J402" s="168"/>
      <x:c r="K402" s="168" t="str">
        <x:f>IF(OR(H402="Mastered",J402=""),"",J402+IF(I402&gt;=5,30,IF(I402=4,14,IF(I402=3,7,IF(I402=2,3,1)))))</x:f>
      </x:c>
      <x:c r="L402" s="171" t="str"/>
      <x:c r="M402" s="171" t="str"/>
      <x:c r="N402" s="171" t="str">
        <x:v>Draft — verify in context</x:v>
      </x:c>
      <x:c r="O402" s="167" t="str">
        <x:v>https://www.wgtn.ac.nz/lals/resources/academicwordlist</x:v>
      </x:c>
    </x:row>
    <x:row r="403" ht="26" customHeight="1">
      <x:c r="A403" s="167" t="n">
        <x:v>402</x:v>
      </x:c>
      <x:c r="B403" s="167" t="str">
        <x:v>priority</x:v>
      </x:c>
      <x:c r="C403" s="170" t="str">
        <x:v>пріоритет</x:v>
      </x:c>
      <x:c r="D403" s="167" t="n">
        <x:v>7</x:v>
      </x:c>
      <x:c r="E403" s="167" t="str">
        <x:v>No</x:v>
      </x:c>
      <x:c r="F403" s="167" t="str">
        <x:v>Medium</x:v>
      </x:c>
      <x:c r="G403" s="167" t="str">
        <x:v>General</x:v>
      </x:c>
      <x:c r="H403" s="167" t="str">
        <x:v>Not Started</x:v>
      </x:c>
      <x:c r="I403" s="167" t="n">
        <x:v>0</x:v>
      </x:c>
      <x:c r="J403" s="168"/>
      <x:c r="K403" s="168" t="str">
        <x:f>IF(OR(H403="Mastered",J403=""),"",J403+IF(I403&gt;=5,30,IF(I403=4,14,IF(I403=3,7,IF(I403=2,3,1)))))</x:f>
      </x:c>
      <x:c r="L403" s="171" t="str"/>
      <x:c r="M403" s="171" t="str"/>
      <x:c r="N403" s="171" t="str">
        <x:v>Draft — verify in context</x:v>
      </x:c>
      <x:c r="O403" s="167" t="str">
        <x:v>https://www.wgtn.ac.nz/lals/resources/academicwordlist</x:v>
      </x:c>
    </x:row>
    <x:row r="404" ht="26" customHeight="1">
      <x:c r="A404" s="167" t="n">
        <x:v>403</x:v>
      </x:c>
      <x:c r="B404" s="167" t="str">
        <x:v>prohibited</x:v>
      </x:c>
      <x:c r="C404" s="170" t="str">
        <x:v>заборонено</x:v>
      </x:c>
      <x:c r="D404" s="167" t="n">
        <x:v>7</x:v>
      </x:c>
      <x:c r="E404" s="167" t="str">
        <x:v>No</x:v>
      </x:c>
      <x:c r="F404" s="167" t="str">
        <x:v>Medium</x:v>
      </x:c>
      <x:c r="G404" s="167" t="str">
        <x:v>General</x:v>
      </x:c>
      <x:c r="H404" s="167" t="str">
        <x:v>Not Started</x:v>
      </x:c>
      <x:c r="I404" s="167" t="n">
        <x:v>0</x:v>
      </x:c>
      <x:c r="J404" s="168"/>
      <x:c r="K404" s="168" t="str">
        <x:f>IF(OR(H404="Mastered",J404=""),"",J404+IF(I404&gt;=5,30,IF(I404=4,14,IF(I404=3,7,IF(I404=2,3,1)))))</x:f>
      </x:c>
      <x:c r="L404" s="171" t="str"/>
      <x:c r="M404" s="171" t="str"/>
      <x:c r="N404" s="171" t="str">
        <x:v>Draft — verify in context</x:v>
      </x:c>
      <x:c r="O404" s="167" t="str">
        <x:v>https://www.wgtn.ac.nz/lals/resources/academicwordlist</x:v>
      </x:c>
    </x:row>
    <x:row r="405" ht="26" customHeight="1">
      <x:c r="A405" s="167" t="n">
        <x:v>404</x:v>
      </x:c>
      <x:c r="B405" s="167" t="str">
        <x:v>publication</x:v>
      </x:c>
      <x:c r="C405" s="170" t="str">
        <x:v>публікація</x:v>
      </x:c>
      <x:c r="D405" s="167" t="n">
        <x:v>7</x:v>
      </x:c>
      <x:c r="E405" s="167" t="str">
        <x:v>No</x:v>
      </x:c>
      <x:c r="F405" s="167" t="str">
        <x:v>Medium</x:v>
      </x:c>
      <x:c r="G405" s="167" t="str">
        <x:v>General</x:v>
      </x:c>
      <x:c r="H405" s="167" t="str">
        <x:v>Not Started</x:v>
      </x:c>
      <x:c r="I405" s="167" t="n">
        <x:v>0</x:v>
      </x:c>
      <x:c r="J405" s="168"/>
      <x:c r="K405" s="168" t="str">
        <x:f>IF(OR(H405="Mastered",J405=""),"",J405+IF(I405&gt;=5,30,IF(I405=4,14,IF(I405=3,7,IF(I405=2,3,1)))))</x:f>
      </x:c>
      <x:c r="L405" s="171" t="str"/>
      <x:c r="M405" s="171" t="str"/>
      <x:c r="N405" s="171" t="str">
        <x:v>Draft — verify in context</x:v>
      </x:c>
      <x:c r="O405" s="167" t="str">
        <x:v>https://www.wgtn.ac.nz/lals/resources/academicwordlist</x:v>
      </x:c>
    </x:row>
    <x:row r="406" ht="26" customHeight="1">
      <x:c r="A406" s="167" t="n">
        <x:v>405</x:v>
      </x:c>
      <x:c r="B406" s="167" t="str">
        <x:v>quotation</x:v>
      </x:c>
      <x:c r="C406" s="170" t="str">
        <x:v>цитата</x:v>
      </x:c>
      <x:c r="D406" s="167" t="n">
        <x:v>7</x:v>
      </x:c>
      <x:c r="E406" s="167" t="str">
        <x:v>No</x:v>
      </x:c>
      <x:c r="F406" s="167" t="str">
        <x:v>Medium</x:v>
      </x:c>
      <x:c r="G406" s="167" t="str">
        <x:v>General</x:v>
      </x:c>
      <x:c r="H406" s="167" t="str">
        <x:v>Not Started</x:v>
      </x:c>
      <x:c r="I406" s="167" t="n">
        <x:v>0</x:v>
      </x:c>
      <x:c r="J406" s="168"/>
      <x:c r="K406" s="168" t="str">
        <x:f>IF(OR(H406="Mastered",J406=""),"",J406+IF(I406&gt;=5,30,IF(I406=4,14,IF(I406=3,7,IF(I406=2,3,1)))))</x:f>
      </x:c>
      <x:c r="L406" s="171" t="str"/>
      <x:c r="M406" s="171" t="str"/>
      <x:c r="N406" s="171" t="str">
        <x:v>Draft — verify in context</x:v>
      </x:c>
      <x:c r="O406" s="167" t="str">
        <x:v>https://www.wgtn.ac.nz/lals/resources/academicwordlist</x:v>
      </x:c>
    </x:row>
    <x:row r="407" ht="26" customHeight="1">
      <x:c r="A407" s="167" t="n">
        <x:v>406</x:v>
      </x:c>
      <x:c r="B407" s="167" t="str">
        <x:v>release</x:v>
      </x:c>
      <x:c r="C407" s="170" t="str">
        <x:v>реліз</x:v>
      </x:c>
      <x:c r="D407" s="167" t="n">
        <x:v>7</x:v>
      </x:c>
      <x:c r="E407" s="167" t="str">
        <x:v>No</x:v>
      </x:c>
      <x:c r="F407" s="167" t="str">
        <x:v>Medium</x:v>
      </x:c>
      <x:c r="G407" s="167" t="str">
        <x:v>General</x:v>
      </x:c>
      <x:c r="H407" s="167" t="str">
        <x:v>Not Started</x:v>
      </x:c>
      <x:c r="I407" s="167" t="n">
        <x:v>0</x:v>
      </x:c>
      <x:c r="J407" s="168"/>
      <x:c r="K407" s="168" t="str">
        <x:f>IF(OR(H407="Mastered",J407=""),"",J407+IF(I407&gt;=5,30,IF(I407=4,14,IF(I407=3,7,IF(I407=2,3,1)))))</x:f>
      </x:c>
      <x:c r="L407" s="171" t="str"/>
      <x:c r="M407" s="171" t="str"/>
      <x:c r="N407" s="171" t="str">
        <x:v>Draft — verify in context</x:v>
      </x:c>
      <x:c r="O407" s="167" t="str">
        <x:v>https://www.wgtn.ac.nz/lals/resources/academicwordlist</x:v>
      </x:c>
    </x:row>
    <x:row r="408" ht="26" customHeight="1">
      <x:c r="A408" s="167" t="n">
        <x:v>407</x:v>
      </x:c>
      <x:c r="B408" s="167" t="str">
        <x:v>reverse</x:v>
      </x:c>
      <x:c r="C408" s="170" t="str">
        <x:v>реверс</x:v>
      </x:c>
      <x:c r="D408" s="167" t="n">
        <x:v>7</x:v>
      </x:c>
      <x:c r="E408" s="167" t="str">
        <x:v>No</x:v>
      </x:c>
      <x:c r="F408" s="167" t="str">
        <x:v>Medium</x:v>
      </x:c>
      <x:c r="G408" s="167" t="str">
        <x:v>General</x:v>
      </x:c>
      <x:c r="H408" s="167" t="str">
        <x:v>Not Started</x:v>
      </x:c>
      <x:c r="I408" s="167" t="n">
        <x:v>0</x:v>
      </x:c>
      <x:c r="J408" s="168"/>
      <x:c r="K408" s="168" t="str">
        <x:f>IF(OR(H408="Mastered",J408=""),"",J408+IF(I408&gt;=5,30,IF(I408=4,14,IF(I408=3,7,IF(I408=2,3,1)))))</x:f>
      </x:c>
      <x:c r="L408" s="171" t="str"/>
      <x:c r="M408" s="171" t="str"/>
      <x:c r="N408" s="171" t="str">
        <x:v>Draft — verify in context</x:v>
      </x:c>
      <x:c r="O408" s="167" t="str">
        <x:v>https://www.wgtn.ac.nz/lals/resources/academicwordlist</x:v>
      </x:c>
    </x:row>
    <x:row r="409" ht="26" customHeight="1">
      <x:c r="A409" s="167" t="n">
        <x:v>408</x:v>
      </x:c>
      <x:c r="B409" s="167" t="str">
        <x:v>simulation</x:v>
      </x:c>
      <x:c r="C409" s="170" t="str">
        <x:v>моделювання</x:v>
      </x:c>
      <x:c r="D409" s="167" t="n">
        <x:v>7</x:v>
      </x:c>
      <x:c r="E409" s="167" t="str">
        <x:v>Yes</x:v>
      </x:c>
      <x:c r="F409" s="167" t="str">
        <x:v>Medium</x:v>
      </x:c>
      <x:c r="G409" s="167" t="str">
        <x:v>General</x:v>
      </x:c>
      <x:c r="H409" s="167" t="str">
        <x:v>Not Started</x:v>
      </x:c>
      <x:c r="I409" s="167" t="n">
        <x:v>0</x:v>
      </x:c>
      <x:c r="J409" s="168"/>
      <x:c r="K409" s="168" t="str">
        <x:f>IF(OR(H409="Mastered",J409=""),"",J409+IF(I409&gt;=5,30,IF(I409=4,14,IF(I409=3,7,IF(I409=2,3,1)))))</x:f>
      </x:c>
      <x:c r="L409" s="171" t="str"/>
      <x:c r="M409" s="171" t="str"/>
      <x:c r="N409" s="171" t="str">
        <x:v>Draft — verify in context</x:v>
      </x:c>
      <x:c r="O409" s="167" t="str">
        <x:v>https://www.wgtn.ac.nz/lals/resources/academicwordlist</x:v>
      </x:c>
    </x:row>
    <x:row r="410" ht="26" customHeight="1">
      <x:c r="A410" s="167" t="n">
        <x:v>409</x:v>
      </x:c>
      <x:c r="B410" s="167" t="str">
        <x:v>solely</x:v>
      </x:c>
      <x:c r="C410" s="170" t="str">
        <x:v>виключно</x:v>
      </x:c>
      <x:c r="D410" s="167" t="n">
        <x:v>7</x:v>
      </x:c>
      <x:c r="E410" s="167" t="str">
        <x:v>Yes</x:v>
      </x:c>
      <x:c r="F410" s="167" t="str">
        <x:v>Medium</x:v>
      </x:c>
      <x:c r="G410" s="167" t="str">
        <x:v>General</x:v>
      </x:c>
      <x:c r="H410" s="167" t="str">
        <x:v>Not Started</x:v>
      </x:c>
      <x:c r="I410" s="167" t="n">
        <x:v>0</x:v>
      </x:c>
      <x:c r="J410" s="168"/>
      <x:c r="K410" s="168" t="str">
        <x:f>IF(OR(H410="Mastered",J410=""),"",J410+IF(I410&gt;=5,30,IF(I410=4,14,IF(I410=3,7,IF(I410=2,3,1)))))</x:f>
      </x:c>
      <x:c r="L410" s="171" t="str"/>
      <x:c r="M410" s="171" t="str"/>
      <x:c r="N410" s="171" t="str">
        <x:v>Draft — verify in context</x:v>
      </x:c>
      <x:c r="O410" s="167" t="str">
        <x:v>https://www.wgtn.ac.nz/lals/resources/academicwordlist</x:v>
      </x:c>
    </x:row>
    <x:row r="411" ht="26" customHeight="1">
      <x:c r="A411" s="167" t="n">
        <x:v>410</x:v>
      </x:c>
      <x:c r="B411" s="167" t="str">
        <x:v>somewhat</x:v>
      </x:c>
      <x:c r="C411" s="170" t="str">
        <x:v>дещо</x:v>
      </x:c>
      <x:c r="D411" s="167" t="n">
        <x:v>7</x:v>
      </x:c>
      <x:c r="E411" s="167" t="str">
        <x:v>No</x:v>
      </x:c>
      <x:c r="F411" s="167" t="str">
        <x:v>Medium</x:v>
      </x:c>
      <x:c r="G411" s="167" t="str">
        <x:v>General</x:v>
      </x:c>
      <x:c r="H411" s="167" t="str">
        <x:v>Not Started</x:v>
      </x:c>
      <x:c r="I411" s="167" t="n">
        <x:v>0</x:v>
      </x:c>
      <x:c r="J411" s="168"/>
      <x:c r="K411" s="168" t="str">
        <x:f>IF(OR(H411="Mastered",J411=""),"",J411+IF(I411&gt;=5,30,IF(I411=4,14,IF(I411=3,7,IF(I411=2,3,1)))))</x:f>
      </x:c>
      <x:c r="L411" s="171" t="str"/>
      <x:c r="M411" s="171" t="str"/>
      <x:c r="N411" s="171" t="str">
        <x:v>Draft — verify in context</x:v>
      </x:c>
      <x:c r="O411" s="167" t="str">
        <x:v>https://www.wgtn.ac.nz/lals/resources/academicwordlist</x:v>
      </x:c>
    </x:row>
    <x:row r="412" ht="26" customHeight="1">
      <x:c r="A412" s="167" t="n">
        <x:v>411</x:v>
      </x:c>
      <x:c r="B412" s="167" t="str">
        <x:v>submitted</x:v>
      </x:c>
      <x:c r="C412" s="170" t="str">
        <x:v>подано</x:v>
      </x:c>
      <x:c r="D412" s="167" t="n">
        <x:v>7</x:v>
      </x:c>
      <x:c r="E412" s="167" t="str">
        <x:v>No</x:v>
      </x:c>
      <x:c r="F412" s="167" t="str">
        <x:v>Medium</x:v>
      </x:c>
      <x:c r="G412" s="167" t="str">
        <x:v>General</x:v>
      </x:c>
      <x:c r="H412" s="167" t="str">
        <x:v>Not Started</x:v>
      </x:c>
      <x:c r="I412" s="167" t="n">
        <x:v>0</x:v>
      </x:c>
      <x:c r="J412" s="168"/>
      <x:c r="K412" s="168" t="str">
        <x:f>IF(OR(H412="Mastered",J412=""),"",J412+IF(I412&gt;=5,30,IF(I412=4,14,IF(I412=3,7,IF(I412=2,3,1)))))</x:f>
      </x:c>
      <x:c r="L412" s="171" t="str"/>
      <x:c r="M412" s="171" t="str"/>
      <x:c r="N412" s="171" t="str">
        <x:v>Draft — verify in context</x:v>
      </x:c>
      <x:c r="O412" s="167" t="str">
        <x:v>https://www.wgtn.ac.nz/lals/resources/academicwordlist</x:v>
      </x:c>
    </x:row>
    <x:row r="413" ht="26" customHeight="1">
      <x:c r="A413" s="167" t="n">
        <x:v>412</x:v>
      </x:c>
      <x:c r="B413" s="167" t="str">
        <x:v>successive</x:v>
      </x:c>
      <x:c r="C413" s="170" t="str">
        <x:v>послідовний</x:v>
      </x:c>
      <x:c r="D413" s="167" t="n">
        <x:v>7</x:v>
      </x:c>
      <x:c r="E413" s="167" t="str">
        <x:v>Yes</x:v>
      </x:c>
      <x:c r="F413" s="167" t="str">
        <x:v>Medium</x:v>
      </x:c>
      <x:c r="G413" s="167" t="str">
        <x:v>General</x:v>
      </x:c>
      <x:c r="H413" s="167" t="str">
        <x:v>Not Started</x:v>
      </x:c>
      <x:c r="I413" s="167" t="n">
        <x:v>0</x:v>
      </x:c>
      <x:c r="J413" s="168"/>
      <x:c r="K413" s="168" t="str">
        <x:f>IF(OR(H413="Mastered",J413=""),"",J413+IF(I413&gt;=5,30,IF(I413=4,14,IF(I413=3,7,IF(I413=2,3,1)))))</x:f>
      </x:c>
      <x:c r="L413" s="171" t="str"/>
      <x:c r="M413" s="171" t="str"/>
      <x:c r="N413" s="171" t="str">
        <x:v>Draft — verify in context</x:v>
      </x:c>
      <x:c r="O413" s="167" t="str">
        <x:v>https://www.wgtn.ac.nz/lals/resources/academicwordlist</x:v>
      </x:c>
    </x:row>
    <x:row r="414" ht="26" customHeight="1">
      <x:c r="A414" s="167" t="n">
        <x:v>413</x:v>
      </x:c>
      <x:c r="B414" s="167" t="str">
        <x:v>survive</x:v>
      </x:c>
      <x:c r="C414" s="170" t="str">
        <x:v>вижити</x:v>
      </x:c>
      <x:c r="D414" s="167" t="n">
        <x:v>7</x:v>
      </x:c>
      <x:c r="E414" s="167" t="str">
        <x:v>No</x:v>
      </x:c>
      <x:c r="F414" s="167" t="str">
        <x:v>Medium</x:v>
      </x:c>
      <x:c r="G414" s="167" t="str">
        <x:v>General</x:v>
      </x:c>
      <x:c r="H414" s="167" t="str">
        <x:v>Not Started</x:v>
      </x:c>
      <x:c r="I414" s="167" t="n">
        <x:v>0</x:v>
      </x:c>
      <x:c r="J414" s="168"/>
      <x:c r="K414" s="168" t="str">
        <x:f>IF(OR(H414="Mastered",J414=""),"",J414+IF(I414&gt;=5,30,IF(I414=4,14,IF(I414=3,7,IF(I414=2,3,1)))))</x:f>
      </x:c>
      <x:c r="L414" s="171" t="str"/>
      <x:c r="M414" s="171" t="str"/>
      <x:c r="N414" s="171" t="str">
        <x:v>Draft — verify in context</x:v>
      </x:c>
      <x:c r="O414" s="167" t="str">
        <x:v>https://www.wgtn.ac.nz/lals/resources/academicwordlist</x:v>
      </x:c>
    </x:row>
    <x:row r="415" ht="26" customHeight="1">
      <x:c r="A415" s="167" t="n">
        <x:v>414</x:v>
      </x:c>
      <x:c r="B415" s="167" t="str">
        <x:v>thesis</x:v>
      </x:c>
      <x:c r="C415" s="170" t="str">
        <x:v>теза</x:v>
      </x:c>
      <x:c r="D415" s="167" t="n">
        <x:v>7</x:v>
      </x:c>
      <x:c r="E415" s="167" t="str">
        <x:v>No</x:v>
      </x:c>
      <x:c r="F415" s="167" t="str">
        <x:v>Medium</x:v>
      </x:c>
      <x:c r="G415" s="167" t="str">
        <x:v>General</x:v>
      </x:c>
      <x:c r="H415" s="167" t="str">
        <x:v>Not Started</x:v>
      </x:c>
      <x:c r="I415" s="167" t="n">
        <x:v>0</x:v>
      </x:c>
      <x:c r="J415" s="168"/>
      <x:c r="K415" s="168" t="str">
        <x:f>IF(OR(H415="Mastered",J415=""),"",J415+IF(I415&gt;=5,30,IF(I415=4,14,IF(I415=3,7,IF(I415=2,3,1)))))</x:f>
      </x:c>
      <x:c r="L415" s="171" t="str"/>
      <x:c r="M415" s="171" t="str"/>
      <x:c r="N415" s="171" t="str">
        <x:v>Draft — verify in context</x:v>
      </x:c>
      <x:c r="O415" s="167" t="str">
        <x:v>https://www.wgtn.ac.nz/lals/resources/academicwordlist</x:v>
      </x:c>
    </x:row>
    <x:row r="416" ht="26" customHeight="1">
      <x:c r="A416" s="167" t="n">
        <x:v>415</x:v>
      </x:c>
      <x:c r="B416" s="167" t="str">
        <x:v>topic</x:v>
      </x:c>
      <x:c r="C416" s="170" t="str">
        <x:v>тема</x:v>
      </x:c>
      <x:c r="D416" s="167" t="n">
        <x:v>7</x:v>
      </x:c>
      <x:c r="E416" s="167" t="str">
        <x:v>No</x:v>
      </x:c>
      <x:c r="F416" s="167" t="str">
        <x:v>Medium</x:v>
      </x:c>
      <x:c r="G416" s="167" t="str">
        <x:v>General</x:v>
      </x:c>
      <x:c r="H416" s="167" t="str">
        <x:v>Not Started</x:v>
      </x:c>
      <x:c r="I416" s="167" t="n">
        <x:v>0</x:v>
      </x:c>
      <x:c r="J416" s="168"/>
      <x:c r="K416" s="168" t="str">
        <x:f>IF(OR(H416="Mastered",J416=""),"",J416+IF(I416&gt;=5,30,IF(I416=4,14,IF(I416=3,7,IF(I416=2,3,1)))))</x:f>
      </x:c>
      <x:c r="L416" s="171" t="str"/>
      <x:c r="M416" s="171" t="str"/>
      <x:c r="N416" s="171" t="str">
        <x:v>Draft — verify in context</x:v>
      </x:c>
      <x:c r="O416" s="167" t="str">
        <x:v>https://www.wgtn.ac.nz/lals/resources/academicwordlist</x:v>
      </x:c>
    </x:row>
    <x:row r="417" ht="26" customHeight="1">
      <x:c r="A417" s="167" t="n">
        <x:v>416</x:v>
      </x:c>
      <x:c r="B417" s="167" t="str">
        <x:v>transmission</x:v>
      </x:c>
      <x:c r="C417" s="170" t="str">
        <x:v>передача</x:v>
      </x:c>
      <x:c r="D417" s="167" t="n">
        <x:v>7</x:v>
      </x:c>
      <x:c r="E417" s="167" t="str">
        <x:v>Yes</x:v>
      </x:c>
      <x:c r="F417" s="167" t="str">
        <x:v>Medium</x:v>
      </x:c>
      <x:c r="G417" s="167" t="str">
        <x:v>General</x:v>
      </x:c>
      <x:c r="H417" s="167" t="str">
        <x:v>Not Started</x:v>
      </x:c>
      <x:c r="I417" s="167" t="n">
        <x:v>0</x:v>
      </x:c>
      <x:c r="J417" s="168"/>
      <x:c r="K417" s="168" t="str">
        <x:f>IF(OR(H417="Mastered",J417=""),"",J417+IF(I417&gt;=5,30,IF(I417=4,14,IF(I417=3,7,IF(I417=2,3,1)))))</x:f>
      </x:c>
      <x:c r="L417" s="171" t="str"/>
      <x:c r="M417" s="171" t="str"/>
      <x:c r="N417" s="171" t="str">
        <x:v>Draft — verify in context</x:v>
      </x:c>
      <x:c r="O417" s="167" t="str">
        <x:v>https://www.wgtn.ac.nz/lals/resources/academicwordlist</x:v>
      </x:c>
    </x:row>
    <x:row r="418" ht="26" customHeight="1">
      <x:c r="A418" s="167" t="n">
        <x:v>417</x:v>
      </x:c>
      <x:c r="B418" s="167" t="str">
        <x:v>ultimately</x:v>
      </x:c>
      <x:c r="C418" s="170" t="str">
        <x:v>зрештою</x:v>
      </x:c>
      <x:c r="D418" s="167" t="n">
        <x:v>7</x:v>
      </x:c>
      <x:c r="E418" s="167" t="str">
        <x:v>No</x:v>
      </x:c>
      <x:c r="F418" s="167" t="str">
        <x:v>Medium</x:v>
      </x:c>
      <x:c r="G418" s="167" t="str">
        <x:v>General</x:v>
      </x:c>
      <x:c r="H418" s="167" t="str">
        <x:v>Not Started</x:v>
      </x:c>
      <x:c r="I418" s="167" t="n">
        <x:v>0</x:v>
      </x:c>
      <x:c r="J418" s="168"/>
      <x:c r="K418" s="168" t="str">
        <x:f>IF(OR(H418="Mastered",J418=""),"",J418+IF(I418&gt;=5,30,IF(I418=4,14,IF(I418=3,7,IF(I418=2,3,1)))))</x:f>
      </x:c>
      <x:c r="L418" s="171" t="str"/>
      <x:c r="M418" s="171" t="str"/>
      <x:c r="N418" s="171" t="str">
        <x:v>Draft — verify in context</x:v>
      </x:c>
      <x:c r="O418" s="167" t="str">
        <x:v>https://www.wgtn.ac.nz/lals/resources/academicwordlist</x:v>
      </x:c>
    </x:row>
    <x:row r="419" ht="26" customHeight="1">
      <x:c r="A419" s="167" t="n">
        <x:v>418</x:v>
      </x:c>
      <x:c r="B419" s="167" t="str">
        <x:v>unique</x:v>
      </x:c>
      <x:c r="C419" s="170" t="str">
        <x:v>унікальний</x:v>
      </x:c>
      <x:c r="D419" s="167" t="n">
        <x:v>7</x:v>
      </x:c>
      <x:c r="E419" s="167" t="str">
        <x:v>No</x:v>
      </x:c>
      <x:c r="F419" s="167" t="str">
        <x:v>Medium</x:v>
      </x:c>
      <x:c r="G419" s="167" t="str">
        <x:v>General</x:v>
      </x:c>
      <x:c r="H419" s="167" t="str">
        <x:v>Not Started</x:v>
      </x:c>
      <x:c r="I419" s="167" t="n">
        <x:v>0</x:v>
      </x:c>
      <x:c r="J419" s="168"/>
      <x:c r="K419" s="168" t="str">
        <x:f>IF(OR(H419="Mastered",J419=""),"",J419+IF(I419&gt;=5,30,IF(I419=4,14,IF(I419=3,7,IF(I419=2,3,1)))))</x:f>
      </x:c>
      <x:c r="L419" s="171" t="str"/>
      <x:c r="M419" s="171" t="str"/>
      <x:c r="N419" s="171" t="str">
        <x:v>Draft — verify in context</x:v>
      </x:c>
      <x:c r="O419" s="167" t="str">
        <x:v>https://www.wgtn.ac.nz/lals/resources/academicwordlist</x:v>
      </x:c>
    </x:row>
    <x:row r="420" ht="26" customHeight="1">
      <x:c r="A420" s="167" t="n">
        <x:v>419</x:v>
      </x:c>
      <x:c r="B420" s="167" t="str">
        <x:v>visible</x:v>
      </x:c>
      <x:c r="C420" s="170" t="str">
        <x:v>видно</x:v>
      </x:c>
      <x:c r="D420" s="167" t="n">
        <x:v>7</x:v>
      </x:c>
      <x:c r="E420" s="167" t="str">
        <x:v>No</x:v>
      </x:c>
      <x:c r="F420" s="167" t="str">
        <x:v>Medium</x:v>
      </x:c>
      <x:c r="G420" s="167" t="str">
        <x:v>General</x:v>
      </x:c>
      <x:c r="H420" s="167" t="str">
        <x:v>Not Started</x:v>
      </x:c>
      <x:c r="I420" s="167" t="n">
        <x:v>0</x:v>
      </x:c>
      <x:c r="J420" s="168"/>
      <x:c r="K420" s="168" t="str">
        <x:f>IF(OR(H420="Mastered",J420=""),"",J420+IF(I420&gt;=5,30,IF(I420=4,14,IF(I420=3,7,IF(I420=2,3,1)))))</x:f>
      </x:c>
      <x:c r="L420" s="171" t="str"/>
      <x:c r="M420" s="171" t="str"/>
      <x:c r="N420" s="171" t="str">
        <x:v>Draft — verify in context</x:v>
      </x:c>
      <x:c r="O420" s="167" t="str">
        <x:v>https://www.wgtn.ac.nz/lals/resources/academicwordlist</x:v>
      </x:c>
    </x:row>
    <x:row r="421" ht="26" customHeight="1">
      <x:c r="A421" s="167" t="n">
        <x:v>420</x:v>
      </x:c>
      <x:c r="B421" s="167" t="str">
        <x:v>voluntary</x:v>
      </x:c>
      <x:c r="C421" s="170" t="str">
        <x:v>добровільний</x:v>
      </x:c>
      <x:c r="D421" s="167" t="n">
        <x:v>7</x:v>
      </x:c>
      <x:c r="E421" s="167" t="str">
        <x:v>No</x:v>
      </x:c>
      <x:c r="F421" s="167" t="str">
        <x:v>Medium</x:v>
      </x:c>
      <x:c r="G421" s="167" t="str">
        <x:v>General</x:v>
      </x:c>
      <x:c r="H421" s="167" t="str">
        <x:v>Not Started</x:v>
      </x:c>
      <x:c r="I421" s="167" t="n">
        <x:v>0</x:v>
      </x:c>
      <x:c r="J421" s="168"/>
      <x:c r="K421" s="168" t="str">
        <x:f>IF(OR(H421="Mastered",J421=""),"",J421+IF(I421&gt;=5,30,IF(I421=4,14,IF(I421=3,7,IF(I421=2,3,1)))))</x:f>
      </x:c>
      <x:c r="L421" s="171" t="str"/>
      <x:c r="M421" s="171" t="str"/>
      <x:c r="N421" s="171" t="str">
        <x:v>Draft — verify in context</x:v>
      </x:c>
      <x:c r="O421" s="167" t="str">
        <x:v>https://www.wgtn.ac.nz/lals/resources/academicwordlist</x:v>
      </x:c>
    </x:row>
    <x:row r="422" ht="26" customHeight="1">
      <x:c r="A422" s="167" t="n">
        <x:v>421</x:v>
      </x:c>
      <x:c r="B422" s="167" t="str">
        <x:v>abandon</x:v>
      </x:c>
      <x:c r="C422" s="170" t="str">
        <x:v>відмовитися</x:v>
      </x:c>
      <x:c r="D422" s="167" t="n">
        <x:v>8</x:v>
      </x:c>
      <x:c r="E422" s="167" t="str">
        <x:v>No</x:v>
      </x:c>
      <x:c r="F422" s="167" t="str">
        <x:v>Medium</x:v>
      </x:c>
      <x:c r="G422" s="167" t="str">
        <x:v>General</x:v>
      </x:c>
      <x:c r="H422" s="167" t="str">
        <x:v>Not Started</x:v>
      </x:c>
      <x:c r="I422" s="167" t="n">
        <x:v>0</x:v>
      </x:c>
      <x:c r="J422" s="168"/>
      <x:c r="K422" s="168" t="str">
        <x:f>IF(OR(H422="Mastered",J422=""),"",J422+IF(I422&gt;=5,30,IF(I422=4,14,IF(I422=3,7,IF(I422=2,3,1)))))</x:f>
      </x:c>
      <x:c r="L422" s="171" t="str"/>
      <x:c r="M422" s="171" t="str"/>
      <x:c r="N422" s="171" t="str">
        <x:v>Draft — verify in context</x:v>
      </x:c>
      <x:c r="O422" s="167" t="str">
        <x:v>https://www.wgtn.ac.nz/lals/resources/academicwordlist</x:v>
      </x:c>
    </x:row>
    <x:row r="423" ht="26" customHeight="1">
      <x:c r="A423" s="167" t="n">
        <x:v>422</x:v>
      </x:c>
      <x:c r="B423" s="167" t="str">
        <x:v>accompanied</x:v>
      </x:c>
      <x:c r="C423" s="170" t="str">
        <x:v>у супроводі</x:v>
      </x:c>
      <x:c r="D423" s="167" t="n">
        <x:v>8</x:v>
      </x:c>
      <x:c r="E423" s="167" t="str">
        <x:v>No</x:v>
      </x:c>
      <x:c r="F423" s="167" t="str">
        <x:v>Medium</x:v>
      </x:c>
      <x:c r="G423" s="167" t="str">
        <x:v>General</x:v>
      </x:c>
      <x:c r="H423" s="167" t="str">
        <x:v>Not Started</x:v>
      </x:c>
      <x:c r="I423" s="167" t="n">
        <x:v>0</x:v>
      </x:c>
      <x:c r="J423" s="168"/>
      <x:c r="K423" s="168" t="str">
        <x:f>IF(OR(H423="Mastered",J423=""),"",J423+IF(I423&gt;=5,30,IF(I423=4,14,IF(I423=3,7,IF(I423=2,3,1)))))</x:f>
      </x:c>
      <x:c r="L423" s="171" t="str"/>
      <x:c r="M423" s="171" t="str"/>
      <x:c r="N423" s="171" t="str">
        <x:v>Draft — verify in context</x:v>
      </x:c>
      <x:c r="O423" s="167" t="str">
        <x:v>https://www.wgtn.ac.nz/lals/resources/academicwordlist</x:v>
      </x:c>
    </x:row>
    <x:row r="424" ht="26" customHeight="1">
      <x:c r="A424" s="167" t="n">
        <x:v>423</x:v>
      </x:c>
      <x:c r="B424" s="167" t="str">
        <x:v>accumulation</x:v>
      </x:c>
      <x:c r="C424" s="170" t="str">
        <x:v>накопичення</x:v>
      </x:c>
      <x:c r="D424" s="167" t="n">
        <x:v>8</x:v>
      </x:c>
      <x:c r="E424" s="167" t="str">
        <x:v>Yes</x:v>
      </x:c>
      <x:c r="F424" s="167" t="str">
        <x:v>Medium</x:v>
      </x:c>
      <x:c r="G424" s="167" t="str">
        <x:v>General</x:v>
      </x:c>
      <x:c r="H424" s="167" t="str">
        <x:v>Not Started</x:v>
      </x:c>
      <x:c r="I424" s="167" t="n">
        <x:v>0</x:v>
      </x:c>
      <x:c r="J424" s="168"/>
      <x:c r="K424" s="168" t="str">
        <x:f>IF(OR(H424="Mastered",J424=""),"",J424+IF(I424&gt;=5,30,IF(I424=4,14,IF(I424=3,7,IF(I424=2,3,1)))))</x:f>
      </x:c>
      <x:c r="L424" s="171" t="str"/>
      <x:c r="M424" s="171" t="str"/>
      <x:c r="N424" s="171" t="str">
        <x:v>Draft — verify in context</x:v>
      </x:c>
      <x:c r="O424" s="167" t="str">
        <x:v>https://www.wgtn.ac.nz/lals/resources/academicwordlist</x:v>
      </x:c>
    </x:row>
    <x:row r="425" ht="26" customHeight="1">
      <x:c r="A425" s="167" t="n">
        <x:v>424</x:v>
      </x:c>
      <x:c r="B425" s="167" t="str">
        <x:v>ambiguous</x:v>
      </x:c>
      <x:c r="C425" s="170" t="str">
        <x:v>неоднозначний</x:v>
      </x:c>
      <x:c r="D425" s="167" t="n">
        <x:v>8</x:v>
      </x:c>
      <x:c r="E425" s="167" t="str">
        <x:v>No</x:v>
      </x:c>
      <x:c r="F425" s="167" t="str">
        <x:v>Medium</x:v>
      </x:c>
      <x:c r="G425" s="167" t="str">
        <x:v>General</x:v>
      </x:c>
      <x:c r="H425" s="167" t="str">
        <x:v>Not Started</x:v>
      </x:c>
      <x:c r="I425" s="167" t="n">
        <x:v>0</x:v>
      </x:c>
      <x:c r="J425" s="168"/>
      <x:c r="K425" s="168" t="str">
        <x:f>IF(OR(H425="Mastered",J425=""),"",J425+IF(I425&gt;=5,30,IF(I425=4,14,IF(I425=3,7,IF(I425=2,3,1)))))</x:f>
      </x:c>
      <x:c r="L425" s="171" t="str"/>
      <x:c r="M425" s="171" t="str"/>
      <x:c r="N425" s="171" t="str">
        <x:v>Draft — verify in context</x:v>
      </x:c>
      <x:c r="O425" s="167" t="str">
        <x:v>https://www.wgtn.ac.nz/lals/resources/academicwordlist</x:v>
      </x:c>
    </x:row>
    <x:row r="426" ht="26" customHeight="1">
      <x:c r="A426" s="167" t="n">
        <x:v>425</x:v>
      </x:c>
      <x:c r="B426" s="167" t="str">
        <x:v>appendix</x:v>
      </x:c>
      <x:c r="C426" s="170" t="str">
        <x:v>апендикс</x:v>
      </x:c>
      <x:c r="D426" s="167" t="n">
        <x:v>8</x:v>
      </x:c>
      <x:c r="E426" s="167" t="str">
        <x:v>No</x:v>
      </x:c>
      <x:c r="F426" s="167" t="str">
        <x:v>Medium</x:v>
      </x:c>
      <x:c r="G426" s="167" t="str">
        <x:v>General</x:v>
      </x:c>
      <x:c r="H426" s="167" t="str">
        <x:v>Not Started</x:v>
      </x:c>
      <x:c r="I426" s="167" t="n">
        <x:v>0</x:v>
      </x:c>
      <x:c r="J426" s="168"/>
      <x:c r="K426" s="168" t="str">
        <x:f>IF(OR(H426="Mastered",J426=""),"",J426+IF(I426&gt;=5,30,IF(I426=4,14,IF(I426=3,7,IF(I426=2,3,1)))))</x:f>
      </x:c>
      <x:c r="L426" s="171" t="str"/>
      <x:c r="M426" s="171" t="str"/>
      <x:c r="N426" s="171" t="str">
        <x:v>Draft — verify in context</x:v>
      </x:c>
      <x:c r="O426" s="167" t="str">
        <x:v>https://www.wgtn.ac.nz/lals/resources/academicwordlist</x:v>
      </x:c>
    </x:row>
    <x:row r="427" ht="26" customHeight="1">
      <x:c r="A427" s="167" t="n">
        <x:v>426</x:v>
      </x:c>
      <x:c r="B427" s="167" t="str">
        <x:v>appreciation</x:v>
      </x:c>
      <x:c r="C427" s="170" t="str">
        <x:v>вдячність</x:v>
      </x:c>
      <x:c r="D427" s="167" t="n">
        <x:v>8</x:v>
      </x:c>
      <x:c r="E427" s="167" t="str">
        <x:v>Yes</x:v>
      </x:c>
      <x:c r="F427" s="167" t="str">
        <x:v>Medium</x:v>
      </x:c>
      <x:c r="G427" s="167" t="str">
        <x:v>General</x:v>
      </x:c>
      <x:c r="H427" s="167" t="str">
        <x:v>Not Started</x:v>
      </x:c>
      <x:c r="I427" s="167" t="n">
        <x:v>0</x:v>
      </x:c>
      <x:c r="J427" s="168"/>
      <x:c r="K427" s="168" t="str">
        <x:f>IF(OR(H427="Mastered",J427=""),"",J427+IF(I427&gt;=5,30,IF(I427=4,14,IF(I427=3,7,IF(I427=2,3,1)))))</x:f>
      </x:c>
      <x:c r="L427" s="171" t="str"/>
      <x:c r="M427" s="171" t="str"/>
      <x:c r="N427" s="171" t="str">
        <x:v>Draft — verify in context</x:v>
      </x:c>
      <x:c r="O427" s="167" t="str">
        <x:v>https://www.wgtn.ac.nz/lals/resources/academicwordlist</x:v>
      </x:c>
    </x:row>
    <x:row r="428" ht="26" customHeight="1">
      <x:c r="A428" s="167" t="n">
        <x:v>427</x:v>
      </x:c>
      <x:c r="B428" s="167" t="str">
        <x:v>arbitrary</x:v>
      </x:c>
      <x:c r="C428" s="170" t="str">
        <x:v>довільний</x:v>
      </x:c>
      <x:c r="D428" s="167" t="n">
        <x:v>8</x:v>
      </x:c>
      <x:c r="E428" s="167" t="str">
        <x:v>Yes</x:v>
      </x:c>
      <x:c r="F428" s="167" t="str">
        <x:v>Medium</x:v>
      </x:c>
      <x:c r="G428" s="167" t="str">
        <x:v>General</x:v>
      </x:c>
      <x:c r="H428" s="167" t="str">
        <x:v>Not Started</x:v>
      </x:c>
      <x:c r="I428" s="167" t="n">
        <x:v>0</x:v>
      </x:c>
      <x:c r="J428" s="168"/>
      <x:c r="K428" s="168" t="str">
        <x:f>IF(OR(H428="Mastered",J428=""),"",J428+IF(I428&gt;=5,30,IF(I428=4,14,IF(I428=3,7,IF(I428=2,3,1)))))</x:f>
      </x:c>
      <x:c r="L428" s="171" t="str"/>
      <x:c r="M428" s="171" t="str"/>
      <x:c r="N428" s="171" t="str">
        <x:v>Draft — verify in context</x:v>
      </x:c>
      <x:c r="O428" s="167" t="str">
        <x:v>https://www.wgtn.ac.nz/lals/resources/academicwordlist</x:v>
      </x:c>
    </x:row>
    <x:row r="429" ht="26" customHeight="1">
      <x:c r="A429" s="167" t="n">
        <x:v>428</x:v>
      </x:c>
      <x:c r="B429" s="167" t="str">
        <x:v>automatically</x:v>
      </x:c>
      <x:c r="C429" s="170" t="str">
        <x:v>автоматично</x:v>
      </x:c>
      <x:c r="D429" s="167" t="n">
        <x:v>8</x:v>
      </x:c>
      <x:c r="E429" s="167" t="str">
        <x:v>No</x:v>
      </x:c>
      <x:c r="F429" s="167" t="str">
        <x:v>Medium</x:v>
      </x:c>
      <x:c r="G429" s="167" t="str">
        <x:v>General</x:v>
      </x:c>
      <x:c r="H429" s="167" t="str">
        <x:v>Not Started</x:v>
      </x:c>
      <x:c r="I429" s="167" t="n">
        <x:v>0</x:v>
      </x:c>
      <x:c r="J429" s="168"/>
      <x:c r="K429" s="168" t="str">
        <x:f>IF(OR(H429="Mastered",J429=""),"",J429+IF(I429&gt;=5,30,IF(I429=4,14,IF(I429=3,7,IF(I429=2,3,1)))))</x:f>
      </x:c>
      <x:c r="L429" s="171" t="str"/>
      <x:c r="M429" s="171" t="str"/>
      <x:c r="N429" s="171" t="str">
        <x:v>Draft — verify in context</x:v>
      </x:c>
      <x:c r="O429" s="167" t="str">
        <x:v>https://www.wgtn.ac.nz/lals/resources/academicwordlist</x:v>
      </x:c>
    </x:row>
    <x:row r="430" ht="26" customHeight="1">
      <x:c r="A430" s="167" t="n">
        <x:v>429</x:v>
      </x:c>
      <x:c r="B430" s="167" t="str">
        <x:v>bias</x:v>
      </x:c>
      <x:c r="C430" s="170" t="str">
        <x:v>упередженість</x:v>
      </x:c>
      <x:c r="D430" s="167" t="n">
        <x:v>8</x:v>
      </x:c>
      <x:c r="E430" s="167" t="str">
        <x:v>No</x:v>
      </x:c>
      <x:c r="F430" s="167" t="str">
        <x:v>Medium</x:v>
      </x:c>
      <x:c r="G430" s="167" t="str">
        <x:v>General</x:v>
      </x:c>
      <x:c r="H430" s="167" t="str">
        <x:v>Not Started</x:v>
      </x:c>
      <x:c r="I430" s="167" t="n">
        <x:v>0</x:v>
      </x:c>
      <x:c r="J430" s="168"/>
      <x:c r="K430" s="168" t="str">
        <x:f>IF(OR(H430="Mastered",J430=""),"",J430+IF(I430&gt;=5,30,IF(I430=4,14,IF(I430=3,7,IF(I430=2,3,1)))))</x:f>
      </x:c>
      <x:c r="L430" s="171" t="str"/>
      <x:c r="M430" s="171" t="str"/>
      <x:c r="N430" s="171" t="str">
        <x:v>Draft — verify in context</x:v>
      </x:c>
      <x:c r="O430" s="167" t="str">
        <x:v>https://www.wgtn.ac.nz/lals/resources/academicwordlist</x:v>
      </x:c>
    </x:row>
    <x:row r="431" ht="26" customHeight="1">
      <x:c r="A431" s="167" t="n">
        <x:v>430</x:v>
      </x:c>
      <x:c r="B431" s="167" t="str">
        <x:v>chart</x:v>
      </x:c>
      <x:c r="C431" s="170" t="str">
        <x:v>діаграма</x:v>
      </x:c>
      <x:c r="D431" s="167" t="n">
        <x:v>8</x:v>
      </x:c>
      <x:c r="E431" s="167" t="str">
        <x:v>No</x:v>
      </x:c>
      <x:c r="F431" s="167" t="str">
        <x:v>Medium</x:v>
      </x:c>
      <x:c r="G431" s="167" t="str">
        <x:v>General</x:v>
      </x:c>
      <x:c r="H431" s="167" t="str">
        <x:v>Not Started</x:v>
      </x:c>
      <x:c r="I431" s="167" t="n">
        <x:v>0</x:v>
      </x:c>
      <x:c r="J431" s="168"/>
      <x:c r="K431" s="168" t="str">
        <x:f>IF(OR(H431="Mastered",J431=""),"",J431+IF(I431&gt;=5,30,IF(I431=4,14,IF(I431=3,7,IF(I431=2,3,1)))))</x:f>
      </x:c>
      <x:c r="L431" s="171" t="str"/>
      <x:c r="M431" s="171" t="str"/>
      <x:c r="N431" s="171" t="str">
        <x:v>Draft — verify in context</x:v>
      </x:c>
      <x:c r="O431" s="167" t="str">
        <x:v>https://www.wgtn.ac.nz/lals/resources/academicwordlist</x:v>
      </x:c>
    </x:row>
    <x:row r="432" ht="26" customHeight="1">
      <x:c r="A432" s="167" t="n">
        <x:v>431</x:v>
      </x:c>
      <x:c r="B432" s="167" t="str">
        <x:v>clarity</x:v>
      </x:c>
      <x:c r="C432" s="170" t="str">
        <x:v>ясність</x:v>
      </x:c>
      <x:c r="D432" s="167" t="n">
        <x:v>8</x:v>
      </x:c>
      <x:c r="E432" s="167" t="str">
        <x:v>Yes</x:v>
      </x:c>
      <x:c r="F432" s="167" t="str">
        <x:v>Medium</x:v>
      </x:c>
      <x:c r="G432" s="167" t="str">
        <x:v>General</x:v>
      </x:c>
      <x:c r="H432" s="167" t="str">
        <x:v>Not Started</x:v>
      </x:c>
      <x:c r="I432" s="167" t="n">
        <x:v>0</x:v>
      </x:c>
      <x:c r="J432" s="168"/>
      <x:c r="K432" s="168" t="str">
        <x:f>IF(OR(H432="Mastered",J432=""),"",J432+IF(I432&gt;=5,30,IF(I432=4,14,IF(I432=3,7,IF(I432=2,3,1)))))</x:f>
      </x:c>
      <x:c r="L432" s="171" t="str"/>
      <x:c r="M432" s="171" t="str"/>
      <x:c r="N432" s="171" t="str">
        <x:v>Draft — verify in context</x:v>
      </x:c>
      <x:c r="O432" s="167" t="str">
        <x:v>https://www.wgtn.ac.nz/lals/resources/academicwordlist</x:v>
      </x:c>
    </x:row>
    <x:row r="433" ht="26" customHeight="1">
      <x:c r="A433" s="167" t="n">
        <x:v>432</x:v>
      </x:c>
      <x:c r="B433" s="167" t="str">
        <x:v>conformity</x:v>
      </x:c>
      <x:c r="C433" s="170" t="str">
        <x:v>відповідність</x:v>
      </x:c>
      <x:c r="D433" s="167" t="n">
        <x:v>8</x:v>
      </x:c>
      <x:c r="E433" s="167" t="str">
        <x:v>No</x:v>
      </x:c>
      <x:c r="F433" s="167" t="str">
        <x:v>Medium</x:v>
      </x:c>
      <x:c r="G433" s="167" t="str">
        <x:v>General</x:v>
      </x:c>
      <x:c r="H433" s="167" t="str">
        <x:v>Not Started</x:v>
      </x:c>
      <x:c r="I433" s="167" t="n">
        <x:v>0</x:v>
      </x:c>
      <x:c r="J433" s="168"/>
      <x:c r="K433" s="168" t="str">
        <x:f>IF(OR(H433="Mastered",J433=""),"",J433+IF(I433&gt;=5,30,IF(I433=4,14,IF(I433=3,7,IF(I433=2,3,1)))))</x:f>
      </x:c>
      <x:c r="L433" s="171" t="str"/>
      <x:c r="M433" s="171" t="str"/>
      <x:c r="N433" s="171" t="str">
        <x:v>Draft — verify in context</x:v>
      </x:c>
      <x:c r="O433" s="167" t="str">
        <x:v>https://www.wgtn.ac.nz/lals/resources/academicwordlist</x:v>
      </x:c>
    </x:row>
    <x:row r="434" ht="26" customHeight="1">
      <x:c r="A434" s="167" t="n">
        <x:v>433</x:v>
      </x:c>
      <x:c r="B434" s="167" t="str">
        <x:v>commodity</x:v>
      </x:c>
      <x:c r="C434" s="170" t="str">
        <x:v>товар</x:v>
      </x:c>
      <x:c r="D434" s="167" t="n">
        <x:v>8</x:v>
      </x:c>
      <x:c r="E434" s="167" t="str">
        <x:v>Yes</x:v>
      </x:c>
      <x:c r="F434" s="167" t="str">
        <x:v>Medium</x:v>
      </x:c>
      <x:c r="G434" s="167" t="str">
        <x:v>Economy &amp; work</x:v>
      </x:c>
      <x:c r="H434" s="167" t="str">
        <x:v>Not Started</x:v>
      </x:c>
      <x:c r="I434" s="167" t="n">
        <x:v>0</x:v>
      </x:c>
      <x:c r="J434" s="168"/>
      <x:c r="K434" s="168" t="str">
        <x:f>IF(OR(H434="Mastered",J434=""),"",J434+IF(I434&gt;=5,30,IF(I434=4,14,IF(I434=3,7,IF(I434=2,3,1)))))</x:f>
      </x:c>
      <x:c r="L434" s="171" t="str"/>
      <x:c r="M434" s="171" t="str"/>
      <x:c r="N434" s="171" t="str">
        <x:v>Draft — verify in context</x:v>
      </x:c>
      <x:c r="O434" s="167" t="str">
        <x:v>https://www.wgtn.ac.nz/lals/resources/academicwordlist</x:v>
      </x:c>
    </x:row>
    <x:row r="435" ht="26" customHeight="1">
      <x:c r="A435" s="167" t="n">
        <x:v>434</x:v>
      </x:c>
      <x:c r="B435" s="167" t="str">
        <x:v>complement</x:v>
      </x:c>
      <x:c r="C435" s="170" t="str">
        <x:v>доповнюють</x:v>
      </x:c>
      <x:c r="D435" s="167" t="n">
        <x:v>8</x:v>
      </x:c>
      <x:c r="E435" s="167" t="str">
        <x:v>Yes</x:v>
      </x:c>
      <x:c r="F435" s="167" t="str">
        <x:v>Medium</x:v>
      </x:c>
      <x:c r="G435" s="167" t="str">
        <x:v>General</x:v>
      </x:c>
      <x:c r="H435" s="167" t="str">
        <x:v>Not Started</x:v>
      </x:c>
      <x:c r="I435" s="167" t="n">
        <x:v>0</x:v>
      </x:c>
      <x:c r="J435" s="168"/>
      <x:c r="K435" s="168" t="str">
        <x:f>IF(OR(H435="Mastered",J435=""),"",J435+IF(I435&gt;=5,30,IF(I435=4,14,IF(I435=3,7,IF(I435=2,3,1)))))</x:f>
      </x:c>
      <x:c r="L435" s="171" t="str"/>
      <x:c r="M435" s="171" t="str"/>
      <x:c r="N435" s="171" t="str">
        <x:v>Draft — verify in context</x:v>
      </x:c>
      <x:c r="O435" s="167" t="str">
        <x:v>https://www.wgtn.ac.nz/lals/resources/academicwordlist</x:v>
      </x:c>
    </x:row>
    <x:row r="436" ht="26" customHeight="1">
      <x:c r="A436" s="167" t="n">
        <x:v>435</x:v>
      </x:c>
      <x:c r="B436" s="167" t="str">
        <x:v>contemporary</x:v>
      </x:c>
      <x:c r="C436" s="170" t="str">
        <x:v>сучасний</x:v>
      </x:c>
      <x:c r="D436" s="167" t="n">
        <x:v>8</x:v>
      </x:c>
      <x:c r="E436" s="167" t="str">
        <x:v>No</x:v>
      </x:c>
      <x:c r="F436" s="167" t="str">
        <x:v>Medium</x:v>
      </x:c>
      <x:c r="G436" s="167" t="str">
        <x:v>General</x:v>
      </x:c>
      <x:c r="H436" s="167" t="str">
        <x:v>Not Started</x:v>
      </x:c>
      <x:c r="I436" s="167" t="n">
        <x:v>0</x:v>
      </x:c>
      <x:c r="J436" s="168"/>
      <x:c r="K436" s="168" t="str">
        <x:f>IF(OR(H436="Mastered",J436=""),"",J436+IF(I436&gt;=5,30,IF(I436=4,14,IF(I436=3,7,IF(I436=2,3,1)))))</x:f>
      </x:c>
      <x:c r="L436" s="171" t="str"/>
      <x:c r="M436" s="171" t="str"/>
      <x:c r="N436" s="171" t="str">
        <x:v>Draft — verify in context</x:v>
      </x:c>
      <x:c r="O436" s="167" t="str">
        <x:v>https://www.wgtn.ac.nz/lals/resources/academicwordlist</x:v>
      </x:c>
    </x:row>
    <x:row r="437" ht="26" customHeight="1">
      <x:c r="A437" s="167" t="n">
        <x:v>436</x:v>
      </x:c>
      <x:c r="B437" s="167" t="str">
        <x:v>contradiction</x:v>
      </x:c>
      <x:c r="C437" s="170" t="str">
        <x:v>протиріччя</x:v>
      </x:c>
      <x:c r="D437" s="167" t="n">
        <x:v>8</x:v>
      </x:c>
      <x:c r="E437" s="167" t="str">
        <x:v>Yes</x:v>
      </x:c>
      <x:c r="F437" s="167" t="str">
        <x:v>Medium</x:v>
      </x:c>
      <x:c r="G437" s="167" t="str">
        <x:v>General</x:v>
      </x:c>
      <x:c r="H437" s="167" t="str">
        <x:v>Not Started</x:v>
      </x:c>
      <x:c r="I437" s="167" t="n">
        <x:v>0</x:v>
      </x:c>
      <x:c r="J437" s="168"/>
      <x:c r="K437" s="168" t="str">
        <x:f>IF(OR(H437="Mastered",J437=""),"",J437+IF(I437&gt;=5,30,IF(I437=4,14,IF(I437=3,7,IF(I437=2,3,1)))))</x:f>
      </x:c>
      <x:c r="L437" s="171" t="str"/>
      <x:c r="M437" s="171" t="str"/>
      <x:c r="N437" s="171" t="str">
        <x:v>Draft — verify in context</x:v>
      </x:c>
      <x:c r="O437" s="167" t="str">
        <x:v>https://www.wgtn.ac.nz/lals/resources/academicwordlist</x:v>
      </x:c>
    </x:row>
    <x:row r="438" ht="26" customHeight="1">
      <x:c r="A438" s="167" t="n">
        <x:v>437</x:v>
      </x:c>
      <x:c r="B438" s="167" t="str">
        <x:v>crucial</x:v>
      </x:c>
      <x:c r="C438" s="170" t="str">
        <x:v>вирішальне значення</x:v>
      </x:c>
      <x:c r="D438" s="167" t="n">
        <x:v>8</x:v>
      </x:c>
      <x:c r="E438" s="167" t="str">
        <x:v>No</x:v>
      </x:c>
      <x:c r="F438" s="167" t="str">
        <x:v>Medium</x:v>
      </x:c>
      <x:c r="G438" s="167" t="str">
        <x:v>General</x:v>
      </x:c>
      <x:c r="H438" s="167" t="str">
        <x:v>Not Started</x:v>
      </x:c>
      <x:c r="I438" s="167" t="n">
        <x:v>0</x:v>
      </x:c>
      <x:c r="J438" s="168"/>
      <x:c r="K438" s="168" t="str">
        <x:f>IF(OR(H438="Mastered",J438=""),"",J438+IF(I438&gt;=5,30,IF(I438=4,14,IF(I438=3,7,IF(I438=2,3,1)))))</x:f>
      </x:c>
      <x:c r="L438" s="171" t="str"/>
      <x:c r="M438" s="171" t="str"/>
      <x:c r="N438" s="171" t="str">
        <x:v>Draft — verify in context</x:v>
      </x:c>
      <x:c r="O438" s="167" t="str">
        <x:v>https://www.wgtn.ac.nz/lals/resources/academicwordlist</x:v>
      </x:c>
    </x:row>
    <x:row r="439" ht="26" customHeight="1">
      <x:c r="A439" s="167" t="n">
        <x:v>438</x:v>
      </x:c>
      <x:c r="B439" s="167" t="str">
        <x:v>currency</x:v>
      </x:c>
      <x:c r="C439" s="170" t="str">
        <x:v>валюта</x:v>
      </x:c>
      <x:c r="D439" s="167" t="n">
        <x:v>8</x:v>
      </x:c>
      <x:c r="E439" s="167" t="str">
        <x:v>No</x:v>
      </x:c>
      <x:c r="F439" s="167" t="str">
        <x:v>Medium</x:v>
      </x:c>
      <x:c r="G439" s="167" t="str">
        <x:v>General</x:v>
      </x:c>
      <x:c r="H439" s="167" t="str">
        <x:v>Not Started</x:v>
      </x:c>
      <x:c r="I439" s="167" t="n">
        <x:v>0</x:v>
      </x:c>
      <x:c r="J439" s="168"/>
      <x:c r="K439" s="168" t="str">
        <x:f>IF(OR(H439="Mastered",J439=""),"",J439+IF(I439&gt;=5,30,IF(I439=4,14,IF(I439=3,7,IF(I439=2,3,1)))))</x:f>
      </x:c>
      <x:c r="L439" s="171" t="str"/>
      <x:c r="M439" s="171" t="str"/>
      <x:c r="N439" s="171" t="str">
        <x:v>Draft — verify in context</x:v>
      </x:c>
      <x:c r="O439" s="167" t="str">
        <x:v>https://www.wgtn.ac.nz/lals/resources/academicwordlist</x:v>
      </x:c>
    </x:row>
    <x:row r="440" ht="26" customHeight="1">
      <x:c r="A440" s="167" t="n">
        <x:v>439</x:v>
      </x:c>
      <x:c r="B440" s="167" t="str">
        <x:v>denote</x:v>
      </x:c>
      <x:c r="C440" s="170" t="str">
        <x:v>позначають</x:v>
      </x:c>
      <x:c r="D440" s="167" t="n">
        <x:v>8</x:v>
      </x:c>
      <x:c r="E440" s="167" t="str">
        <x:v>No</x:v>
      </x:c>
      <x:c r="F440" s="167" t="str">
        <x:v>Medium</x:v>
      </x:c>
      <x:c r="G440" s="167" t="str">
        <x:v>General</x:v>
      </x:c>
      <x:c r="H440" s="167" t="str">
        <x:v>Not Started</x:v>
      </x:c>
      <x:c r="I440" s="167" t="n">
        <x:v>0</x:v>
      </x:c>
      <x:c r="J440" s="168"/>
      <x:c r="K440" s="168" t="str">
        <x:f>IF(OR(H440="Mastered",J440=""),"",J440+IF(I440&gt;=5,30,IF(I440=4,14,IF(I440=3,7,IF(I440=2,3,1)))))</x:f>
      </x:c>
      <x:c r="L440" s="171" t="str"/>
      <x:c r="M440" s="171" t="str"/>
      <x:c r="N440" s="171" t="str">
        <x:v>Draft — verify in context</x:v>
      </x:c>
      <x:c r="O440" s="167" t="str">
        <x:v>https://www.wgtn.ac.nz/lals/resources/academicwordlist</x:v>
      </x:c>
    </x:row>
    <x:row r="441" ht="26" customHeight="1">
      <x:c r="A441" s="167" t="n">
        <x:v>440</x:v>
      </x:c>
      <x:c r="B441" s="167" t="str">
        <x:v>detected</x:v>
      </x:c>
      <x:c r="C441" s="170" t="str">
        <x:v>виявлено</x:v>
      </x:c>
      <x:c r="D441" s="167" t="n">
        <x:v>8</x:v>
      </x:c>
      <x:c r="E441" s="167" t="str">
        <x:v>No</x:v>
      </x:c>
      <x:c r="F441" s="167" t="str">
        <x:v>Medium</x:v>
      </x:c>
      <x:c r="G441" s="167" t="str">
        <x:v>General</x:v>
      </x:c>
      <x:c r="H441" s="167" t="str">
        <x:v>Not Started</x:v>
      </x:c>
      <x:c r="I441" s="167" t="n">
        <x:v>0</x:v>
      </x:c>
      <x:c r="J441" s="168"/>
      <x:c r="K441" s="168" t="str">
        <x:f>IF(OR(H441="Mastered",J441=""),"",J441+IF(I441&gt;=5,30,IF(I441=4,14,IF(I441=3,7,IF(I441=2,3,1)))))</x:f>
      </x:c>
      <x:c r="L441" s="171" t="str"/>
      <x:c r="M441" s="171" t="str"/>
      <x:c r="N441" s="171" t="str">
        <x:v>Draft — verify in context</x:v>
      </x:c>
      <x:c r="O441" s="167" t="str">
        <x:v>https://www.wgtn.ac.nz/lals/resources/academicwordlist</x:v>
      </x:c>
    </x:row>
    <x:row r="442" ht="26" customHeight="1">
      <x:c r="A442" s="167" t="n">
        <x:v>441</x:v>
      </x:c>
      <x:c r="B442" s="167" t="str">
        <x:v>deviation</x:v>
      </x:c>
      <x:c r="C442" s="170" t="str">
        <x:v>відхилення</x:v>
      </x:c>
      <x:c r="D442" s="167" t="n">
        <x:v>8</x:v>
      </x:c>
      <x:c r="E442" s="167" t="str">
        <x:v>No</x:v>
      </x:c>
      <x:c r="F442" s="167" t="str">
        <x:v>Medium</x:v>
      </x:c>
      <x:c r="G442" s="167" t="str">
        <x:v>General</x:v>
      </x:c>
      <x:c r="H442" s="167" t="str">
        <x:v>Not Started</x:v>
      </x:c>
      <x:c r="I442" s="167" t="n">
        <x:v>0</x:v>
      </x:c>
      <x:c r="J442" s="168"/>
      <x:c r="K442" s="168" t="str">
        <x:f>IF(OR(H442="Mastered",J442=""),"",J442+IF(I442&gt;=5,30,IF(I442=4,14,IF(I442=3,7,IF(I442=2,3,1)))))</x:f>
      </x:c>
      <x:c r="L442" s="171" t="str"/>
      <x:c r="M442" s="171" t="str"/>
      <x:c r="N442" s="171" t="str">
        <x:v>Draft — verify in context</x:v>
      </x:c>
      <x:c r="O442" s="167" t="str">
        <x:v>https://www.wgtn.ac.nz/lals/resources/academicwordlist</x:v>
      </x:c>
    </x:row>
    <x:row r="443" ht="26" customHeight="1">
      <x:c r="A443" s="167" t="n">
        <x:v>442</x:v>
      </x:c>
      <x:c r="B443" s="167" t="str">
        <x:v>displacement</x:v>
      </x:c>
      <x:c r="C443" s="170" t="str">
        <x:v>переміщення</x:v>
      </x:c>
      <x:c r="D443" s="167" t="n">
        <x:v>8</x:v>
      </x:c>
      <x:c r="E443" s="167" t="str">
        <x:v>No</x:v>
      </x:c>
      <x:c r="F443" s="167" t="str">
        <x:v>Medium</x:v>
      </x:c>
      <x:c r="G443" s="167" t="str">
        <x:v>General</x:v>
      </x:c>
      <x:c r="H443" s="167" t="str">
        <x:v>Not Started</x:v>
      </x:c>
      <x:c r="I443" s="167" t="n">
        <x:v>0</x:v>
      </x:c>
      <x:c r="J443" s="168"/>
      <x:c r="K443" s="168" t="str">
        <x:f>IF(OR(H443="Mastered",J443=""),"",J443+IF(I443&gt;=5,30,IF(I443=4,14,IF(I443=3,7,IF(I443=2,3,1)))))</x:f>
      </x:c>
      <x:c r="L443" s="171" t="str"/>
      <x:c r="M443" s="171" t="str"/>
      <x:c r="N443" s="171" t="str">
        <x:v>Draft — verify in context</x:v>
      </x:c>
      <x:c r="O443" s="167" t="str">
        <x:v>https://www.wgtn.ac.nz/lals/resources/academicwordlist</x:v>
      </x:c>
    </x:row>
    <x:row r="444" ht="26" customHeight="1">
      <x:c r="A444" s="167" t="n">
        <x:v>443</x:v>
      </x:c>
      <x:c r="B444" s="167" t="str">
        <x:v>dramatic</x:v>
      </x:c>
      <x:c r="C444" s="170" t="str">
        <x:v>драматичний</x:v>
      </x:c>
      <x:c r="D444" s="167" t="n">
        <x:v>8</x:v>
      </x:c>
      <x:c r="E444" s="167" t="str">
        <x:v>No</x:v>
      </x:c>
      <x:c r="F444" s="167" t="str">
        <x:v>Medium</x:v>
      </x:c>
      <x:c r="G444" s="167" t="str">
        <x:v>General</x:v>
      </x:c>
      <x:c r="H444" s="167" t="str">
        <x:v>Not Started</x:v>
      </x:c>
      <x:c r="I444" s="167" t="n">
        <x:v>0</x:v>
      </x:c>
      <x:c r="J444" s="168"/>
      <x:c r="K444" s="168" t="str">
        <x:f>IF(OR(H444="Mastered",J444=""),"",J444+IF(I444&gt;=5,30,IF(I444=4,14,IF(I444=3,7,IF(I444=2,3,1)))))</x:f>
      </x:c>
      <x:c r="L444" s="171" t="str"/>
      <x:c r="M444" s="171" t="str"/>
      <x:c r="N444" s="171" t="str">
        <x:v>Draft — verify in context</x:v>
      </x:c>
      <x:c r="O444" s="167" t="str">
        <x:v>https://www.wgtn.ac.nz/lals/resources/academicwordlist</x:v>
      </x:c>
    </x:row>
    <x:row r="445" ht="26" customHeight="1">
      <x:c r="A445" s="167" t="n">
        <x:v>444</x:v>
      </x:c>
      <x:c r="B445" s="167" t="str">
        <x:v>eventually</x:v>
      </x:c>
      <x:c r="C445" s="170" t="str">
        <x:v>зрештою</x:v>
      </x:c>
      <x:c r="D445" s="167" t="n">
        <x:v>8</x:v>
      </x:c>
      <x:c r="E445" s="167" t="str">
        <x:v>No</x:v>
      </x:c>
      <x:c r="F445" s="167" t="str">
        <x:v>Medium</x:v>
      </x:c>
      <x:c r="G445" s="167" t="str">
        <x:v>General</x:v>
      </x:c>
      <x:c r="H445" s="167" t="str">
        <x:v>Not Started</x:v>
      </x:c>
      <x:c r="I445" s="167" t="n">
        <x:v>0</x:v>
      </x:c>
      <x:c r="J445" s="168"/>
      <x:c r="K445" s="168" t="str">
        <x:f>IF(OR(H445="Mastered",J445=""),"",J445+IF(I445&gt;=5,30,IF(I445=4,14,IF(I445=3,7,IF(I445=2,3,1)))))</x:f>
      </x:c>
      <x:c r="L445" s="171" t="str"/>
      <x:c r="M445" s="171" t="str"/>
      <x:c r="N445" s="171" t="str">
        <x:v>Draft — verify in context</x:v>
      </x:c>
      <x:c r="O445" s="167" t="str">
        <x:v>https://www.wgtn.ac.nz/lals/resources/academicwordlist</x:v>
      </x:c>
    </x:row>
    <x:row r="446" ht="26" customHeight="1">
      <x:c r="A446" s="167" t="n">
        <x:v>445</x:v>
      </x:c>
      <x:c r="B446" s="167" t="str">
        <x:v>exhibit</x:v>
      </x:c>
      <x:c r="C446" s="170" t="str">
        <x:v>експонат</x:v>
      </x:c>
      <x:c r="D446" s="167" t="n">
        <x:v>8</x:v>
      </x:c>
      <x:c r="E446" s="167" t="str">
        <x:v>No</x:v>
      </x:c>
      <x:c r="F446" s="167" t="str">
        <x:v>Medium</x:v>
      </x:c>
      <x:c r="G446" s="167" t="str">
        <x:v>General</x:v>
      </x:c>
      <x:c r="H446" s="167" t="str">
        <x:v>Not Started</x:v>
      </x:c>
      <x:c r="I446" s="167" t="n">
        <x:v>0</x:v>
      </x:c>
      <x:c r="J446" s="168"/>
      <x:c r="K446" s="168" t="str">
        <x:f>IF(OR(H446="Mastered",J446=""),"",J446+IF(I446&gt;=5,30,IF(I446=4,14,IF(I446=3,7,IF(I446=2,3,1)))))</x:f>
      </x:c>
      <x:c r="L446" s="171" t="str"/>
      <x:c r="M446" s="171" t="str"/>
      <x:c r="N446" s="171" t="str">
        <x:v>Draft — verify in context</x:v>
      </x:c>
      <x:c r="O446" s="167" t="str">
        <x:v>https://www.wgtn.ac.nz/lals/resources/academicwordlist</x:v>
      </x:c>
    </x:row>
    <x:row r="447" ht="26" customHeight="1">
      <x:c r="A447" s="167" t="n">
        <x:v>446</x:v>
      </x:c>
      <x:c r="B447" s="167" t="str">
        <x:v>exploitation</x:v>
      </x:c>
      <x:c r="C447" s="170" t="str">
        <x:v>експлуатації</x:v>
      </x:c>
      <x:c r="D447" s="167" t="n">
        <x:v>8</x:v>
      </x:c>
      <x:c r="E447" s="167" t="str">
        <x:v>Yes</x:v>
      </x:c>
      <x:c r="F447" s="167" t="str">
        <x:v>Medium</x:v>
      </x:c>
      <x:c r="G447" s="167" t="str">
        <x:v>General</x:v>
      </x:c>
      <x:c r="H447" s="167" t="str">
        <x:v>Not Started</x:v>
      </x:c>
      <x:c r="I447" s="167" t="n">
        <x:v>0</x:v>
      </x:c>
      <x:c r="J447" s="168"/>
      <x:c r="K447" s="168" t="str">
        <x:f>IF(OR(H447="Mastered",J447=""),"",J447+IF(I447&gt;=5,30,IF(I447=4,14,IF(I447=3,7,IF(I447=2,3,1)))))</x:f>
      </x:c>
      <x:c r="L447" s="171" t="str"/>
      <x:c r="M447" s="171" t="str"/>
      <x:c r="N447" s="171" t="str">
        <x:v>Draft — verify in context</x:v>
      </x:c>
      <x:c r="O447" s="167" t="str">
        <x:v>https://www.wgtn.ac.nz/lals/resources/academicwordlist</x:v>
      </x:c>
    </x:row>
    <x:row r="448" ht="26" customHeight="1">
      <x:c r="A448" s="167" t="n">
        <x:v>447</x:v>
      </x:c>
      <x:c r="B448" s="167" t="str">
        <x:v>fluctuations</x:v>
      </x:c>
      <x:c r="C448" s="170" t="str">
        <x:v>коливання</x:v>
      </x:c>
      <x:c r="D448" s="167" t="n">
        <x:v>8</x:v>
      </x:c>
      <x:c r="E448" s="167" t="str">
        <x:v>No</x:v>
      </x:c>
      <x:c r="F448" s="167" t="str">
        <x:v>Medium</x:v>
      </x:c>
      <x:c r="G448" s="167" t="str">
        <x:v>General</x:v>
      </x:c>
      <x:c r="H448" s="167" t="str">
        <x:v>Not Started</x:v>
      </x:c>
      <x:c r="I448" s="167" t="n">
        <x:v>0</x:v>
      </x:c>
      <x:c r="J448" s="168"/>
      <x:c r="K448" s="168" t="str">
        <x:f>IF(OR(H448="Mastered",J448=""),"",J448+IF(I448&gt;=5,30,IF(I448=4,14,IF(I448=3,7,IF(I448=2,3,1)))))</x:f>
      </x:c>
      <x:c r="L448" s="171" t="str"/>
      <x:c r="M448" s="171" t="str"/>
      <x:c r="N448" s="171" t="str">
        <x:v>Draft — verify in context</x:v>
      </x:c>
      <x:c r="O448" s="167" t="str">
        <x:v>https://www.wgtn.ac.nz/lals/resources/academicwordlist</x:v>
      </x:c>
    </x:row>
    <x:row r="449" ht="26" customHeight="1">
      <x:c r="A449" s="167" t="n">
        <x:v>448</x:v>
      </x:c>
      <x:c r="B449" s="167" t="str">
        <x:v>guidelines</x:v>
      </x:c>
      <x:c r="C449" s="170" t="str">
        <x:v>настанови</x:v>
      </x:c>
      <x:c r="D449" s="167" t="n">
        <x:v>8</x:v>
      </x:c>
      <x:c r="E449" s="167" t="str">
        <x:v>No</x:v>
      </x:c>
      <x:c r="F449" s="167" t="str">
        <x:v>Medium</x:v>
      </x:c>
      <x:c r="G449" s="167" t="str">
        <x:v>General</x:v>
      </x:c>
      <x:c r="H449" s="167" t="str">
        <x:v>Not Started</x:v>
      </x:c>
      <x:c r="I449" s="167" t="n">
        <x:v>0</x:v>
      </x:c>
      <x:c r="J449" s="168"/>
      <x:c r="K449" s="168" t="str">
        <x:f>IF(OR(H449="Mastered",J449=""),"",J449+IF(I449&gt;=5,30,IF(I449=4,14,IF(I449=3,7,IF(I449=2,3,1)))))</x:f>
      </x:c>
      <x:c r="L449" s="171" t="str"/>
      <x:c r="M449" s="171" t="str"/>
      <x:c r="N449" s="171" t="str">
        <x:v>Draft — verify in context</x:v>
      </x:c>
      <x:c r="O449" s="167" t="str">
        <x:v>https://www.wgtn.ac.nz/lals/resources/academicwordlist</x:v>
      </x:c>
    </x:row>
    <x:row r="450" ht="26" customHeight="1">
      <x:c r="A450" s="167" t="n">
        <x:v>449</x:v>
      </x:c>
      <x:c r="B450" s="167" t="str">
        <x:v>highlighted</x:v>
      </x:c>
      <x:c r="C450" s="170" t="str">
        <x:v>виділено</x:v>
      </x:c>
      <x:c r="D450" s="167" t="n">
        <x:v>8</x:v>
      </x:c>
      <x:c r="E450" s="167" t="str">
        <x:v>No</x:v>
      </x:c>
      <x:c r="F450" s="167" t="str">
        <x:v>Medium</x:v>
      </x:c>
      <x:c r="G450" s="167" t="str">
        <x:v>General</x:v>
      </x:c>
      <x:c r="H450" s="167" t="str">
        <x:v>Not Started</x:v>
      </x:c>
      <x:c r="I450" s="167" t="n">
        <x:v>0</x:v>
      </x:c>
      <x:c r="J450" s="168"/>
      <x:c r="K450" s="168" t="str">
        <x:f>IF(OR(H450="Mastered",J450=""),"",J450+IF(I450&gt;=5,30,IF(I450=4,14,IF(I450=3,7,IF(I450=2,3,1)))))</x:f>
      </x:c>
      <x:c r="L450" s="171" t="str"/>
      <x:c r="M450" s="171" t="str"/>
      <x:c r="N450" s="171" t="str">
        <x:v>Draft — verify in context</x:v>
      </x:c>
      <x:c r="O450" s="167" t="str">
        <x:v>https://www.wgtn.ac.nz/lals/resources/academicwordlist</x:v>
      </x:c>
    </x:row>
    <x:row r="451" ht="26" customHeight="1">
      <x:c r="A451" s="167" t="n">
        <x:v>450</x:v>
      </x:c>
      <x:c r="B451" s="167" t="str">
        <x:v>implicit</x:v>
      </x:c>
      <x:c r="C451" s="170" t="str">
        <x:v>неявний</x:v>
      </x:c>
      <x:c r="D451" s="167" t="n">
        <x:v>8</x:v>
      </x:c>
      <x:c r="E451" s="167" t="str">
        <x:v>No</x:v>
      </x:c>
      <x:c r="F451" s="167" t="str">
        <x:v>Medium</x:v>
      </x:c>
      <x:c r="G451" s="167" t="str">
        <x:v>General</x:v>
      </x:c>
      <x:c r="H451" s="167" t="str">
        <x:v>Not Started</x:v>
      </x:c>
      <x:c r="I451" s="167" t="n">
        <x:v>0</x:v>
      </x:c>
      <x:c r="J451" s="168"/>
      <x:c r="K451" s="168" t="str">
        <x:f>IF(OR(H451="Mastered",J451=""),"",J451+IF(I451&gt;=5,30,IF(I451=4,14,IF(I451=3,7,IF(I451=2,3,1)))))</x:f>
      </x:c>
      <x:c r="L451" s="171" t="str"/>
      <x:c r="M451" s="171" t="str"/>
      <x:c r="N451" s="171" t="str">
        <x:v>Draft — verify in context</x:v>
      </x:c>
      <x:c r="O451" s="167" t="str">
        <x:v>https://www.wgtn.ac.nz/lals/resources/academicwordlist</x:v>
      </x:c>
    </x:row>
    <x:row r="452" ht="26" customHeight="1">
      <x:c r="A452" s="167" t="n">
        <x:v>451</x:v>
      </x:c>
      <x:c r="B452" s="167" t="str">
        <x:v>induced</x:v>
      </x:c>
      <x:c r="C452" s="170" t="str">
        <x:v>індукований</x:v>
      </x:c>
      <x:c r="D452" s="167" t="n">
        <x:v>8</x:v>
      </x:c>
      <x:c r="E452" s="167" t="str">
        <x:v>No</x:v>
      </x:c>
      <x:c r="F452" s="167" t="str">
        <x:v>Medium</x:v>
      </x:c>
      <x:c r="G452" s="167" t="str">
        <x:v>General</x:v>
      </x:c>
      <x:c r="H452" s="167" t="str">
        <x:v>Not Started</x:v>
      </x:c>
      <x:c r="I452" s="167" t="n">
        <x:v>0</x:v>
      </x:c>
      <x:c r="J452" s="168"/>
      <x:c r="K452" s="168" t="str">
        <x:f>IF(OR(H452="Mastered",J452=""),"",J452+IF(I452&gt;=5,30,IF(I452=4,14,IF(I452=3,7,IF(I452=2,3,1)))))</x:f>
      </x:c>
      <x:c r="L452" s="171" t="str"/>
      <x:c r="M452" s="171" t="str"/>
      <x:c r="N452" s="171" t="str">
        <x:v>Draft — verify in context</x:v>
      </x:c>
      <x:c r="O452" s="167" t="str">
        <x:v>https://www.wgtn.ac.nz/lals/resources/academicwordlist</x:v>
      </x:c>
    </x:row>
    <x:row r="453" ht="26" customHeight="1">
      <x:c r="A453" s="167" t="n">
        <x:v>452</x:v>
      </x:c>
      <x:c r="B453" s="167" t="str">
        <x:v>inevitably</x:v>
      </x:c>
      <x:c r="C453" s="170" t="str">
        <x:v>неминуче</x:v>
      </x:c>
      <x:c r="D453" s="167" t="n">
        <x:v>8</x:v>
      </x:c>
      <x:c r="E453" s="167" t="str">
        <x:v>No</x:v>
      </x:c>
      <x:c r="F453" s="167" t="str">
        <x:v>Medium</x:v>
      </x:c>
      <x:c r="G453" s="167" t="str">
        <x:v>General</x:v>
      </x:c>
      <x:c r="H453" s="167" t="str">
        <x:v>Not Started</x:v>
      </x:c>
      <x:c r="I453" s="167" t="n">
        <x:v>0</x:v>
      </x:c>
      <x:c r="J453" s="168"/>
      <x:c r="K453" s="168" t="str">
        <x:f>IF(OR(H453="Mastered",J453=""),"",J453+IF(I453&gt;=5,30,IF(I453=4,14,IF(I453=3,7,IF(I453=2,3,1)))))</x:f>
      </x:c>
      <x:c r="L453" s="171" t="str"/>
      <x:c r="M453" s="171" t="str"/>
      <x:c r="N453" s="171" t="str">
        <x:v>Draft — verify in context</x:v>
      </x:c>
      <x:c r="O453" s="167" t="str">
        <x:v>https://www.wgtn.ac.nz/lals/resources/academicwordlist</x:v>
      </x:c>
    </x:row>
    <x:row r="454" ht="26" customHeight="1">
      <x:c r="A454" s="167" t="n">
        <x:v>453</x:v>
      </x:c>
      <x:c r="B454" s="167" t="str">
        <x:v>infrastructure</x:v>
      </x:c>
      <x:c r="C454" s="170" t="str">
        <x:v>інфраструктура</x:v>
      </x:c>
      <x:c r="D454" s="167" t="n">
        <x:v>8</x:v>
      </x:c>
      <x:c r="E454" s="167" t="str">
        <x:v>No</x:v>
      </x:c>
      <x:c r="F454" s="167" t="str">
        <x:v>Medium</x:v>
      </x:c>
      <x:c r="G454" s="167" t="str">
        <x:v>General</x:v>
      </x:c>
      <x:c r="H454" s="167" t="str">
        <x:v>Not Started</x:v>
      </x:c>
      <x:c r="I454" s="167" t="n">
        <x:v>0</x:v>
      </x:c>
      <x:c r="J454" s="168"/>
      <x:c r="K454" s="168" t="str">
        <x:f>IF(OR(H454="Mastered",J454=""),"",J454+IF(I454&gt;=5,30,IF(I454=4,14,IF(I454=3,7,IF(I454=2,3,1)))))</x:f>
      </x:c>
      <x:c r="L454" s="171" t="str"/>
      <x:c r="M454" s="171" t="str"/>
      <x:c r="N454" s="171" t="str">
        <x:v>Draft — verify in context</x:v>
      </x:c>
      <x:c r="O454" s="167" t="str">
        <x:v>https://www.wgtn.ac.nz/lals/resources/academicwordlist</x:v>
      </x:c>
    </x:row>
    <x:row r="455" ht="26" customHeight="1">
      <x:c r="A455" s="167" t="n">
        <x:v>454</x:v>
      </x:c>
      <x:c r="B455" s="167" t="str">
        <x:v>inspection</x:v>
      </x:c>
      <x:c r="C455" s="170" t="str">
        <x:v>огляд</x:v>
      </x:c>
      <x:c r="D455" s="167" t="n">
        <x:v>8</x:v>
      </x:c>
      <x:c r="E455" s="167" t="str">
        <x:v>Yes</x:v>
      </x:c>
      <x:c r="F455" s="167" t="str">
        <x:v>Medium</x:v>
      </x:c>
      <x:c r="G455" s="167" t="str">
        <x:v>General</x:v>
      </x:c>
      <x:c r="H455" s="167" t="str">
        <x:v>Not Started</x:v>
      </x:c>
      <x:c r="I455" s="167" t="n">
        <x:v>0</x:v>
      </x:c>
      <x:c r="J455" s="168"/>
      <x:c r="K455" s="168" t="str">
        <x:f>IF(OR(H455="Mastered",J455=""),"",J455+IF(I455&gt;=5,30,IF(I455=4,14,IF(I455=3,7,IF(I455=2,3,1)))))</x:f>
      </x:c>
      <x:c r="L455" s="171" t="str"/>
      <x:c r="M455" s="171" t="str"/>
      <x:c r="N455" s="171" t="str">
        <x:v>Draft — verify in context</x:v>
      </x:c>
      <x:c r="O455" s="167" t="str">
        <x:v>https://www.wgtn.ac.nz/lals/resources/academicwordlist</x:v>
      </x:c>
    </x:row>
    <x:row r="456" ht="26" customHeight="1">
      <x:c r="A456" s="167" t="n">
        <x:v>455</x:v>
      </x:c>
      <x:c r="B456" s="167" t="str">
        <x:v>intensity</x:v>
      </x:c>
      <x:c r="C456" s="170" t="str">
        <x:v>інтенсивність</x:v>
      </x:c>
      <x:c r="D456" s="167" t="n">
        <x:v>8</x:v>
      </x:c>
      <x:c r="E456" s="167" t="str">
        <x:v>Yes</x:v>
      </x:c>
      <x:c r="F456" s="167" t="str">
        <x:v>Medium</x:v>
      </x:c>
      <x:c r="G456" s="167" t="str">
        <x:v>General</x:v>
      </x:c>
      <x:c r="H456" s="167" t="str">
        <x:v>Not Started</x:v>
      </x:c>
      <x:c r="I456" s="167" t="n">
        <x:v>0</x:v>
      </x:c>
      <x:c r="J456" s="168"/>
      <x:c r="K456" s="168" t="str">
        <x:f>IF(OR(H456="Mastered",J456=""),"",J456+IF(I456&gt;=5,30,IF(I456=4,14,IF(I456=3,7,IF(I456=2,3,1)))))</x:f>
      </x:c>
      <x:c r="L456" s="171" t="str"/>
      <x:c r="M456" s="171" t="str"/>
      <x:c r="N456" s="171" t="str">
        <x:v>Draft — verify in context</x:v>
      </x:c>
      <x:c r="O456" s="167" t="str">
        <x:v>https://www.wgtn.ac.nz/lals/resources/academicwordlist</x:v>
      </x:c>
    </x:row>
    <x:row r="457" ht="26" customHeight="1">
      <x:c r="A457" s="167" t="n">
        <x:v>456</x:v>
      </x:c>
      <x:c r="B457" s="167" t="str">
        <x:v>manipulation</x:v>
      </x:c>
      <x:c r="C457" s="170" t="str">
        <x:v>маніпуляції</x:v>
      </x:c>
      <x:c r="D457" s="167" t="n">
        <x:v>8</x:v>
      </x:c>
      <x:c r="E457" s="167" t="str">
        <x:v>Yes</x:v>
      </x:c>
      <x:c r="F457" s="167" t="str">
        <x:v>Medium</x:v>
      </x:c>
      <x:c r="G457" s="167" t="str">
        <x:v>General</x:v>
      </x:c>
      <x:c r="H457" s="167" t="str">
        <x:v>Not Started</x:v>
      </x:c>
      <x:c r="I457" s="167" t="n">
        <x:v>0</x:v>
      </x:c>
      <x:c r="J457" s="168"/>
      <x:c r="K457" s="168" t="str">
        <x:f>IF(OR(H457="Mastered",J457=""),"",J457+IF(I457&gt;=5,30,IF(I457=4,14,IF(I457=3,7,IF(I457=2,3,1)))))</x:f>
      </x:c>
      <x:c r="L457" s="171" t="str"/>
      <x:c r="M457" s="171" t="str"/>
      <x:c r="N457" s="171" t="str">
        <x:v>Draft — verify in context</x:v>
      </x:c>
      <x:c r="O457" s="167" t="str">
        <x:v>https://www.wgtn.ac.nz/lals/resources/academicwordlist</x:v>
      </x:c>
    </x:row>
    <x:row r="458" ht="26" customHeight="1">
      <x:c r="A458" s="167" t="n">
        <x:v>457</x:v>
      </x:c>
      <x:c r="B458" s="167" t="str">
        <x:v>minimised</x:v>
      </x:c>
      <x:c r="C458" s="170" t="str">
        <x:v>зведений до мінімуму</x:v>
      </x:c>
      <x:c r="D458" s="167" t="n">
        <x:v>8</x:v>
      </x:c>
      <x:c r="E458" s="167" t="str">
        <x:v>No</x:v>
      </x:c>
      <x:c r="F458" s="167" t="str">
        <x:v>Medium</x:v>
      </x:c>
      <x:c r="G458" s="167" t="str">
        <x:v>General</x:v>
      </x:c>
      <x:c r="H458" s="167" t="str">
        <x:v>Not Started</x:v>
      </x:c>
      <x:c r="I458" s="167" t="n">
        <x:v>0</x:v>
      </x:c>
      <x:c r="J458" s="168"/>
      <x:c r="K458" s="168" t="str">
        <x:f>IF(OR(H458="Mastered",J458=""),"",J458+IF(I458&gt;=5,30,IF(I458=4,14,IF(I458=3,7,IF(I458=2,3,1)))))</x:f>
      </x:c>
      <x:c r="L458" s="171" t="str"/>
      <x:c r="M458" s="171" t="str"/>
      <x:c r="N458" s="171" t="str">
        <x:v>Draft — verify in context</x:v>
      </x:c>
      <x:c r="O458" s="167" t="str">
        <x:v>https://www.wgtn.ac.nz/lals/resources/academicwordlist</x:v>
      </x:c>
    </x:row>
    <x:row r="459" ht="26" customHeight="1">
      <x:c r="A459" s="167" t="n">
        <x:v>458</x:v>
      </x:c>
      <x:c r="B459" s="167" t="str">
        <x:v>nuclear</x:v>
      </x:c>
      <x:c r="C459" s="170" t="str">
        <x:v>ядерний</x:v>
      </x:c>
      <x:c r="D459" s="167" t="n">
        <x:v>8</x:v>
      </x:c>
      <x:c r="E459" s="167" t="str">
        <x:v>No</x:v>
      </x:c>
      <x:c r="F459" s="167" t="str">
        <x:v>Medium</x:v>
      </x:c>
      <x:c r="G459" s="167" t="str">
        <x:v>General</x:v>
      </x:c>
      <x:c r="H459" s="167" t="str">
        <x:v>Not Started</x:v>
      </x:c>
      <x:c r="I459" s="167" t="n">
        <x:v>0</x:v>
      </x:c>
      <x:c r="J459" s="168"/>
      <x:c r="K459" s="168" t="str">
        <x:f>IF(OR(H459="Mastered",J459=""),"",J459+IF(I459&gt;=5,30,IF(I459=4,14,IF(I459=3,7,IF(I459=2,3,1)))))</x:f>
      </x:c>
      <x:c r="L459" s="171" t="str"/>
      <x:c r="M459" s="171" t="str"/>
      <x:c r="N459" s="171" t="str">
        <x:v>Draft — verify in context</x:v>
      </x:c>
      <x:c r="O459" s="167" t="str">
        <x:v>https://www.wgtn.ac.nz/lals/resources/academicwordlist</x:v>
      </x:c>
    </x:row>
    <x:row r="460" ht="26" customHeight="1">
      <x:c r="A460" s="167" t="n">
        <x:v>459</x:v>
      </x:c>
      <x:c r="B460" s="167" t="str">
        <x:v>offset</x:v>
      </x:c>
      <x:c r="C460" s="170" t="str">
        <x:v>зсув</x:v>
      </x:c>
      <x:c r="D460" s="167" t="n">
        <x:v>8</x:v>
      </x:c>
      <x:c r="E460" s="167" t="str">
        <x:v>No</x:v>
      </x:c>
      <x:c r="F460" s="167" t="str">
        <x:v>Medium</x:v>
      </x:c>
      <x:c r="G460" s="167" t="str">
        <x:v>General</x:v>
      </x:c>
      <x:c r="H460" s="167" t="str">
        <x:v>Not Started</x:v>
      </x:c>
      <x:c r="I460" s="167" t="n">
        <x:v>0</x:v>
      </x:c>
      <x:c r="J460" s="168"/>
      <x:c r="K460" s="168" t="str">
        <x:f>IF(OR(H460="Mastered",J460=""),"",J460+IF(I460&gt;=5,30,IF(I460=4,14,IF(I460=3,7,IF(I460=2,3,1)))))</x:f>
      </x:c>
      <x:c r="L460" s="171" t="str"/>
      <x:c r="M460" s="171" t="str"/>
      <x:c r="N460" s="171" t="str">
        <x:v>Draft — verify in context</x:v>
      </x:c>
      <x:c r="O460" s="167" t="str">
        <x:v>https://www.wgtn.ac.nz/lals/resources/academicwordlist</x:v>
      </x:c>
    </x:row>
    <x:row r="461" ht="26" customHeight="1">
      <x:c r="A461" s="167" t="n">
        <x:v>460</x:v>
      </x:c>
      <x:c r="B461" s="167" t="str">
        <x:v>paragraph</x:v>
      </x:c>
      <x:c r="C461" s="170" t="str">
        <x:v>пункт</x:v>
      </x:c>
      <x:c r="D461" s="167" t="n">
        <x:v>8</x:v>
      </x:c>
      <x:c r="E461" s="167" t="str">
        <x:v>No</x:v>
      </x:c>
      <x:c r="F461" s="167" t="str">
        <x:v>Medium</x:v>
      </x:c>
      <x:c r="G461" s="167" t="str">
        <x:v>General</x:v>
      </x:c>
      <x:c r="H461" s="167" t="str">
        <x:v>Not Started</x:v>
      </x:c>
      <x:c r="I461" s="167" t="n">
        <x:v>0</x:v>
      </x:c>
      <x:c r="J461" s="168"/>
      <x:c r="K461" s="168" t="str">
        <x:f>IF(OR(H461="Mastered",J461=""),"",J461+IF(I461&gt;=5,30,IF(I461=4,14,IF(I461=3,7,IF(I461=2,3,1)))))</x:f>
      </x:c>
      <x:c r="L461" s="171" t="str"/>
      <x:c r="M461" s="171" t="str"/>
      <x:c r="N461" s="171" t="str">
        <x:v>Draft — verify in context</x:v>
      </x:c>
      <x:c r="O461" s="167" t="str">
        <x:v>https://www.wgtn.ac.nz/lals/resources/academicwordlist</x:v>
      </x:c>
    </x:row>
    <x:row r="462" ht="26" customHeight="1">
      <x:c r="A462" s="167" t="n">
        <x:v>461</x:v>
      </x:c>
      <x:c r="B462" s="167" t="str">
        <x:v>plus</x:v>
      </x:c>
      <x:c r="C462" s="170" t="str">
        <x:v>плюс</x:v>
      </x:c>
      <x:c r="D462" s="167" t="n">
        <x:v>8</x:v>
      </x:c>
      <x:c r="E462" s="167" t="str">
        <x:v>No</x:v>
      </x:c>
      <x:c r="F462" s="167" t="str">
        <x:v>Medium</x:v>
      </x:c>
      <x:c r="G462" s="167" t="str">
        <x:v>General</x:v>
      </x:c>
      <x:c r="H462" s="167" t="str">
        <x:v>Not Started</x:v>
      </x:c>
      <x:c r="I462" s="167" t="n">
        <x:v>0</x:v>
      </x:c>
      <x:c r="J462" s="168"/>
      <x:c r="K462" s="168" t="str">
        <x:f>IF(OR(H462="Mastered",J462=""),"",J462+IF(I462&gt;=5,30,IF(I462=4,14,IF(I462=3,7,IF(I462=2,3,1)))))</x:f>
      </x:c>
      <x:c r="L462" s="171" t="str"/>
      <x:c r="M462" s="171" t="str"/>
      <x:c r="N462" s="171" t="str">
        <x:v>Draft — verify in context</x:v>
      </x:c>
      <x:c r="O462" s="167" t="str">
        <x:v>https://www.wgtn.ac.nz/lals/resources/academicwordlist</x:v>
      </x:c>
    </x:row>
    <x:row r="463" ht="26" customHeight="1">
      <x:c r="A463" s="167" t="n">
        <x:v>462</x:v>
      </x:c>
      <x:c r="B463" s="167" t="str">
        <x:v>practitioners</x:v>
      </x:c>
      <x:c r="C463" s="170" t="str">
        <x:v>практиків</x:v>
      </x:c>
      <x:c r="D463" s="167" t="n">
        <x:v>8</x:v>
      </x:c>
      <x:c r="E463" s="167" t="str">
        <x:v>No</x:v>
      </x:c>
      <x:c r="F463" s="167" t="str">
        <x:v>Medium</x:v>
      </x:c>
      <x:c r="G463" s="167" t="str">
        <x:v>General</x:v>
      </x:c>
      <x:c r="H463" s="167" t="str">
        <x:v>Not Started</x:v>
      </x:c>
      <x:c r="I463" s="167" t="n">
        <x:v>0</x:v>
      </x:c>
      <x:c r="J463" s="168"/>
      <x:c r="K463" s="168" t="str">
        <x:f>IF(OR(H463="Mastered",J463=""),"",J463+IF(I463&gt;=5,30,IF(I463=4,14,IF(I463=3,7,IF(I463=2,3,1)))))</x:f>
      </x:c>
      <x:c r="L463" s="171" t="str"/>
      <x:c r="M463" s="171" t="str"/>
      <x:c r="N463" s="171" t="str">
        <x:v>Draft — verify in context</x:v>
      </x:c>
      <x:c r="O463" s="167" t="str">
        <x:v>https://www.wgtn.ac.nz/lals/resources/academicwordlist</x:v>
      </x:c>
    </x:row>
    <x:row r="464" ht="26" customHeight="1">
      <x:c r="A464" s="167" t="n">
        <x:v>463</x:v>
      </x:c>
      <x:c r="B464" s="167" t="str">
        <x:v>predominantly</x:v>
      </x:c>
      <x:c r="C464" s="170" t="str">
        <x:v>переважно</x:v>
      </x:c>
      <x:c r="D464" s="167" t="n">
        <x:v>8</x:v>
      </x:c>
      <x:c r="E464" s="167" t="str">
        <x:v>Yes</x:v>
      </x:c>
      <x:c r="F464" s="167" t="str">
        <x:v>Medium</x:v>
      </x:c>
      <x:c r="G464" s="167" t="str">
        <x:v>General</x:v>
      </x:c>
      <x:c r="H464" s="167" t="str">
        <x:v>Not Started</x:v>
      </x:c>
      <x:c r="I464" s="167" t="n">
        <x:v>0</x:v>
      </x:c>
      <x:c r="J464" s="168"/>
      <x:c r="K464" s="168" t="str">
        <x:f>IF(OR(H464="Mastered",J464=""),"",J464+IF(I464&gt;=5,30,IF(I464=4,14,IF(I464=3,7,IF(I464=2,3,1)))))</x:f>
      </x:c>
      <x:c r="L464" s="171" t="str"/>
      <x:c r="M464" s="171" t="str"/>
      <x:c r="N464" s="171" t="str">
        <x:v>Draft — verify in context</x:v>
      </x:c>
      <x:c r="O464" s="167" t="str">
        <x:v>https://www.wgtn.ac.nz/lals/resources/academicwordlist</x:v>
      </x:c>
    </x:row>
    <x:row r="465" ht="26" customHeight="1">
      <x:c r="A465" s="167" t="n">
        <x:v>464</x:v>
      </x:c>
      <x:c r="B465" s="167" t="str">
        <x:v>prospect</x:v>
      </x:c>
      <x:c r="C465" s="170" t="str">
        <x:v>перспектива</x:v>
      </x:c>
      <x:c r="D465" s="167" t="n">
        <x:v>8</x:v>
      </x:c>
      <x:c r="E465" s="167" t="str">
        <x:v>No</x:v>
      </x:c>
      <x:c r="F465" s="167" t="str">
        <x:v>Medium</x:v>
      </x:c>
      <x:c r="G465" s="167" t="str">
        <x:v>General</x:v>
      </x:c>
      <x:c r="H465" s="167" t="str">
        <x:v>Not Started</x:v>
      </x:c>
      <x:c r="I465" s="167" t="n">
        <x:v>0</x:v>
      </x:c>
      <x:c r="J465" s="168"/>
      <x:c r="K465" s="168" t="str">
        <x:f>IF(OR(H465="Mastered",J465=""),"",J465+IF(I465&gt;=5,30,IF(I465=4,14,IF(I465=3,7,IF(I465=2,3,1)))))</x:f>
      </x:c>
      <x:c r="L465" s="171" t="str"/>
      <x:c r="M465" s="171" t="str"/>
      <x:c r="N465" s="171" t="str">
        <x:v>Draft — verify in context</x:v>
      </x:c>
      <x:c r="O465" s="167" t="str">
        <x:v>https://www.wgtn.ac.nz/lals/resources/academicwordlist</x:v>
      </x:c>
    </x:row>
    <x:row r="466" ht="26" customHeight="1">
      <x:c r="A466" s="167" t="n">
        <x:v>465</x:v>
      </x:c>
      <x:c r="B466" s="167" t="str">
        <x:v>radical</x:v>
      </x:c>
      <x:c r="C466" s="170" t="str">
        <x:v>радикальний</x:v>
      </x:c>
      <x:c r="D466" s="167" t="n">
        <x:v>8</x:v>
      </x:c>
      <x:c r="E466" s="167" t="str">
        <x:v>Yes</x:v>
      </x:c>
      <x:c r="F466" s="167" t="str">
        <x:v>Medium</x:v>
      </x:c>
      <x:c r="G466" s="167" t="str">
        <x:v>General</x:v>
      </x:c>
      <x:c r="H466" s="167" t="str">
        <x:v>Not Started</x:v>
      </x:c>
      <x:c r="I466" s="167" t="n">
        <x:v>0</x:v>
      </x:c>
      <x:c r="J466" s="168"/>
      <x:c r="K466" s="168" t="str">
        <x:f>IF(OR(H466="Mastered",J466=""),"",J466+IF(I466&gt;=5,30,IF(I466=4,14,IF(I466=3,7,IF(I466=2,3,1)))))</x:f>
      </x:c>
      <x:c r="L466" s="171" t="str"/>
      <x:c r="M466" s="171" t="str"/>
      <x:c r="N466" s="171" t="str">
        <x:v>Draft — verify in context</x:v>
      </x:c>
      <x:c r="O466" s="167" t="str">
        <x:v>https://www.wgtn.ac.nz/lals/resources/academicwordlist</x:v>
      </x:c>
    </x:row>
    <x:row r="467" ht="26" customHeight="1">
      <x:c r="A467" s="167" t="n">
        <x:v>466</x:v>
      </x:c>
      <x:c r="B467" s="167" t="str">
        <x:v>random</x:v>
      </x:c>
      <x:c r="C467" s="170" t="str">
        <x:v>випадковий</x:v>
      </x:c>
      <x:c r="D467" s="167" t="n">
        <x:v>8</x:v>
      </x:c>
      <x:c r="E467" s="167" t="str">
        <x:v>No</x:v>
      </x:c>
      <x:c r="F467" s="167" t="str">
        <x:v>Medium</x:v>
      </x:c>
      <x:c r="G467" s="167" t="str">
        <x:v>General</x:v>
      </x:c>
      <x:c r="H467" s="167" t="str">
        <x:v>Not Started</x:v>
      </x:c>
      <x:c r="I467" s="167" t="n">
        <x:v>0</x:v>
      </x:c>
      <x:c r="J467" s="168"/>
      <x:c r="K467" s="168" t="str">
        <x:f>IF(OR(H467="Mastered",J467=""),"",J467+IF(I467&gt;=5,30,IF(I467=4,14,IF(I467=3,7,IF(I467=2,3,1)))))</x:f>
      </x:c>
      <x:c r="L467" s="171" t="str"/>
      <x:c r="M467" s="171" t="str"/>
      <x:c r="N467" s="171" t="str">
        <x:v>Draft — verify in context</x:v>
      </x:c>
      <x:c r="O467" s="167" t="str">
        <x:v>https://www.wgtn.ac.nz/lals/resources/academicwordlist</x:v>
      </x:c>
    </x:row>
    <x:row r="468" ht="26" customHeight="1">
      <x:c r="A468" s="167" t="n">
        <x:v>467</x:v>
      </x:c>
      <x:c r="B468" s="167" t="str">
        <x:v>reinforced</x:v>
      </x:c>
      <x:c r="C468" s="170" t="str">
        <x:v>посилений</x:v>
      </x:c>
      <x:c r="D468" s="167" t="n">
        <x:v>8</x:v>
      </x:c>
      <x:c r="E468" s="167" t="str">
        <x:v>No</x:v>
      </x:c>
      <x:c r="F468" s="167" t="str">
        <x:v>Medium</x:v>
      </x:c>
      <x:c r="G468" s="167" t="str">
        <x:v>General</x:v>
      </x:c>
      <x:c r="H468" s="167" t="str">
        <x:v>Not Started</x:v>
      </x:c>
      <x:c r="I468" s="167" t="n">
        <x:v>0</x:v>
      </x:c>
      <x:c r="J468" s="168"/>
      <x:c r="K468" s="168" t="str">
        <x:f>IF(OR(H468="Mastered",J468=""),"",J468+IF(I468&gt;=5,30,IF(I468=4,14,IF(I468=3,7,IF(I468=2,3,1)))))</x:f>
      </x:c>
      <x:c r="L468" s="171" t="str"/>
      <x:c r="M468" s="171" t="str"/>
      <x:c r="N468" s="171" t="str">
        <x:v>Draft — verify in context</x:v>
      </x:c>
      <x:c r="O468" s="167" t="str">
        <x:v>https://www.wgtn.ac.nz/lals/resources/academicwordlist</x:v>
      </x:c>
    </x:row>
    <x:row r="469" ht="26" customHeight="1">
      <x:c r="A469" s="167" t="n">
        <x:v>468</x:v>
      </x:c>
      <x:c r="B469" s="167" t="str">
        <x:v>restore</x:v>
      </x:c>
      <x:c r="C469" s="170" t="str">
        <x:v>відновити</x:v>
      </x:c>
      <x:c r="D469" s="167" t="n">
        <x:v>8</x:v>
      </x:c>
      <x:c r="E469" s="167" t="str">
        <x:v>No</x:v>
      </x:c>
      <x:c r="F469" s="167" t="str">
        <x:v>Medium</x:v>
      </x:c>
      <x:c r="G469" s="167" t="str">
        <x:v>General</x:v>
      </x:c>
      <x:c r="H469" s="167" t="str">
        <x:v>Not Started</x:v>
      </x:c>
      <x:c r="I469" s="167" t="n">
        <x:v>0</x:v>
      </x:c>
      <x:c r="J469" s="168"/>
      <x:c r="K469" s="168" t="str">
        <x:f>IF(OR(H469="Mastered",J469=""),"",J469+IF(I469&gt;=5,30,IF(I469=4,14,IF(I469=3,7,IF(I469=2,3,1)))))</x:f>
      </x:c>
      <x:c r="L469" s="171" t="str"/>
      <x:c r="M469" s="171" t="str"/>
      <x:c r="N469" s="171" t="str">
        <x:v>Draft — verify in context</x:v>
      </x:c>
      <x:c r="O469" s="167" t="str">
        <x:v>https://www.wgtn.ac.nz/lals/resources/academicwordlist</x:v>
      </x:c>
    </x:row>
    <x:row r="470" ht="26" customHeight="1">
      <x:c r="A470" s="167" t="n">
        <x:v>469</x:v>
      </x:c>
      <x:c r="B470" s="167" t="str">
        <x:v>revision</x:v>
      </x:c>
      <x:c r="C470" s="170" t="str">
        <x:v>перегляд</x:v>
      </x:c>
      <x:c r="D470" s="167" t="n">
        <x:v>8</x:v>
      </x:c>
      <x:c r="E470" s="167" t="str">
        <x:v>No</x:v>
      </x:c>
      <x:c r="F470" s="167" t="str">
        <x:v>Medium</x:v>
      </x:c>
      <x:c r="G470" s="167" t="str">
        <x:v>General</x:v>
      </x:c>
      <x:c r="H470" s="167" t="str">
        <x:v>Not Started</x:v>
      </x:c>
      <x:c r="I470" s="167" t="n">
        <x:v>0</x:v>
      </x:c>
      <x:c r="J470" s="168"/>
      <x:c r="K470" s="168" t="str">
        <x:f>IF(OR(H470="Mastered",J470=""),"",J470+IF(I470&gt;=5,30,IF(I470=4,14,IF(I470=3,7,IF(I470=2,3,1)))))</x:f>
      </x:c>
      <x:c r="L470" s="171" t="str"/>
      <x:c r="M470" s="171" t="str"/>
      <x:c r="N470" s="171" t="str">
        <x:v>Draft — verify in context</x:v>
      </x:c>
      <x:c r="O470" s="167" t="str">
        <x:v>https://www.wgtn.ac.nz/lals/resources/academicwordlist</x:v>
      </x:c>
    </x:row>
    <x:row r="471" ht="26" customHeight="1">
      <x:c r="A471" s="167" t="n">
        <x:v>470</x:v>
      </x:c>
      <x:c r="B471" s="167" t="str">
        <x:v>schedule</x:v>
      </x:c>
      <x:c r="C471" s="170" t="str">
        <x:v>графік</x:v>
      </x:c>
      <x:c r="D471" s="167" t="n">
        <x:v>8</x:v>
      </x:c>
      <x:c r="E471" s="167" t="str">
        <x:v>No</x:v>
      </x:c>
      <x:c r="F471" s="167" t="str">
        <x:v>Medium</x:v>
      </x:c>
      <x:c r="G471" s="167" t="str">
        <x:v>General</x:v>
      </x:c>
      <x:c r="H471" s="167" t="str">
        <x:v>Not Started</x:v>
      </x:c>
      <x:c r="I471" s="167" t="n">
        <x:v>0</x:v>
      </x:c>
      <x:c r="J471" s="168"/>
      <x:c r="K471" s="168" t="str">
        <x:f>IF(OR(H471="Mastered",J471=""),"",J471+IF(I471&gt;=5,30,IF(I471=4,14,IF(I471=3,7,IF(I471=2,3,1)))))</x:f>
      </x:c>
      <x:c r="L471" s="171" t="str"/>
      <x:c r="M471" s="171" t="str"/>
      <x:c r="N471" s="171" t="str">
        <x:v>Draft — verify in context</x:v>
      </x:c>
      <x:c r="O471" s="167" t="str">
        <x:v>https://www.wgtn.ac.nz/lals/resources/academicwordlist</x:v>
      </x:c>
    </x:row>
    <x:row r="472" ht="26" customHeight="1">
      <x:c r="A472" s="167" t="n">
        <x:v>471</x:v>
      </x:c>
      <x:c r="B472" s="167" t="str">
        <x:v>tension</x:v>
      </x:c>
      <x:c r="C472" s="170" t="str">
        <x:v>напруга</x:v>
      </x:c>
      <x:c r="D472" s="167" t="n">
        <x:v>8</x:v>
      </x:c>
      <x:c r="E472" s="167" t="str">
        <x:v>No</x:v>
      </x:c>
      <x:c r="F472" s="167" t="str">
        <x:v>Medium</x:v>
      </x:c>
      <x:c r="G472" s="167" t="str">
        <x:v>General</x:v>
      </x:c>
      <x:c r="H472" s="167" t="str">
        <x:v>Not Started</x:v>
      </x:c>
      <x:c r="I472" s="167" t="n">
        <x:v>0</x:v>
      </x:c>
      <x:c r="J472" s="168"/>
      <x:c r="K472" s="168" t="str">
        <x:f>IF(OR(H472="Mastered",J472=""),"",J472+IF(I472&gt;=5,30,IF(I472=4,14,IF(I472=3,7,IF(I472=2,3,1)))))</x:f>
      </x:c>
      <x:c r="L472" s="171" t="str"/>
      <x:c r="M472" s="171" t="str"/>
      <x:c r="N472" s="171" t="str">
        <x:v>Draft — verify in context</x:v>
      </x:c>
      <x:c r="O472" s="167" t="str">
        <x:v>https://www.wgtn.ac.nz/lals/resources/academicwordlist</x:v>
      </x:c>
    </x:row>
    <x:row r="473" ht="26" customHeight="1">
      <x:c r="A473" s="167" t="n">
        <x:v>472</x:v>
      </x:c>
      <x:c r="B473" s="167" t="str">
        <x:v>termination</x:v>
      </x:c>
      <x:c r="C473" s="170" t="str">
        <x:v>припинення</x:v>
      </x:c>
      <x:c r="D473" s="167" t="n">
        <x:v>8</x:v>
      </x:c>
      <x:c r="E473" s="167" t="str">
        <x:v>No</x:v>
      </x:c>
      <x:c r="F473" s="167" t="str">
        <x:v>Medium</x:v>
      </x:c>
      <x:c r="G473" s="167" t="str">
        <x:v>General</x:v>
      </x:c>
      <x:c r="H473" s="167" t="str">
        <x:v>Not Started</x:v>
      </x:c>
      <x:c r="I473" s="167" t="n">
        <x:v>0</x:v>
      </x:c>
      <x:c r="J473" s="168"/>
      <x:c r="K473" s="168" t="str">
        <x:f>IF(OR(H473="Mastered",J473=""),"",J473+IF(I473&gt;=5,30,IF(I473=4,14,IF(I473=3,7,IF(I473=2,3,1)))))</x:f>
      </x:c>
      <x:c r="L473" s="171" t="str"/>
      <x:c r="M473" s="171" t="str"/>
      <x:c r="N473" s="171" t="str">
        <x:v>Draft — verify in context</x:v>
      </x:c>
      <x:c r="O473" s="167" t="str">
        <x:v>https://www.wgtn.ac.nz/lals/resources/academicwordlist</x:v>
      </x:c>
    </x:row>
    <x:row r="474" ht="26" customHeight="1">
      <x:c r="A474" s="167" t="n">
        <x:v>473</x:v>
      </x:c>
      <x:c r="B474" s="167" t="str">
        <x:v>theme</x:v>
      </x:c>
      <x:c r="C474" s="170" t="str">
        <x:v>тема</x:v>
      </x:c>
      <x:c r="D474" s="167" t="n">
        <x:v>8</x:v>
      </x:c>
      <x:c r="E474" s="167" t="str">
        <x:v>No</x:v>
      </x:c>
      <x:c r="F474" s="167" t="str">
        <x:v>Medium</x:v>
      </x:c>
      <x:c r="G474" s="167" t="str">
        <x:v>General</x:v>
      </x:c>
      <x:c r="H474" s="167" t="str">
        <x:v>Not Started</x:v>
      </x:c>
      <x:c r="I474" s="167" t="n">
        <x:v>0</x:v>
      </x:c>
      <x:c r="J474" s="168"/>
      <x:c r="K474" s="168" t="str">
        <x:f>IF(OR(H474="Mastered",J474=""),"",J474+IF(I474&gt;=5,30,IF(I474=4,14,IF(I474=3,7,IF(I474=2,3,1)))))</x:f>
      </x:c>
      <x:c r="L474" s="171" t="str"/>
      <x:c r="M474" s="171" t="str"/>
      <x:c r="N474" s="171" t="str">
        <x:v>Draft — verify in context</x:v>
      </x:c>
      <x:c r="O474" s="167" t="str">
        <x:v>https://www.wgtn.ac.nz/lals/resources/academicwordlist</x:v>
      </x:c>
    </x:row>
    <x:row r="475" ht="26" customHeight="1">
      <x:c r="A475" s="167" t="n">
        <x:v>474</x:v>
      </x:c>
      <x:c r="B475" s="167" t="str">
        <x:v>thereby</x:v>
      </x:c>
      <x:c r="C475" s="170" t="str">
        <x:v>таким чином</x:v>
      </x:c>
      <x:c r="D475" s="167" t="n">
        <x:v>8</x:v>
      </x:c>
      <x:c r="E475" s="167" t="str">
        <x:v>Yes</x:v>
      </x:c>
      <x:c r="F475" s="167" t="str">
        <x:v>Medium</x:v>
      </x:c>
      <x:c r="G475" s="167" t="str">
        <x:v>General</x:v>
      </x:c>
      <x:c r="H475" s="167" t="str">
        <x:v>Not Started</x:v>
      </x:c>
      <x:c r="I475" s="167" t="n">
        <x:v>0</x:v>
      </x:c>
      <x:c r="J475" s="168"/>
      <x:c r="K475" s="168" t="str">
        <x:f>IF(OR(H475="Mastered",J475=""),"",J475+IF(I475&gt;=5,30,IF(I475=4,14,IF(I475=3,7,IF(I475=2,3,1)))))</x:f>
      </x:c>
      <x:c r="L475" s="171" t="str"/>
      <x:c r="M475" s="171" t="str"/>
      <x:c r="N475" s="171" t="str">
        <x:v>Draft — verify in context</x:v>
      </x:c>
      <x:c r="O475" s="167" t="str">
        <x:v>https://www.wgtn.ac.nz/lals/resources/academicwordlist</x:v>
      </x:c>
    </x:row>
    <x:row r="476" ht="26" customHeight="1">
      <x:c r="A476" s="167" t="n">
        <x:v>475</x:v>
      </x:c>
      <x:c r="B476" s="167" t="str">
        <x:v>uniform</x:v>
      </x:c>
      <x:c r="C476" s="170" t="str">
        <x:v>уніформа</x:v>
      </x:c>
      <x:c r="D476" s="167" t="n">
        <x:v>8</x:v>
      </x:c>
      <x:c r="E476" s="167" t="str">
        <x:v>No</x:v>
      </x:c>
      <x:c r="F476" s="167" t="str">
        <x:v>Medium</x:v>
      </x:c>
      <x:c r="G476" s="167" t="str">
        <x:v>General</x:v>
      </x:c>
      <x:c r="H476" s="167" t="str">
        <x:v>Not Started</x:v>
      </x:c>
      <x:c r="I476" s="167" t="n">
        <x:v>0</x:v>
      </x:c>
      <x:c r="J476" s="168"/>
      <x:c r="K476" s="168" t="str">
        <x:f>IF(OR(H476="Mastered",J476=""),"",J476+IF(I476&gt;=5,30,IF(I476=4,14,IF(I476=3,7,IF(I476=2,3,1)))))</x:f>
      </x:c>
      <x:c r="L476" s="171" t="str"/>
      <x:c r="M476" s="171" t="str"/>
      <x:c r="N476" s="171" t="str">
        <x:v>Draft — verify in context</x:v>
      </x:c>
      <x:c r="O476" s="167" t="str">
        <x:v>https://www.wgtn.ac.nz/lals/resources/academicwordlist</x:v>
      </x:c>
    </x:row>
    <x:row r="477" ht="26" customHeight="1">
      <x:c r="A477" s="167" t="n">
        <x:v>476</x:v>
      </x:c>
      <x:c r="B477" s="167" t="str">
        <x:v>vehicle</x:v>
      </x:c>
      <x:c r="C477" s="170" t="str">
        <x:v>транспортний засіб</x:v>
      </x:c>
      <x:c r="D477" s="167" t="n">
        <x:v>8</x:v>
      </x:c>
      <x:c r="E477" s="167" t="str">
        <x:v>No</x:v>
      </x:c>
      <x:c r="F477" s="167" t="str">
        <x:v>Medium</x:v>
      </x:c>
      <x:c r="G477" s="167" t="str">
        <x:v>General</x:v>
      </x:c>
      <x:c r="H477" s="167" t="str">
        <x:v>Not Started</x:v>
      </x:c>
      <x:c r="I477" s="167" t="n">
        <x:v>0</x:v>
      </x:c>
      <x:c r="J477" s="168"/>
      <x:c r="K477" s="168" t="str">
        <x:f>IF(OR(H477="Mastered",J477=""),"",J477+IF(I477&gt;=5,30,IF(I477=4,14,IF(I477=3,7,IF(I477=2,3,1)))))</x:f>
      </x:c>
      <x:c r="L477" s="171" t="str"/>
      <x:c r="M477" s="171" t="str"/>
      <x:c r="N477" s="171" t="str">
        <x:v>Draft — verify in context</x:v>
      </x:c>
      <x:c r="O477" s="167" t="str">
        <x:v>https://www.wgtn.ac.nz/lals/resources/academicwordlist</x:v>
      </x:c>
    </x:row>
    <x:row r="478" ht="26" customHeight="1">
      <x:c r="A478" s="167" t="n">
        <x:v>477</x:v>
      </x:c>
      <x:c r="B478" s="167" t="str">
        <x:v>via</x:v>
      </x:c>
      <x:c r="C478" s="170" t="str">
        <x:v>через</x:v>
      </x:c>
      <x:c r="D478" s="167" t="n">
        <x:v>8</x:v>
      </x:c>
      <x:c r="E478" s="167" t="str">
        <x:v>No</x:v>
      </x:c>
      <x:c r="F478" s="167" t="str">
        <x:v>Medium</x:v>
      </x:c>
      <x:c r="G478" s="167" t="str">
        <x:v>General</x:v>
      </x:c>
      <x:c r="H478" s="167" t="str">
        <x:v>Not Started</x:v>
      </x:c>
      <x:c r="I478" s="167" t="n">
        <x:v>0</x:v>
      </x:c>
      <x:c r="J478" s="168"/>
      <x:c r="K478" s="168" t="str">
        <x:f>IF(OR(H478="Mastered",J478=""),"",J478+IF(I478&gt;=5,30,IF(I478=4,14,IF(I478=3,7,IF(I478=2,3,1)))))</x:f>
      </x:c>
      <x:c r="L478" s="171" t="str"/>
      <x:c r="M478" s="171" t="str"/>
      <x:c r="N478" s="171" t="str">
        <x:v>Draft — verify in context</x:v>
      </x:c>
      <x:c r="O478" s="167" t="str">
        <x:v>https://www.wgtn.ac.nz/lals/resources/academicwordlist</x:v>
      </x:c>
    </x:row>
    <x:row r="479" ht="26" customHeight="1">
      <x:c r="A479" s="167" t="n">
        <x:v>478</x:v>
      </x:c>
      <x:c r="B479" s="167" t="str">
        <x:v>virtually</x:v>
      </x:c>
      <x:c r="C479" s="170" t="str">
        <x:v>практично</x:v>
      </x:c>
      <x:c r="D479" s="167" t="n">
        <x:v>8</x:v>
      </x:c>
      <x:c r="E479" s="167" t="str">
        <x:v>No</x:v>
      </x:c>
      <x:c r="F479" s="167" t="str">
        <x:v>Medium</x:v>
      </x:c>
      <x:c r="G479" s="167" t="str">
        <x:v>General</x:v>
      </x:c>
      <x:c r="H479" s="167" t="str">
        <x:v>Not Started</x:v>
      </x:c>
      <x:c r="I479" s="167" t="n">
        <x:v>0</x:v>
      </x:c>
      <x:c r="J479" s="168"/>
      <x:c r="K479" s="168" t="str">
        <x:f>IF(OR(H479="Mastered",J479=""),"",J479+IF(I479&gt;=5,30,IF(I479=4,14,IF(I479=3,7,IF(I479=2,3,1)))))</x:f>
      </x:c>
      <x:c r="L479" s="171" t="str"/>
      <x:c r="M479" s="171" t="str"/>
      <x:c r="N479" s="171" t="str">
        <x:v>Draft — verify in context</x:v>
      </x:c>
      <x:c r="O479" s="167" t="str">
        <x:v>https://www.wgtn.ac.nz/lals/resources/academicwordlist</x:v>
      </x:c>
    </x:row>
    <x:row r="480" ht="26" customHeight="1">
      <x:c r="A480" s="167" t="n">
        <x:v>479</x:v>
      </x:c>
      <x:c r="B480" s="167" t="str">
        <x:v>widespread</x:v>
      </x:c>
      <x:c r="C480" s="170" t="str">
        <x:v>широко поширені</x:v>
      </x:c>
      <x:c r="D480" s="167" t="n">
        <x:v>8</x:v>
      </x:c>
      <x:c r="E480" s="167" t="str">
        <x:v>No</x:v>
      </x:c>
      <x:c r="F480" s="167" t="str">
        <x:v>Medium</x:v>
      </x:c>
      <x:c r="G480" s="167" t="str">
        <x:v>General</x:v>
      </x:c>
      <x:c r="H480" s="167" t="str">
        <x:v>Not Started</x:v>
      </x:c>
      <x:c r="I480" s="167" t="n">
        <x:v>0</x:v>
      </x:c>
      <x:c r="J480" s="168"/>
      <x:c r="K480" s="168" t="str">
        <x:f>IF(OR(H480="Mastered",J480=""),"",J480+IF(I480&gt;=5,30,IF(I480=4,14,IF(I480=3,7,IF(I480=2,3,1)))))</x:f>
      </x:c>
      <x:c r="L480" s="171" t="str"/>
      <x:c r="M480" s="171" t="str"/>
      <x:c r="N480" s="171" t="str">
        <x:v>Draft — verify in context</x:v>
      </x:c>
      <x:c r="O480" s="167" t="str">
        <x:v>https://www.wgtn.ac.nz/lals/resources/academicwordlist</x:v>
      </x:c>
    </x:row>
    <x:row r="481" ht="26" customHeight="1">
      <x:c r="A481" s="167" t="n">
        <x:v>480</x:v>
      </x:c>
      <x:c r="B481" s="167" t="str">
        <x:v>visual</x:v>
      </x:c>
      <x:c r="C481" s="170" t="str">
        <x:v>візуальний</x:v>
      </x:c>
      <x:c r="D481" s="167" t="n">
        <x:v>8</x:v>
      </x:c>
      <x:c r="E481" s="167" t="str">
        <x:v>No</x:v>
      </x:c>
      <x:c r="F481" s="167" t="str">
        <x:v>Medium</x:v>
      </x:c>
      <x:c r="G481" s="167" t="str">
        <x:v>General</x:v>
      </x:c>
      <x:c r="H481" s="167" t="str">
        <x:v>Not Started</x:v>
      </x:c>
      <x:c r="I481" s="167" t="n">
        <x:v>0</x:v>
      </x:c>
      <x:c r="J481" s="168"/>
      <x:c r="K481" s="168" t="str">
        <x:f>IF(OR(H481="Mastered",J481=""),"",J481+IF(I481&gt;=5,30,IF(I481=4,14,IF(I481=3,7,IF(I481=2,3,1)))))</x:f>
      </x:c>
      <x:c r="L481" s="171" t="str"/>
      <x:c r="M481" s="171" t="str"/>
      <x:c r="N481" s="171" t="str">
        <x:v>Draft — verify in context</x:v>
      </x:c>
      <x:c r="O481" s="167" t="str">
        <x:v>https://www.wgtn.ac.nz/lals/resources/academicwordlist</x:v>
      </x:c>
    </x:row>
    <x:row r="482" ht="26" customHeight="1">
      <x:c r="A482" s="167" t="n">
        <x:v>481</x:v>
      </x:c>
      <x:c r="B482" s="167" t="str">
        <x:v>accommodation</x:v>
      </x:c>
      <x:c r="C482" s="170" t="str">
        <x:v>проживання</x:v>
      </x:c>
      <x:c r="D482" s="167" t="n">
        <x:v>9</x:v>
      </x:c>
      <x:c r="E482" s="167" t="str">
        <x:v>No</x:v>
      </x:c>
      <x:c r="F482" s="167" t="str">
        <x:v>Medium</x:v>
      </x:c>
      <x:c r="G482" s="167" t="str">
        <x:v>General</x:v>
      </x:c>
      <x:c r="H482" s="167" t="str">
        <x:v>Not Started</x:v>
      </x:c>
      <x:c r="I482" s="167" t="n">
        <x:v>0</x:v>
      </x:c>
      <x:c r="J482" s="168"/>
      <x:c r="K482" s="168" t="str">
        <x:f>IF(OR(H482="Mastered",J482=""),"",J482+IF(I482&gt;=5,30,IF(I482=4,14,IF(I482=3,7,IF(I482=2,3,1)))))</x:f>
      </x:c>
      <x:c r="L482" s="171" t="str"/>
      <x:c r="M482" s="171" t="str"/>
      <x:c r="N482" s="171" t="str">
        <x:v>Draft — verify in context</x:v>
      </x:c>
      <x:c r="O482" s="167" t="str">
        <x:v>https://www.wgtn.ac.nz/lals/resources/academicwordlist</x:v>
      </x:c>
    </x:row>
    <x:row r="483" ht="26" customHeight="1">
      <x:c r="A483" s="167" t="n">
        <x:v>482</x:v>
      </x:c>
      <x:c r="B483" s="167" t="str">
        <x:v>analogous</x:v>
      </x:c>
      <x:c r="C483" s="170" t="str">
        <x:v>аналогічний</x:v>
      </x:c>
      <x:c r="D483" s="167" t="n">
        <x:v>9</x:v>
      </x:c>
      <x:c r="E483" s="167" t="str">
        <x:v>No</x:v>
      </x:c>
      <x:c r="F483" s="167" t="str">
        <x:v>Medium</x:v>
      </x:c>
      <x:c r="G483" s="167" t="str">
        <x:v>General</x:v>
      </x:c>
      <x:c r="H483" s="167" t="str">
        <x:v>Not Started</x:v>
      </x:c>
      <x:c r="I483" s="167" t="n">
        <x:v>0</x:v>
      </x:c>
      <x:c r="J483" s="168"/>
      <x:c r="K483" s="168" t="str">
        <x:f>IF(OR(H483="Mastered",J483=""),"",J483+IF(I483&gt;=5,30,IF(I483=4,14,IF(I483=3,7,IF(I483=2,3,1)))))</x:f>
      </x:c>
      <x:c r="L483" s="171" t="str"/>
      <x:c r="M483" s="171" t="str"/>
      <x:c r="N483" s="171" t="str">
        <x:v>Draft — verify in context</x:v>
      </x:c>
      <x:c r="O483" s="167" t="str">
        <x:v>https://www.wgtn.ac.nz/lals/resources/academicwordlist</x:v>
      </x:c>
    </x:row>
    <x:row r="484" ht="26" customHeight="1">
      <x:c r="A484" s="167" t="n">
        <x:v>483</x:v>
      </x:c>
      <x:c r="B484" s="167" t="str">
        <x:v>anticipated</x:v>
      </x:c>
      <x:c r="C484" s="170" t="str">
        <x:v>очікуваний</x:v>
      </x:c>
      <x:c r="D484" s="167" t="n">
        <x:v>9</x:v>
      </x:c>
      <x:c r="E484" s="167" t="str">
        <x:v>No</x:v>
      </x:c>
      <x:c r="F484" s="167" t="str">
        <x:v>Medium</x:v>
      </x:c>
      <x:c r="G484" s="167" t="str">
        <x:v>General</x:v>
      </x:c>
      <x:c r="H484" s="167" t="str">
        <x:v>Not Started</x:v>
      </x:c>
      <x:c r="I484" s="167" t="n">
        <x:v>0</x:v>
      </x:c>
      <x:c r="J484" s="168"/>
      <x:c r="K484" s="168" t="str">
        <x:f>IF(OR(H484="Mastered",J484=""),"",J484+IF(I484&gt;=5,30,IF(I484=4,14,IF(I484=3,7,IF(I484=2,3,1)))))</x:f>
      </x:c>
      <x:c r="L484" s="171" t="str"/>
      <x:c r="M484" s="171" t="str"/>
      <x:c r="N484" s="171" t="str">
        <x:v>Draft — verify in context</x:v>
      </x:c>
      <x:c r="O484" s="167" t="str">
        <x:v>https://www.wgtn.ac.nz/lals/resources/academicwordlist</x:v>
      </x:c>
    </x:row>
    <x:row r="485" ht="26" customHeight="1">
      <x:c r="A485" s="167" t="n">
        <x:v>484</x:v>
      </x:c>
      <x:c r="B485" s="167" t="str">
        <x:v>assurance</x:v>
      </x:c>
      <x:c r="C485" s="170" t="str">
        <x:v>запевнення</x:v>
      </x:c>
      <x:c r="D485" s="167" t="n">
        <x:v>9</x:v>
      </x:c>
      <x:c r="E485" s="167" t="str">
        <x:v>Yes</x:v>
      </x:c>
      <x:c r="F485" s="167" t="str">
        <x:v>Medium</x:v>
      </x:c>
      <x:c r="G485" s="167" t="str">
        <x:v>General</x:v>
      </x:c>
      <x:c r="H485" s="167" t="str">
        <x:v>Not Started</x:v>
      </x:c>
      <x:c r="I485" s="167" t="n">
        <x:v>0</x:v>
      </x:c>
      <x:c r="J485" s="168"/>
      <x:c r="K485" s="168" t="str">
        <x:f>IF(OR(H485="Mastered",J485=""),"",J485+IF(I485&gt;=5,30,IF(I485=4,14,IF(I485=3,7,IF(I485=2,3,1)))))</x:f>
      </x:c>
      <x:c r="L485" s="171" t="str"/>
      <x:c r="M485" s="171" t="str"/>
      <x:c r="N485" s="171" t="str">
        <x:v>Draft — verify in context</x:v>
      </x:c>
      <x:c r="O485" s="167" t="str">
        <x:v>https://www.wgtn.ac.nz/lals/resources/academicwordlist</x:v>
      </x:c>
    </x:row>
    <x:row r="486" ht="26" customHeight="1">
      <x:c r="A486" s="167" t="n">
        <x:v>485</x:v>
      </x:c>
      <x:c r="B486" s="167" t="str">
        <x:v>attained</x:v>
      </x:c>
      <x:c r="C486" s="170" t="str">
        <x:v>досягнуто</x:v>
      </x:c>
      <x:c r="D486" s="167" t="n">
        <x:v>9</x:v>
      </x:c>
      <x:c r="E486" s="167" t="str">
        <x:v>No</x:v>
      </x:c>
      <x:c r="F486" s="167" t="str">
        <x:v>Medium</x:v>
      </x:c>
      <x:c r="G486" s="167" t="str">
        <x:v>General</x:v>
      </x:c>
      <x:c r="H486" s="167" t="str">
        <x:v>Not Started</x:v>
      </x:c>
      <x:c r="I486" s="167" t="n">
        <x:v>0</x:v>
      </x:c>
      <x:c r="J486" s="168"/>
      <x:c r="K486" s="168" t="str">
        <x:f>IF(OR(H486="Mastered",J486=""),"",J486+IF(I486&gt;=5,30,IF(I486=4,14,IF(I486=3,7,IF(I486=2,3,1)))))</x:f>
      </x:c>
      <x:c r="L486" s="171" t="str"/>
      <x:c r="M486" s="171" t="str"/>
      <x:c r="N486" s="171" t="str">
        <x:v>Draft — verify in context</x:v>
      </x:c>
      <x:c r="O486" s="167" t="str">
        <x:v>https://www.wgtn.ac.nz/lals/resources/academicwordlist</x:v>
      </x:c>
    </x:row>
    <x:row r="487" ht="26" customHeight="1">
      <x:c r="A487" s="167" t="n">
        <x:v>486</x:v>
      </x:c>
      <x:c r="B487" s="167" t="str">
        <x:v>behalf</x:v>
      </x:c>
      <x:c r="C487" s="170" t="str">
        <x:v>від імені</x:v>
      </x:c>
      <x:c r="D487" s="167" t="n">
        <x:v>9</x:v>
      </x:c>
      <x:c r="E487" s="167" t="str">
        <x:v>Yes</x:v>
      </x:c>
      <x:c r="F487" s="167" t="str">
        <x:v>Medium</x:v>
      </x:c>
      <x:c r="G487" s="167" t="str">
        <x:v>General</x:v>
      </x:c>
      <x:c r="H487" s="167" t="str">
        <x:v>Not Started</x:v>
      </x:c>
      <x:c r="I487" s="167" t="n">
        <x:v>0</x:v>
      </x:c>
      <x:c r="J487" s="168"/>
      <x:c r="K487" s="168" t="str">
        <x:f>IF(OR(H487="Mastered",J487=""),"",J487+IF(I487&gt;=5,30,IF(I487=4,14,IF(I487=3,7,IF(I487=2,3,1)))))</x:f>
      </x:c>
      <x:c r="L487" s="171" t="str"/>
      <x:c r="M487" s="171" t="str"/>
      <x:c r="N487" s="171" t="str">
        <x:v>Draft — verify in context</x:v>
      </x:c>
      <x:c r="O487" s="167" t="str">
        <x:v>https://www.wgtn.ac.nz/lals/resources/academicwordlist</x:v>
      </x:c>
    </x:row>
    <x:row r="488" ht="26" customHeight="1">
      <x:c r="A488" s="167" t="n">
        <x:v>487</x:v>
      </x:c>
      <x:c r="B488" s="167" t="str">
        <x:v>bulk</x:v>
      </x:c>
      <x:c r="C488" s="170" t="str">
        <x:v>масовий</x:v>
      </x:c>
      <x:c r="D488" s="167" t="n">
        <x:v>9</x:v>
      </x:c>
      <x:c r="E488" s="167" t="str">
        <x:v>Yes</x:v>
      </x:c>
      <x:c r="F488" s="167" t="str">
        <x:v>Medium</x:v>
      </x:c>
      <x:c r="G488" s="167" t="str">
        <x:v>General</x:v>
      </x:c>
      <x:c r="H488" s="167" t="str">
        <x:v>Not Started</x:v>
      </x:c>
      <x:c r="I488" s="167" t="n">
        <x:v>0</x:v>
      </x:c>
      <x:c r="J488" s="168"/>
      <x:c r="K488" s="168" t="str">
        <x:f>IF(OR(H488="Mastered",J488=""),"",J488+IF(I488&gt;=5,30,IF(I488=4,14,IF(I488=3,7,IF(I488=2,3,1)))))</x:f>
      </x:c>
      <x:c r="L488" s="171" t="str"/>
      <x:c r="M488" s="171" t="str"/>
      <x:c r="N488" s="171" t="str">
        <x:v>Draft — verify in context</x:v>
      </x:c>
      <x:c r="O488" s="167" t="str">
        <x:v>https://www.wgtn.ac.nz/lals/resources/academicwordlist</x:v>
      </x:c>
    </x:row>
    <x:row r="489" ht="26" customHeight="1">
      <x:c r="A489" s="167" t="n">
        <x:v>488</x:v>
      </x:c>
      <x:c r="B489" s="167" t="str">
        <x:v>ceases</x:v>
      </x:c>
      <x:c r="C489" s="170" t="str">
        <x:v>припиняється</x:v>
      </x:c>
      <x:c r="D489" s="167" t="n">
        <x:v>9</x:v>
      </x:c>
      <x:c r="E489" s="167" t="str">
        <x:v>No</x:v>
      </x:c>
      <x:c r="F489" s="167" t="str">
        <x:v>Medium</x:v>
      </x:c>
      <x:c r="G489" s="167" t="str">
        <x:v>General</x:v>
      </x:c>
      <x:c r="H489" s="167" t="str">
        <x:v>Not Started</x:v>
      </x:c>
      <x:c r="I489" s="167" t="n">
        <x:v>0</x:v>
      </x:c>
      <x:c r="J489" s="168"/>
      <x:c r="K489" s="168" t="str">
        <x:f>IF(OR(H489="Mastered",J489=""),"",J489+IF(I489&gt;=5,30,IF(I489=4,14,IF(I489=3,7,IF(I489=2,3,1)))))</x:f>
      </x:c>
      <x:c r="L489" s="171" t="str"/>
      <x:c r="M489" s="171" t="str"/>
      <x:c r="N489" s="171" t="str">
        <x:v>Draft — verify in context</x:v>
      </x:c>
      <x:c r="O489" s="167" t="str">
        <x:v>https://www.wgtn.ac.nz/lals/resources/academicwordlist</x:v>
      </x:c>
    </x:row>
    <x:row r="490" ht="26" customHeight="1">
      <x:c r="A490" s="167" t="n">
        <x:v>489</x:v>
      </x:c>
      <x:c r="B490" s="167" t="str">
        <x:v>coherence</x:v>
      </x:c>
      <x:c r="C490" s="170" t="str">
        <x:v>узгодженість</x:v>
      </x:c>
      <x:c r="D490" s="167" t="n">
        <x:v>9</x:v>
      </x:c>
      <x:c r="E490" s="167" t="str">
        <x:v>No</x:v>
      </x:c>
      <x:c r="F490" s="167" t="str">
        <x:v>Medium</x:v>
      </x:c>
      <x:c r="G490" s="167" t="str">
        <x:v>General</x:v>
      </x:c>
      <x:c r="H490" s="167" t="str">
        <x:v>Not Started</x:v>
      </x:c>
      <x:c r="I490" s="167" t="n">
        <x:v>0</x:v>
      </x:c>
      <x:c r="J490" s="168"/>
      <x:c r="K490" s="168" t="str">
        <x:f>IF(OR(H490="Mastered",J490=""),"",J490+IF(I490&gt;=5,30,IF(I490=4,14,IF(I490=3,7,IF(I490=2,3,1)))))</x:f>
      </x:c>
      <x:c r="L490" s="171" t="str"/>
      <x:c r="M490" s="171" t="str"/>
      <x:c r="N490" s="171" t="str">
        <x:v>Draft — verify in context</x:v>
      </x:c>
      <x:c r="O490" s="167" t="str">
        <x:v>https://www.wgtn.ac.nz/lals/resources/academicwordlist</x:v>
      </x:c>
    </x:row>
    <x:row r="491" ht="26" customHeight="1">
      <x:c r="A491" s="167" t="n">
        <x:v>490</x:v>
      </x:c>
      <x:c r="B491" s="167" t="str">
        <x:v>coincide</x:v>
      </x:c>
      <x:c r="C491" s="170" t="str">
        <x:v>збігаються</x:v>
      </x:c>
      <x:c r="D491" s="167" t="n">
        <x:v>9</x:v>
      </x:c>
      <x:c r="E491" s="167" t="str">
        <x:v>Yes</x:v>
      </x:c>
      <x:c r="F491" s="167" t="str">
        <x:v>Medium</x:v>
      </x:c>
      <x:c r="G491" s="167" t="str">
        <x:v>General</x:v>
      </x:c>
      <x:c r="H491" s="167" t="str">
        <x:v>Not Started</x:v>
      </x:c>
      <x:c r="I491" s="167" t="n">
        <x:v>0</x:v>
      </x:c>
      <x:c r="J491" s="168"/>
      <x:c r="K491" s="168" t="str">
        <x:f>IF(OR(H491="Mastered",J491=""),"",J491+IF(I491&gt;=5,30,IF(I491=4,14,IF(I491=3,7,IF(I491=2,3,1)))))</x:f>
      </x:c>
      <x:c r="L491" s="171" t="str"/>
      <x:c r="M491" s="171" t="str"/>
      <x:c r="N491" s="171" t="str">
        <x:v>Draft — verify in context</x:v>
      </x:c>
      <x:c r="O491" s="167" t="str">
        <x:v>https://www.wgtn.ac.nz/lals/resources/academicwordlist</x:v>
      </x:c>
    </x:row>
    <x:row r="492" ht="26" customHeight="1">
      <x:c r="A492" s="167" t="n">
        <x:v>491</x:v>
      </x:c>
      <x:c r="B492" s="167" t="str">
        <x:v>commenced</x:v>
      </x:c>
      <x:c r="C492" s="170" t="str">
        <x:v>розпочато</x:v>
      </x:c>
      <x:c r="D492" s="167" t="n">
        <x:v>9</x:v>
      </x:c>
      <x:c r="E492" s="167" t="str">
        <x:v>No</x:v>
      </x:c>
      <x:c r="F492" s="167" t="str">
        <x:v>Medium</x:v>
      </x:c>
      <x:c r="G492" s="167" t="str">
        <x:v>General</x:v>
      </x:c>
      <x:c r="H492" s="167" t="str">
        <x:v>Not Started</x:v>
      </x:c>
      <x:c r="I492" s="167" t="n">
        <x:v>0</x:v>
      </x:c>
      <x:c r="J492" s="168"/>
      <x:c r="K492" s="168" t="str">
        <x:f>IF(OR(H492="Mastered",J492=""),"",J492+IF(I492&gt;=5,30,IF(I492=4,14,IF(I492=3,7,IF(I492=2,3,1)))))</x:f>
      </x:c>
      <x:c r="L492" s="171" t="str"/>
      <x:c r="M492" s="171" t="str"/>
      <x:c r="N492" s="171" t="str">
        <x:v>Draft — verify in context</x:v>
      </x:c>
      <x:c r="O492" s="167" t="str">
        <x:v>https://www.wgtn.ac.nz/lals/resources/academicwordlist</x:v>
      </x:c>
    </x:row>
    <x:row r="493" ht="26" customHeight="1">
      <x:c r="A493" s="167" t="n">
        <x:v>492</x:v>
      </x:c>
      <x:c r="B493" s="167" t="str">
        <x:v>incompatible</x:v>
      </x:c>
      <x:c r="C493" s="170" t="str">
        <x:v>несумісні</x:v>
      </x:c>
      <x:c r="D493" s="167" t="n">
        <x:v>9</x:v>
      </x:c>
      <x:c r="E493" s="167" t="str">
        <x:v>No</x:v>
      </x:c>
      <x:c r="F493" s="167" t="str">
        <x:v>Medium</x:v>
      </x:c>
      <x:c r="G493" s="167" t="str">
        <x:v>General</x:v>
      </x:c>
      <x:c r="H493" s="167" t="str">
        <x:v>Not Started</x:v>
      </x:c>
      <x:c r="I493" s="167" t="n">
        <x:v>0</x:v>
      </x:c>
      <x:c r="J493" s="168"/>
      <x:c r="K493" s="168" t="str">
        <x:f>IF(OR(H493="Mastered",J493=""),"",J493+IF(I493&gt;=5,30,IF(I493=4,14,IF(I493=3,7,IF(I493=2,3,1)))))</x:f>
      </x:c>
      <x:c r="L493" s="171" t="str"/>
      <x:c r="M493" s="171" t="str"/>
      <x:c r="N493" s="171" t="str">
        <x:v>Draft — verify in context</x:v>
      </x:c>
      <x:c r="O493" s="167" t="str">
        <x:v>https://www.wgtn.ac.nz/lals/resources/academicwordlist</x:v>
      </x:c>
    </x:row>
    <x:row r="494" ht="26" customHeight="1">
      <x:c r="A494" s="167" t="n">
        <x:v>493</x:v>
      </x:c>
      <x:c r="B494" s="167" t="str">
        <x:v>concurrent</x:v>
      </x:c>
      <x:c r="C494" s="170" t="str">
        <x:v>одночасний</x:v>
      </x:c>
      <x:c r="D494" s="167" t="n">
        <x:v>9</x:v>
      </x:c>
      <x:c r="E494" s="167" t="str">
        <x:v>No</x:v>
      </x:c>
      <x:c r="F494" s="167" t="str">
        <x:v>Medium</x:v>
      </x:c>
      <x:c r="G494" s="167" t="str">
        <x:v>General</x:v>
      </x:c>
      <x:c r="H494" s="167" t="str">
        <x:v>Not Started</x:v>
      </x:c>
      <x:c r="I494" s="167" t="n">
        <x:v>0</x:v>
      </x:c>
      <x:c r="J494" s="168"/>
      <x:c r="K494" s="168" t="str">
        <x:f>IF(OR(H494="Mastered",J494=""),"",J494+IF(I494&gt;=5,30,IF(I494=4,14,IF(I494=3,7,IF(I494=2,3,1)))))</x:f>
      </x:c>
      <x:c r="L494" s="171" t="str"/>
      <x:c r="M494" s="171" t="str"/>
      <x:c r="N494" s="171" t="str">
        <x:v>Draft — verify in context</x:v>
      </x:c>
      <x:c r="O494" s="167" t="str">
        <x:v>https://www.wgtn.ac.nz/lals/resources/academicwordlist</x:v>
      </x:c>
    </x:row>
    <x:row r="495" ht="26" customHeight="1">
      <x:c r="A495" s="167" t="n">
        <x:v>494</x:v>
      </x:c>
      <x:c r="B495" s="167" t="str">
        <x:v>confined</x:v>
      </x:c>
      <x:c r="C495" s="170" t="str">
        <x:v>обмежений</x:v>
      </x:c>
      <x:c r="D495" s="167" t="n">
        <x:v>9</x:v>
      </x:c>
      <x:c r="E495" s="167" t="str">
        <x:v>No</x:v>
      </x:c>
      <x:c r="F495" s="167" t="str">
        <x:v>Medium</x:v>
      </x:c>
      <x:c r="G495" s="167" t="str">
        <x:v>General</x:v>
      </x:c>
      <x:c r="H495" s="167" t="str">
        <x:v>Not Started</x:v>
      </x:c>
      <x:c r="I495" s="167" t="n">
        <x:v>0</x:v>
      </x:c>
      <x:c r="J495" s="168"/>
      <x:c r="K495" s="168" t="str">
        <x:f>IF(OR(H495="Mastered",J495=""),"",J495+IF(I495&gt;=5,30,IF(I495=4,14,IF(I495=3,7,IF(I495=2,3,1)))))</x:f>
      </x:c>
      <x:c r="L495" s="171" t="str"/>
      <x:c r="M495" s="171" t="str"/>
      <x:c r="N495" s="171" t="str">
        <x:v>Draft — verify in context</x:v>
      </x:c>
      <x:c r="O495" s="167" t="str">
        <x:v>https://www.wgtn.ac.nz/lals/resources/academicwordlist</x:v>
      </x:c>
    </x:row>
    <x:row r="496" ht="26" customHeight="1">
      <x:c r="A496" s="167" t="n">
        <x:v>495</x:v>
      </x:c>
      <x:c r="B496" s="167" t="str">
        <x:v>controversy</x:v>
      </x:c>
      <x:c r="C496" s="170" t="str">
        <x:v>суперечка</x:v>
      </x:c>
      <x:c r="D496" s="167" t="n">
        <x:v>9</x:v>
      </x:c>
      <x:c r="E496" s="167" t="str">
        <x:v>No</x:v>
      </x:c>
      <x:c r="F496" s="167" t="str">
        <x:v>Medium</x:v>
      </x:c>
      <x:c r="G496" s="167" t="str">
        <x:v>General</x:v>
      </x:c>
      <x:c r="H496" s="167" t="str">
        <x:v>Not Started</x:v>
      </x:c>
      <x:c r="I496" s="167" t="n">
        <x:v>0</x:v>
      </x:c>
      <x:c r="J496" s="168"/>
      <x:c r="K496" s="168" t="str">
        <x:f>IF(OR(H496="Mastered",J496=""),"",J496+IF(I496&gt;=5,30,IF(I496=4,14,IF(I496=3,7,IF(I496=2,3,1)))))</x:f>
      </x:c>
      <x:c r="L496" s="171" t="str"/>
      <x:c r="M496" s="171" t="str"/>
      <x:c r="N496" s="171" t="str">
        <x:v>Draft — verify in context</x:v>
      </x:c>
      <x:c r="O496" s="167" t="str">
        <x:v>https://www.wgtn.ac.nz/lals/resources/academicwordlist</x:v>
      </x:c>
    </x:row>
    <x:row r="497" ht="26" customHeight="1">
      <x:c r="A497" s="167" t="n">
        <x:v>496</x:v>
      </x:c>
      <x:c r="B497" s="167" t="str">
        <x:v>conversely</x:v>
      </x:c>
      <x:c r="C497" s="170" t="str">
        <x:v>навпаки</x:v>
      </x:c>
      <x:c r="D497" s="167" t="n">
        <x:v>9</x:v>
      </x:c>
      <x:c r="E497" s="167" t="str">
        <x:v>No</x:v>
      </x:c>
      <x:c r="F497" s="167" t="str">
        <x:v>Medium</x:v>
      </x:c>
      <x:c r="G497" s="167" t="str">
        <x:v>General</x:v>
      </x:c>
      <x:c r="H497" s="167" t="str">
        <x:v>Not Started</x:v>
      </x:c>
      <x:c r="I497" s="167" t="n">
        <x:v>0</x:v>
      </x:c>
      <x:c r="J497" s="168"/>
      <x:c r="K497" s="168" t="str">
        <x:f>IF(OR(H497="Mastered",J497=""),"",J497+IF(I497&gt;=5,30,IF(I497=4,14,IF(I497=3,7,IF(I497=2,3,1)))))</x:f>
      </x:c>
      <x:c r="L497" s="171" t="str"/>
      <x:c r="M497" s="171" t="str"/>
      <x:c r="N497" s="171" t="str">
        <x:v>Draft — verify in context</x:v>
      </x:c>
      <x:c r="O497" s="167" t="str">
        <x:v>https://www.wgtn.ac.nz/lals/resources/academicwordlist</x:v>
      </x:c>
    </x:row>
    <x:row r="498" ht="26" customHeight="1">
      <x:c r="A498" s="167" t="n">
        <x:v>497</x:v>
      </x:c>
      <x:c r="B498" s="167" t="str">
        <x:v>device</x:v>
      </x:c>
      <x:c r="C498" s="170" t="str">
        <x:v>пристрій</x:v>
      </x:c>
      <x:c r="D498" s="167" t="n">
        <x:v>9</x:v>
      </x:c>
      <x:c r="E498" s="167" t="str">
        <x:v>No</x:v>
      </x:c>
      <x:c r="F498" s="167" t="str">
        <x:v>Medium</x:v>
      </x:c>
      <x:c r="G498" s="167" t="str">
        <x:v>General</x:v>
      </x:c>
      <x:c r="H498" s="167" t="str">
        <x:v>Not Started</x:v>
      </x:c>
      <x:c r="I498" s="167" t="n">
        <x:v>0</x:v>
      </x:c>
      <x:c r="J498" s="168"/>
      <x:c r="K498" s="168" t="str">
        <x:f>IF(OR(H498="Mastered",J498=""),"",J498+IF(I498&gt;=5,30,IF(I498=4,14,IF(I498=3,7,IF(I498=2,3,1)))))</x:f>
      </x:c>
      <x:c r="L498" s="171" t="str"/>
      <x:c r="M498" s="171" t="str"/>
      <x:c r="N498" s="171" t="str">
        <x:v>Draft — verify in context</x:v>
      </x:c>
      <x:c r="O498" s="167" t="str">
        <x:v>https://www.wgtn.ac.nz/lals/resources/academicwordlist</x:v>
      </x:c>
    </x:row>
    <x:row r="499" ht="26" customHeight="1">
      <x:c r="A499" s="167" t="n">
        <x:v>498</x:v>
      </x:c>
      <x:c r="B499" s="167" t="str">
        <x:v>devoted</x:v>
      </x:c>
      <x:c r="C499" s="170" t="str">
        <x:v>відданий</x:v>
      </x:c>
      <x:c r="D499" s="167" t="n">
        <x:v>9</x:v>
      </x:c>
      <x:c r="E499" s="167" t="str">
        <x:v>No</x:v>
      </x:c>
      <x:c r="F499" s="167" t="str">
        <x:v>Medium</x:v>
      </x:c>
      <x:c r="G499" s="167" t="str">
        <x:v>General</x:v>
      </x:c>
      <x:c r="H499" s="167" t="str">
        <x:v>Not Started</x:v>
      </x:c>
      <x:c r="I499" s="167" t="n">
        <x:v>0</x:v>
      </x:c>
      <x:c r="J499" s="168"/>
      <x:c r="K499" s="168" t="str">
        <x:f>IF(OR(H499="Mastered",J499=""),"",J499+IF(I499&gt;=5,30,IF(I499=4,14,IF(I499=3,7,IF(I499=2,3,1)))))</x:f>
      </x:c>
      <x:c r="L499" s="171" t="str"/>
      <x:c r="M499" s="171" t="str"/>
      <x:c r="N499" s="171" t="str">
        <x:v>Draft — verify in context</x:v>
      </x:c>
      <x:c r="O499" s="167" t="str">
        <x:v>https://www.wgtn.ac.nz/lals/resources/academicwordlist</x:v>
      </x:c>
    </x:row>
    <x:row r="500" ht="26" customHeight="1">
      <x:c r="A500" s="167" t="n">
        <x:v>499</x:v>
      </x:c>
      <x:c r="B500" s="167" t="str">
        <x:v>diminished</x:v>
      </x:c>
      <x:c r="C500" s="170" t="str">
        <x:v>зменшився</x:v>
      </x:c>
      <x:c r="D500" s="167" t="n">
        <x:v>9</x:v>
      </x:c>
      <x:c r="E500" s="167" t="str">
        <x:v>No</x:v>
      </x:c>
      <x:c r="F500" s="167" t="str">
        <x:v>Medium</x:v>
      </x:c>
      <x:c r="G500" s="167" t="str">
        <x:v>General</x:v>
      </x:c>
      <x:c r="H500" s="167" t="str">
        <x:v>Not Started</x:v>
      </x:c>
      <x:c r="I500" s="167" t="n">
        <x:v>0</x:v>
      </x:c>
      <x:c r="J500" s="168"/>
      <x:c r="K500" s="168" t="str">
        <x:f>IF(OR(H500="Mastered",J500=""),"",J500+IF(I500&gt;=5,30,IF(I500=4,14,IF(I500=3,7,IF(I500=2,3,1)))))</x:f>
      </x:c>
      <x:c r="L500" s="171" t="str"/>
      <x:c r="M500" s="171" t="str"/>
      <x:c r="N500" s="171" t="str">
        <x:v>Draft — verify in context</x:v>
      </x:c>
      <x:c r="O500" s="167" t="str">
        <x:v>https://www.wgtn.ac.nz/lals/resources/academicwordlist</x:v>
      </x:c>
    </x:row>
    <x:row r="501" ht="26" customHeight="1">
      <x:c r="A501" s="167" t="n">
        <x:v>500</x:v>
      </x:c>
      <x:c r="B501" s="167" t="str">
        <x:v>distort</x:v>
      </x:c>
      <x:c r="C501" s="170" t="str">
        <x:v>спотворювати</x:v>
      </x:c>
      <x:c r="D501" s="167" t="n">
        <x:v>9</x:v>
      </x:c>
      <x:c r="E501" s="167" t="str">
        <x:v>Yes</x:v>
      </x:c>
      <x:c r="F501" s="167" t="str">
        <x:v>Medium</x:v>
      </x:c>
      <x:c r="G501" s="167" t="str">
        <x:v>General</x:v>
      </x:c>
      <x:c r="H501" s="167" t="str">
        <x:v>Not Started</x:v>
      </x:c>
      <x:c r="I501" s="167" t="n">
        <x:v>0</x:v>
      </x:c>
      <x:c r="J501" s="168"/>
      <x:c r="K501" s="168" t="str">
        <x:f>IF(OR(H501="Mastered",J501=""),"",J501+IF(I501&gt;=5,30,IF(I501=4,14,IF(I501=3,7,IF(I501=2,3,1)))))</x:f>
      </x:c>
      <x:c r="L501" s="171" t="str"/>
      <x:c r="M501" s="171" t="str"/>
      <x:c r="N501" s="171" t="str">
        <x:v>Draft — verify in context</x:v>
      </x:c>
      <x:c r="O501" s="167" t="str">
        <x:v>https://www.wgtn.ac.nz/lals/resources/academicwordlist</x:v>
      </x:c>
    </x:row>
    <x:row r="502" ht="26" customHeight="1">
      <x:c r="A502" s="167" t="n">
        <x:v>501</x:v>
      </x:c>
      <x:c r="B502" s="167" t="str">
        <x:v>duration</x:v>
      </x:c>
      <x:c r="C502" s="170" t="str">
        <x:v>тривалість</x:v>
      </x:c>
      <x:c r="D502" s="167" t="n">
        <x:v>9</x:v>
      </x:c>
      <x:c r="E502" s="167" t="str">
        <x:v>No</x:v>
      </x:c>
      <x:c r="F502" s="167" t="str">
        <x:v>Medium</x:v>
      </x:c>
      <x:c r="G502" s="167" t="str">
        <x:v>General</x:v>
      </x:c>
      <x:c r="H502" s="167" t="str">
        <x:v>Not Started</x:v>
      </x:c>
      <x:c r="I502" s="167" t="n">
        <x:v>0</x:v>
      </x:c>
      <x:c r="J502" s="168"/>
      <x:c r="K502" s="168" t="str">
        <x:f>IF(OR(H502="Mastered",J502=""),"",J502+IF(I502&gt;=5,30,IF(I502=4,14,IF(I502=3,7,IF(I502=2,3,1)))))</x:f>
      </x:c>
      <x:c r="L502" s="171" t="str"/>
      <x:c r="M502" s="171" t="str"/>
      <x:c r="N502" s="171" t="str">
        <x:v>Draft — verify in context</x:v>
      </x:c>
      <x:c r="O502" s="167" t="str">
        <x:v>https://www.wgtn.ac.nz/lals/resources/academicwordlist</x:v>
      </x:c>
    </x:row>
    <x:row r="503" ht="26" customHeight="1">
      <x:c r="A503" s="167" t="n">
        <x:v>502</x:v>
      </x:c>
      <x:c r="B503" s="167" t="str">
        <x:v>erosion</x:v>
      </x:c>
      <x:c r="C503" s="170" t="str">
        <x:v>ерозія</x:v>
      </x:c>
      <x:c r="D503" s="167" t="n">
        <x:v>9</x:v>
      </x:c>
      <x:c r="E503" s="167" t="str">
        <x:v>No</x:v>
      </x:c>
      <x:c r="F503" s="167" t="str">
        <x:v>Medium</x:v>
      </x:c>
      <x:c r="G503" s="167" t="str">
        <x:v>General</x:v>
      </x:c>
      <x:c r="H503" s="167" t="str">
        <x:v>Not Started</x:v>
      </x:c>
      <x:c r="I503" s="167" t="n">
        <x:v>0</x:v>
      </x:c>
      <x:c r="J503" s="168"/>
      <x:c r="K503" s="168" t="str">
        <x:f>IF(OR(H503="Mastered",J503=""),"",J503+IF(I503&gt;=5,30,IF(I503=4,14,IF(I503=3,7,IF(I503=2,3,1)))))</x:f>
      </x:c>
      <x:c r="L503" s="171" t="str"/>
      <x:c r="M503" s="171" t="str"/>
      <x:c r="N503" s="171" t="str">
        <x:v>Draft — verify in context</x:v>
      </x:c>
      <x:c r="O503" s="167" t="str">
        <x:v>https://www.wgtn.ac.nz/lals/resources/academicwordlist</x:v>
      </x:c>
    </x:row>
    <x:row r="504" ht="26" customHeight="1">
      <x:c r="A504" s="167" t="n">
        <x:v>503</x:v>
      </x:c>
      <x:c r="B504" s="167" t="str">
        <x:v>ethical</x:v>
      </x:c>
      <x:c r="C504" s="170" t="str">
        <x:v>етичний</x:v>
      </x:c>
      <x:c r="D504" s="167" t="n">
        <x:v>9</x:v>
      </x:c>
      <x:c r="E504" s="167" t="str">
        <x:v>No</x:v>
      </x:c>
      <x:c r="F504" s="167" t="str">
        <x:v>Medium</x:v>
      </x:c>
      <x:c r="G504" s="167" t="str">
        <x:v>General</x:v>
      </x:c>
      <x:c r="H504" s="167" t="str">
        <x:v>Not Started</x:v>
      </x:c>
      <x:c r="I504" s="167" t="n">
        <x:v>0</x:v>
      </x:c>
      <x:c r="J504" s="168"/>
      <x:c r="K504" s="168" t="str">
        <x:f>IF(OR(H504="Mastered",J504=""),"",J504+IF(I504&gt;=5,30,IF(I504=4,14,IF(I504=3,7,IF(I504=2,3,1)))))</x:f>
      </x:c>
      <x:c r="L504" s="171" t="str"/>
      <x:c r="M504" s="171" t="str"/>
      <x:c r="N504" s="171" t="str">
        <x:v>Draft — verify in context</x:v>
      </x:c>
      <x:c r="O504" s="167" t="str">
        <x:v>https://www.wgtn.ac.nz/lals/resources/academicwordlist</x:v>
      </x:c>
    </x:row>
    <x:row r="505" ht="26" customHeight="1">
      <x:c r="A505" s="167" t="n">
        <x:v>504</x:v>
      </x:c>
      <x:c r="B505" s="167" t="str">
        <x:v>format</x:v>
      </x:c>
      <x:c r="C505" s="170" t="str">
        <x:v>формат</x:v>
      </x:c>
      <x:c r="D505" s="167" t="n">
        <x:v>9</x:v>
      </x:c>
      <x:c r="E505" s="167" t="str">
        <x:v>No</x:v>
      </x:c>
      <x:c r="F505" s="167" t="str">
        <x:v>Medium</x:v>
      </x:c>
      <x:c r="G505" s="167" t="str">
        <x:v>General</x:v>
      </x:c>
      <x:c r="H505" s="167" t="str">
        <x:v>Not Started</x:v>
      </x:c>
      <x:c r="I505" s="167" t="n">
        <x:v>0</x:v>
      </x:c>
      <x:c r="J505" s="168"/>
      <x:c r="K505" s="168" t="str">
        <x:f>IF(OR(H505="Mastered",J505=""),"",J505+IF(I505&gt;=5,30,IF(I505=4,14,IF(I505=3,7,IF(I505=2,3,1)))))</x:f>
      </x:c>
      <x:c r="L505" s="171" t="str"/>
      <x:c r="M505" s="171" t="str"/>
      <x:c r="N505" s="171" t="str">
        <x:v>Draft — verify in context</x:v>
      </x:c>
      <x:c r="O505" s="167" t="str">
        <x:v>https://www.wgtn.ac.nz/lals/resources/academicwordlist</x:v>
      </x:c>
    </x:row>
    <x:row r="506" ht="26" customHeight="1">
      <x:c r="A506" s="167" t="n">
        <x:v>505</x:v>
      </x:c>
      <x:c r="B506" s="167" t="str">
        <x:v>founded</x:v>
      </x:c>
      <x:c r="C506" s="170" t="str">
        <x:v>заснована</x:v>
      </x:c>
      <x:c r="D506" s="167" t="n">
        <x:v>9</x:v>
      </x:c>
      <x:c r="E506" s="167" t="str">
        <x:v>No</x:v>
      </x:c>
      <x:c r="F506" s="167" t="str">
        <x:v>Medium</x:v>
      </x:c>
      <x:c r="G506" s="167" t="str">
        <x:v>General</x:v>
      </x:c>
      <x:c r="H506" s="167" t="str">
        <x:v>Not Started</x:v>
      </x:c>
      <x:c r="I506" s="167" t="n">
        <x:v>0</x:v>
      </x:c>
      <x:c r="J506" s="168"/>
      <x:c r="K506" s="168" t="str">
        <x:f>IF(OR(H506="Mastered",J506=""),"",J506+IF(I506&gt;=5,30,IF(I506=4,14,IF(I506=3,7,IF(I506=2,3,1)))))</x:f>
      </x:c>
      <x:c r="L506" s="171" t="str"/>
      <x:c r="M506" s="171" t="str"/>
      <x:c r="N506" s="171" t="str">
        <x:v>Draft — verify in context</x:v>
      </x:c>
      <x:c r="O506" s="167" t="str">
        <x:v>https://www.wgtn.ac.nz/lals/resources/academicwordlist</x:v>
      </x:c>
    </x:row>
    <x:row r="507" ht="26" customHeight="1">
      <x:c r="A507" s="167" t="n">
        <x:v>506</x:v>
      </x:c>
      <x:c r="B507" s="167" t="str">
        <x:v>inherent</x:v>
      </x:c>
      <x:c r="C507" s="170" t="str">
        <x:v>притаманний</x:v>
      </x:c>
      <x:c r="D507" s="167" t="n">
        <x:v>9</x:v>
      </x:c>
      <x:c r="E507" s="167" t="str">
        <x:v>Yes</x:v>
      </x:c>
      <x:c r="F507" s="167" t="str">
        <x:v>Medium</x:v>
      </x:c>
      <x:c r="G507" s="167" t="str">
        <x:v>General</x:v>
      </x:c>
      <x:c r="H507" s="167" t="str">
        <x:v>Not Started</x:v>
      </x:c>
      <x:c r="I507" s="167" t="n">
        <x:v>0</x:v>
      </x:c>
      <x:c r="J507" s="168"/>
      <x:c r="K507" s="168" t="str">
        <x:f>IF(OR(H507="Mastered",J507=""),"",J507+IF(I507&gt;=5,30,IF(I507=4,14,IF(I507=3,7,IF(I507=2,3,1)))))</x:f>
      </x:c>
      <x:c r="L507" s="171" t="str"/>
      <x:c r="M507" s="171" t="str"/>
      <x:c r="N507" s="171" t="str">
        <x:v>Draft — verify in context</x:v>
      </x:c>
      <x:c r="O507" s="167" t="str">
        <x:v>https://www.wgtn.ac.nz/lals/resources/academicwordlist</x:v>
      </x:c>
    </x:row>
    <x:row r="508" ht="26" customHeight="1">
      <x:c r="A508" s="167" t="n">
        <x:v>507</x:v>
      </x:c>
      <x:c r="B508" s="167" t="str">
        <x:v>insights</x:v>
      </x:c>
      <x:c r="C508" s="170" t="str">
        <x:v>уявлення</x:v>
      </x:c>
      <x:c r="D508" s="167" t="n">
        <x:v>9</x:v>
      </x:c>
      <x:c r="E508" s="167" t="str">
        <x:v>No</x:v>
      </x:c>
      <x:c r="F508" s="167" t="str">
        <x:v>Medium</x:v>
      </x:c>
      <x:c r="G508" s="167" t="str">
        <x:v>General</x:v>
      </x:c>
      <x:c r="H508" s="167" t="str">
        <x:v>Not Started</x:v>
      </x:c>
      <x:c r="I508" s="167" t="n">
        <x:v>0</x:v>
      </x:c>
      <x:c r="J508" s="168"/>
      <x:c r="K508" s="168" t="str">
        <x:f>IF(OR(H508="Mastered",J508=""),"",J508+IF(I508&gt;=5,30,IF(I508=4,14,IF(I508=3,7,IF(I508=2,3,1)))))</x:f>
      </x:c>
      <x:c r="L508" s="171" t="str"/>
      <x:c r="M508" s="171" t="str"/>
      <x:c r="N508" s="171" t="str">
        <x:v>Draft — verify in context</x:v>
      </x:c>
      <x:c r="O508" s="167" t="str">
        <x:v>https://www.wgtn.ac.nz/lals/resources/academicwordlist</x:v>
      </x:c>
    </x:row>
    <x:row r="509" ht="26" customHeight="1">
      <x:c r="A509" s="167" t="n">
        <x:v>508</x:v>
      </x:c>
      <x:c r="B509" s="167" t="str">
        <x:v>integral</x:v>
      </x:c>
      <x:c r="C509" s="170" t="str">
        <x:v>інтегральний</x:v>
      </x:c>
      <x:c r="D509" s="167" t="n">
        <x:v>9</x:v>
      </x:c>
      <x:c r="E509" s="167" t="str">
        <x:v>Yes</x:v>
      </x:c>
      <x:c r="F509" s="167" t="str">
        <x:v>Medium</x:v>
      </x:c>
      <x:c r="G509" s="167" t="str">
        <x:v>General</x:v>
      </x:c>
      <x:c r="H509" s="167" t="str">
        <x:v>Not Started</x:v>
      </x:c>
      <x:c r="I509" s="167" t="n">
        <x:v>0</x:v>
      </x:c>
      <x:c r="J509" s="168"/>
      <x:c r="K509" s="168" t="str">
        <x:f>IF(OR(H509="Mastered",J509=""),"",J509+IF(I509&gt;=5,30,IF(I509=4,14,IF(I509=3,7,IF(I509=2,3,1)))))</x:f>
      </x:c>
      <x:c r="L509" s="171" t="str"/>
      <x:c r="M509" s="171" t="str"/>
      <x:c r="N509" s="171" t="str">
        <x:v>Draft — verify in context</x:v>
      </x:c>
      <x:c r="O509" s="167" t="str">
        <x:v>https://www.wgtn.ac.nz/lals/resources/academicwordlist</x:v>
      </x:c>
    </x:row>
    <x:row r="510" ht="26" customHeight="1">
      <x:c r="A510" s="167" t="n">
        <x:v>509</x:v>
      </x:c>
      <x:c r="B510" s="167" t="str">
        <x:v>intermediate</x:v>
      </x:c>
      <x:c r="C510" s="170" t="str">
        <x:v>проміжний</x:v>
      </x:c>
      <x:c r="D510" s="167" t="n">
        <x:v>9</x:v>
      </x:c>
      <x:c r="E510" s="167" t="str">
        <x:v>Yes</x:v>
      </x:c>
      <x:c r="F510" s="167" t="str">
        <x:v>Medium</x:v>
      </x:c>
      <x:c r="G510" s="167" t="str">
        <x:v>General</x:v>
      </x:c>
      <x:c r="H510" s="167" t="str">
        <x:v>Not Started</x:v>
      </x:c>
      <x:c r="I510" s="167" t="n">
        <x:v>0</x:v>
      </x:c>
      <x:c r="J510" s="168"/>
      <x:c r="K510" s="168" t="str">
        <x:f>IF(OR(H510="Mastered",J510=""),"",J510+IF(I510&gt;=5,30,IF(I510=4,14,IF(I510=3,7,IF(I510=2,3,1)))))</x:f>
      </x:c>
      <x:c r="L510" s="171" t="str"/>
      <x:c r="M510" s="171" t="str"/>
      <x:c r="N510" s="171" t="str">
        <x:v>Draft — verify in context</x:v>
      </x:c>
      <x:c r="O510" s="167" t="str">
        <x:v>https://www.wgtn.ac.nz/lals/resources/academicwordlist</x:v>
      </x:c>
    </x:row>
    <x:row r="511" ht="26" customHeight="1">
      <x:c r="A511" s="167" t="n">
        <x:v>510</x:v>
      </x:c>
      <x:c r="B511" s="167" t="str">
        <x:v>manual</x:v>
      </x:c>
      <x:c r="C511" s="170" t="str">
        <x:v>посібник</x:v>
      </x:c>
      <x:c r="D511" s="167" t="n">
        <x:v>9</x:v>
      </x:c>
      <x:c r="E511" s="167" t="str">
        <x:v>No</x:v>
      </x:c>
      <x:c r="F511" s="167" t="str">
        <x:v>Medium</x:v>
      </x:c>
      <x:c r="G511" s="167" t="str">
        <x:v>General</x:v>
      </x:c>
      <x:c r="H511" s="167" t="str">
        <x:v>Not Started</x:v>
      </x:c>
      <x:c r="I511" s="167" t="n">
        <x:v>0</x:v>
      </x:c>
      <x:c r="J511" s="168"/>
      <x:c r="K511" s="168" t="str">
        <x:f>IF(OR(H511="Mastered",J511=""),"",J511+IF(I511&gt;=5,30,IF(I511=4,14,IF(I511=3,7,IF(I511=2,3,1)))))</x:f>
      </x:c>
      <x:c r="L511" s="171" t="str"/>
      <x:c r="M511" s="171" t="str"/>
      <x:c r="N511" s="171" t="str">
        <x:v>Draft — verify in context</x:v>
      </x:c>
      <x:c r="O511" s="167" t="str">
        <x:v>https://www.wgtn.ac.nz/lals/resources/academicwordlist</x:v>
      </x:c>
    </x:row>
    <x:row r="512" ht="26" customHeight="1">
      <x:c r="A512" s="167" t="n">
        <x:v>511</x:v>
      </x:c>
      <x:c r="B512" s="167" t="str">
        <x:v>mature</x:v>
      </x:c>
      <x:c r="C512" s="170" t="str">
        <x:v>зрілий</x:v>
      </x:c>
      <x:c r="D512" s="167" t="n">
        <x:v>9</x:v>
      </x:c>
      <x:c r="E512" s="167" t="str">
        <x:v>Yes</x:v>
      </x:c>
      <x:c r="F512" s="167" t="str">
        <x:v>Medium</x:v>
      </x:c>
      <x:c r="G512" s="167" t="str">
        <x:v>General</x:v>
      </x:c>
      <x:c r="H512" s="167" t="str">
        <x:v>Not Started</x:v>
      </x:c>
      <x:c r="I512" s="167" t="n">
        <x:v>0</x:v>
      </x:c>
      <x:c r="J512" s="168"/>
      <x:c r="K512" s="168" t="str">
        <x:f>IF(OR(H512="Mastered",J512=""),"",J512+IF(I512&gt;=5,30,IF(I512=4,14,IF(I512=3,7,IF(I512=2,3,1)))))</x:f>
      </x:c>
      <x:c r="L512" s="171" t="str"/>
      <x:c r="M512" s="171" t="str"/>
      <x:c r="N512" s="171" t="str">
        <x:v>Draft — verify in context</x:v>
      </x:c>
      <x:c r="O512" s="167" t="str">
        <x:v>https://www.wgtn.ac.nz/lals/resources/academicwordlist</x:v>
      </x:c>
    </x:row>
    <x:row r="513" ht="26" customHeight="1">
      <x:c r="A513" s="167" t="n">
        <x:v>512</x:v>
      </x:c>
      <x:c r="B513" s="167" t="str">
        <x:v>mediation</x:v>
      </x:c>
      <x:c r="C513" s="170" t="str">
        <x:v>посередництво</x:v>
      </x:c>
      <x:c r="D513" s="167" t="n">
        <x:v>9</x:v>
      </x:c>
      <x:c r="E513" s="167" t="str">
        <x:v>No</x:v>
      </x:c>
      <x:c r="F513" s="167" t="str">
        <x:v>Medium</x:v>
      </x:c>
      <x:c r="G513" s="167" t="str">
        <x:v>General</x:v>
      </x:c>
      <x:c r="H513" s="167" t="str">
        <x:v>Not Started</x:v>
      </x:c>
      <x:c r="I513" s="167" t="n">
        <x:v>0</x:v>
      </x:c>
      <x:c r="J513" s="168"/>
      <x:c r="K513" s="168" t="str">
        <x:f>IF(OR(H513="Mastered",J513=""),"",J513+IF(I513&gt;=5,30,IF(I513=4,14,IF(I513=3,7,IF(I513=2,3,1)))))</x:f>
      </x:c>
      <x:c r="L513" s="171" t="str"/>
      <x:c r="M513" s="171" t="str"/>
      <x:c r="N513" s="171" t="str">
        <x:v>Draft — verify in context</x:v>
      </x:c>
      <x:c r="O513" s="167" t="str">
        <x:v>https://www.wgtn.ac.nz/lals/resources/academicwordlist</x:v>
      </x:c>
    </x:row>
    <x:row r="514" ht="26" customHeight="1">
      <x:c r="A514" s="167" t="n">
        <x:v>513</x:v>
      </x:c>
      <x:c r="B514" s="167" t="str">
        <x:v>medium</x:v>
      </x:c>
      <x:c r="C514" s="170" t="str">
        <x:v>середній</x:v>
      </x:c>
      <x:c r="D514" s="167" t="n">
        <x:v>9</x:v>
      </x:c>
      <x:c r="E514" s="167" t="str">
        <x:v>No</x:v>
      </x:c>
      <x:c r="F514" s="167" t="str">
        <x:v>Medium</x:v>
      </x:c>
      <x:c r="G514" s="167" t="str">
        <x:v>General</x:v>
      </x:c>
      <x:c r="H514" s="167" t="str">
        <x:v>Not Started</x:v>
      </x:c>
      <x:c r="I514" s="167" t="n">
        <x:v>0</x:v>
      </x:c>
      <x:c r="J514" s="168"/>
      <x:c r="K514" s="168" t="str">
        <x:f>IF(OR(H514="Mastered",J514=""),"",J514+IF(I514&gt;=5,30,IF(I514=4,14,IF(I514=3,7,IF(I514=2,3,1)))))</x:f>
      </x:c>
      <x:c r="L514" s="171" t="str"/>
      <x:c r="M514" s="171" t="str"/>
      <x:c r="N514" s="171" t="str">
        <x:v>Draft — verify in context</x:v>
      </x:c>
      <x:c r="O514" s="167" t="str">
        <x:v>https://www.wgtn.ac.nz/lals/resources/academicwordlist</x:v>
      </x:c>
    </x:row>
    <x:row r="515" ht="26" customHeight="1">
      <x:c r="A515" s="167" t="n">
        <x:v>514</x:v>
      </x:c>
      <x:c r="B515" s="167" t="str">
        <x:v>military</x:v>
      </x:c>
      <x:c r="C515" s="170" t="str">
        <x:v>військовий</x:v>
      </x:c>
      <x:c r="D515" s="167" t="n">
        <x:v>9</x:v>
      </x:c>
      <x:c r="E515" s="167" t="str">
        <x:v>No</x:v>
      </x:c>
      <x:c r="F515" s="167" t="str">
        <x:v>Medium</x:v>
      </x:c>
      <x:c r="G515" s="167" t="str">
        <x:v>General</x:v>
      </x:c>
      <x:c r="H515" s="167" t="str">
        <x:v>Not Started</x:v>
      </x:c>
      <x:c r="I515" s="167" t="n">
        <x:v>0</x:v>
      </x:c>
      <x:c r="J515" s="168"/>
      <x:c r="K515" s="168" t="str">
        <x:f>IF(OR(H515="Mastered",J515=""),"",J515+IF(I515&gt;=5,30,IF(I515=4,14,IF(I515=3,7,IF(I515=2,3,1)))))</x:f>
      </x:c>
      <x:c r="L515" s="171" t="str"/>
      <x:c r="M515" s="171" t="str"/>
      <x:c r="N515" s="171" t="str">
        <x:v>Draft — verify in context</x:v>
      </x:c>
      <x:c r="O515" s="167" t="str">
        <x:v>https://www.wgtn.ac.nz/lals/resources/academicwordlist</x:v>
      </x:c>
    </x:row>
    <x:row r="516" ht="26" customHeight="1">
      <x:c r="A516" s="167" t="n">
        <x:v>515</x:v>
      </x:c>
      <x:c r="B516" s="167" t="str">
        <x:v>minimal</x:v>
      </x:c>
      <x:c r="C516" s="170" t="str">
        <x:v>мінімальний</x:v>
      </x:c>
      <x:c r="D516" s="167" t="n">
        <x:v>9</x:v>
      </x:c>
      <x:c r="E516" s="167" t="str">
        <x:v>Yes</x:v>
      </x:c>
      <x:c r="F516" s="167" t="str">
        <x:v>Medium</x:v>
      </x:c>
      <x:c r="G516" s="167" t="str">
        <x:v>General</x:v>
      </x:c>
      <x:c r="H516" s="167" t="str">
        <x:v>Not Started</x:v>
      </x:c>
      <x:c r="I516" s="167" t="n">
        <x:v>0</x:v>
      </x:c>
      <x:c r="J516" s="168"/>
      <x:c r="K516" s="168" t="str">
        <x:f>IF(OR(H516="Mastered",J516=""),"",J516+IF(I516&gt;=5,30,IF(I516=4,14,IF(I516=3,7,IF(I516=2,3,1)))))</x:f>
      </x:c>
      <x:c r="L516" s="171" t="str"/>
      <x:c r="M516" s="171" t="str"/>
      <x:c r="N516" s="171" t="str">
        <x:v>Draft — verify in context</x:v>
      </x:c>
      <x:c r="O516" s="167" t="str">
        <x:v>https://www.wgtn.ac.nz/lals/resources/academicwordlist</x:v>
      </x:c>
    </x:row>
    <x:row r="517" ht="26" customHeight="1">
      <x:c r="A517" s="167" t="n">
        <x:v>516</x:v>
      </x:c>
      <x:c r="B517" s="167" t="str">
        <x:v>mutual</x:v>
      </x:c>
      <x:c r="C517" s="170" t="str">
        <x:v>взаємний</x:v>
      </x:c>
      <x:c r="D517" s="167" t="n">
        <x:v>9</x:v>
      </x:c>
      <x:c r="E517" s="167" t="str">
        <x:v>Yes</x:v>
      </x:c>
      <x:c r="F517" s="167" t="str">
        <x:v>Medium</x:v>
      </x:c>
      <x:c r="G517" s="167" t="str">
        <x:v>General</x:v>
      </x:c>
      <x:c r="H517" s="167" t="str">
        <x:v>Not Started</x:v>
      </x:c>
      <x:c r="I517" s="167" t="n">
        <x:v>0</x:v>
      </x:c>
      <x:c r="J517" s="168"/>
      <x:c r="K517" s="168" t="str">
        <x:f>IF(OR(H517="Mastered",J517=""),"",J517+IF(I517&gt;=5,30,IF(I517=4,14,IF(I517=3,7,IF(I517=2,3,1)))))</x:f>
      </x:c>
      <x:c r="L517" s="171" t="str"/>
      <x:c r="M517" s="171" t="str"/>
      <x:c r="N517" s="171" t="str">
        <x:v>Draft — verify in context</x:v>
      </x:c>
      <x:c r="O517" s="167" t="str">
        <x:v>https://www.wgtn.ac.nz/lals/resources/academicwordlist</x:v>
      </x:c>
    </x:row>
    <x:row r="518" ht="26" customHeight="1">
      <x:c r="A518" s="167" t="n">
        <x:v>517</x:v>
      </x:c>
      <x:c r="B518" s="167" t="str">
        <x:v>norms</x:v>
      </x:c>
      <x:c r="C518" s="170" t="str">
        <x:v>норми</x:v>
      </x:c>
      <x:c r="D518" s="167" t="n">
        <x:v>9</x:v>
      </x:c>
      <x:c r="E518" s="167" t="str">
        <x:v>No</x:v>
      </x:c>
      <x:c r="F518" s="167" t="str">
        <x:v>Medium</x:v>
      </x:c>
      <x:c r="G518" s="167" t="str">
        <x:v>General</x:v>
      </x:c>
      <x:c r="H518" s="167" t="str">
        <x:v>Not Started</x:v>
      </x:c>
      <x:c r="I518" s="167" t="n">
        <x:v>0</x:v>
      </x:c>
      <x:c r="J518" s="168"/>
      <x:c r="K518" s="168" t="str">
        <x:f>IF(OR(H518="Mastered",J518=""),"",J518+IF(I518&gt;=5,30,IF(I518=4,14,IF(I518=3,7,IF(I518=2,3,1)))))</x:f>
      </x:c>
      <x:c r="L518" s="171" t="str"/>
      <x:c r="M518" s="171" t="str"/>
      <x:c r="N518" s="171" t="str">
        <x:v>Draft — verify in context</x:v>
      </x:c>
      <x:c r="O518" s="167" t="str">
        <x:v>https://www.wgtn.ac.nz/lals/resources/academicwordlist</x:v>
      </x:c>
    </x:row>
    <x:row r="519" ht="26" customHeight="1">
      <x:c r="A519" s="167" t="n">
        <x:v>518</x:v>
      </x:c>
      <x:c r="B519" s="167" t="str">
        <x:v>overlap</x:v>
      </x:c>
      <x:c r="C519" s="170" t="str">
        <x:v>перекриття</x:v>
      </x:c>
      <x:c r="D519" s="167" t="n">
        <x:v>9</x:v>
      </x:c>
      <x:c r="E519" s="167" t="str">
        <x:v>No</x:v>
      </x:c>
      <x:c r="F519" s="167" t="str">
        <x:v>Medium</x:v>
      </x:c>
      <x:c r="G519" s="167" t="str">
        <x:v>General</x:v>
      </x:c>
      <x:c r="H519" s="167" t="str">
        <x:v>Not Started</x:v>
      </x:c>
      <x:c r="I519" s="167" t="n">
        <x:v>0</x:v>
      </x:c>
      <x:c r="J519" s="168"/>
      <x:c r="K519" s="168" t="str">
        <x:f>IF(OR(H519="Mastered",J519=""),"",J519+IF(I519&gt;=5,30,IF(I519=4,14,IF(I519=3,7,IF(I519=2,3,1)))))</x:f>
      </x:c>
      <x:c r="L519" s="171" t="str"/>
      <x:c r="M519" s="171" t="str"/>
      <x:c r="N519" s="171" t="str">
        <x:v>Draft — verify in context</x:v>
      </x:c>
      <x:c r="O519" s="167" t="str">
        <x:v>https://www.wgtn.ac.nz/lals/resources/academicwordlist</x:v>
      </x:c>
    </x:row>
    <x:row r="520" ht="26" customHeight="1">
      <x:c r="A520" s="167" t="n">
        <x:v>519</x:v>
      </x:c>
      <x:c r="B520" s="167" t="str">
        <x:v>passive</x:v>
      </x:c>
      <x:c r="C520" s="170" t="str">
        <x:v>пасивний</x:v>
      </x:c>
      <x:c r="D520" s="167" t="n">
        <x:v>9</x:v>
      </x:c>
      <x:c r="E520" s="167" t="str">
        <x:v>Yes</x:v>
      </x:c>
      <x:c r="F520" s="167" t="str">
        <x:v>Medium</x:v>
      </x:c>
      <x:c r="G520" s="167" t="str">
        <x:v>General</x:v>
      </x:c>
      <x:c r="H520" s="167" t="str">
        <x:v>Not Started</x:v>
      </x:c>
      <x:c r="I520" s="167" t="n">
        <x:v>0</x:v>
      </x:c>
      <x:c r="J520" s="168"/>
      <x:c r="K520" s="168" t="str">
        <x:f>IF(OR(H520="Mastered",J520=""),"",J520+IF(I520&gt;=5,30,IF(I520=4,14,IF(I520=3,7,IF(I520=2,3,1)))))</x:f>
      </x:c>
      <x:c r="L520" s="171" t="str"/>
      <x:c r="M520" s="171" t="str"/>
      <x:c r="N520" s="171" t="str">
        <x:v>Draft — verify in context</x:v>
      </x:c>
      <x:c r="O520" s="167" t="str">
        <x:v>https://www.wgtn.ac.nz/lals/resources/academicwordlist</x:v>
      </x:c>
    </x:row>
    <x:row r="521" ht="26" customHeight="1">
      <x:c r="A521" s="167" t="n">
        <x:v>520</x:v>
      </x:c>
      <x:c r="B521" s="167" t="str">
        <x:v>portion</x:v>
      </x:c>
      <x:c r="C521" s="170" t="str">
        <x:v>частина</x:v>
      </x:c>
      <x:c r="D521" s="167" t="n">
        <x:v>9</x:v>
      </x:c>
      <x:c r="E521" s="167" t="str">
        <x:v>No</x:v>
      </x:c>
      <x:c r="F521" s="167" t="str">
        <x:v>Medium</x:v>
      </x:c>
      <x:c r="G521" s="167" t="str">
        <x:v>General</x:v>
      </x:c>
      <x:c r="H521" s="167" t="str">
        <x:v>Not Started</x:v>
      </x:c>
      <x:c r="I521" s="167" t="n">
        <x:v>0</x:v>
      </x:c>
      <x:c r="J521" s="168"/>
      <x:c r="K521" s="168" t="str">
        <x:f>IF(OR(H521="Mastered",J521=""),"",J521+IF(I521&gt;=5,30,IF(I521=4,14,IF(I521=3,7,IF(I521=2,3,1)))))</x:f>
      </x:c>
      <x:c r="L521" s="171" t="str"/>
      <x:c r="M521" s="171" t="str"/>
      <x:c r="N521" s="171" t="str">
        <x:v>Draft — verify in context</x:v>
      </x:c>
      <x:c r="O521" s="167" t="str">
        <x:v>https://www.wgtn.ac.nz/lals/resources/academicwordlist</x:v>
      </x:c>
    </x:row>
    <x:row r="522" ht="26" customHeight="1">
      <x:c r="A522" s="167" t="n">
        <x:v>521</x:v>
      </x:c>
      <x:c r="B522" s="167" t="str">
        <x:v>preliminary</x:v>
      </x:c>
      <x:c r="C522" s="170" t="str">
        <x:v>попередній</x:v>
      </x:c>
      <x:c r="D522" s="167" t="n">
        <x:v>9</x:v>
      </x:c>
      <x:c r="E522" s="167" t="str">
        <x:v>Yes</x:v>
      </x:c>
      <x:c r="F522" s="167" t="str">
        <x:v>Medium</x:v>
      </x:c>
      <x:c r="G522" s="167" t="str">
        <x:v>General</x:v>
      </x:c>
      <x:c r="H522" s="167" t="str">
        <x:v>Not Started</x:v>
      </x:c>
      <x:c r="I522" s="167" t="n">
        <x:v>0</x:v>
      </x:c>
      <x:c r="J522" s="168"/>
      <x:c r="K522" s="168" t="str">
        <x:f>IF(OR(H522="Mastered",J522=""),"",J522+IF(I522&gt;=5,30,IF(I522=4,14,IF(I522=3,7,IF(I522=2,3,1)))))</x:f>
      </x:c>
      <x:c r="L522" s="171" t="str"/>
      <x:c r="M522" s="171" t="str"/>
      <x:c r="N522" s="171" t="str">
        <x:v>Draft — verify in context</x:v>
      </x:c>
      <x:c r="O522" s="167" t="str">
        <x:v>https://www.wgtn.ac.nz/lals/resources/academicwordlist</x:v>
      </x:c>
    </x:row>
    <x:row r="523" ht="26" customHeight="1">
      <x:c r="A523" s="167" t="n">
        <x:v>522</x:v>
      </x:c>
      <x:c r="B523" s="167" t="str">
        <x:v>protocol</x:v>
      </x:c>
      <x:c r="C523" s="170" t="str">
        <x:v>протокол</x:v>
      </x:c>
      <x:c r="D523" s="167" t="n">
        <x:v>9</x:v>
      </x:c>
      <x:c r="E523" s="167" t="str">
        <x:v>Yes</x:v>
      </x:c>
      <x:c r="F523" s="167" t="str">
        <x:v>Medium</x:v>
      </x:c>
      <x:c r="G523" s="167" t="str">
        <x:v>Technology</x:v>
      </x:c>
      <x:c r="H523" s="167" t="str">
        <x:v>Not Started</x:v>
      </x:c>
      <x:c r="I523" s="167" t="n">
        <x:v>0</x:v>
      </x:c>
      <x:c r="J523" s="168"/>
      <x:c r="K523" s="168" t="str">
        <x:f>IF(OR(H523="Mastered",J523=""),"",J523+IF(I523&gt;=5,30,IF(I523=4,14,IF(I523=3,7,IF(I523=2,3,1)))))</x:f>
      </x:c>
      <x:c r="L523" s="171" t="str"/>
      <x:c r="M523" s="171" t="str"/>
      <x:c r="N523" s="171" t="str">
        <x:v>Draft — verify in context</x:v>
      </x:c>
      <x:c r="O523" s="167" t="str">
        <x:v>https://www.wgtn.ac.nz/lals/resources/academicwordlist</x:v>
      </x:c>
    </x:row>
    <x:row r="524" ht="26" customHeight="1">
      <x:c r="A524" s="167" t="n">
        <x:v>523</x:v>
      </x:c>
      <x:c r="B524" s="167" t="str">
        <x:v>qualitative</x:v>
      </x:c>
      <x:c r="C524" s="170" t="str">
        <x:v>якісний</x:v>
      </x:c>
      <x:c r="D524" s="167" t="n">
        <x:v>9</x:v>
      </x:c>
      <x:c r="E524" s="167" t="str">
        <x:v>No</x:v>
      </x:c>
      <x:c r="F524" s="167" t="str">
        <x:v>Medium</x:v>
      </x:c>
      <x:c r="G524" s="167" t="str">
        <x:v>Research &amp; data</x:v>
      </x:c>
      <x:c r="H524" s="167" t="str">
        <x:v>Not Started</x:v>
      </x:c>
      <x:c r="I524" s="167" t="n">
        <x:v>0</x:v>
      </x:c>
      <x:c r="J524" s="168"/>
      <x:c r="K524" s="168" t="str">
        <x:f>IF(OR(H524="Mastered",J524=""),"",J524+IF(I524&gt;=5,30,IF(I524=4,14,IF(I524=3,7,IF(I524=2,3,1)))))</x:f>
      </x:c>
      <x:c r="L524" s="171" t="str"/>
      <x:c r="M524" s="171" t="str"/>
      <x:c r="N524" s="171" t="str">
        <x:v>Draft — verify in context</x:v>
      </x:c>
      <x:c r="O524" s="167" t="str">
        <x:v>https://www.wgtn.ac.nz/lals/resources/academicwordlist</x:v>
      </x:c>
    </x:row>
    <x:row r="525" ht="26" customHeight="1">
      <x:c r="A525" s="167" t="n">
        <x:v>524</x:v>
      </x:c>
      <x:c r="B525" s="167" t="str">
        <x:v>refine</x:v>
      </x:c>
      <x:c r="C525" s="170" t="str">
        <x:v>доопрацювати</x:v>
      </x:c>
      <x:c r="D525" s="167" t="n">
        <x:v>9</x:v>
      </x:c>
      <x:c r="E525" s="167" t="str">
        <x:v>No</x:v>
      </x:c>
      <x:c r="F525" s="167" t="str">
        <x:v>Medium</x:v>
      </x:c>
      <x:c r="G525" s="167" t="str">
        <x:v>General</x:v>
      </x:c>
      <x:c r="H525" s="167" t="str">
        <x:v>Not Started</x:v>
      </x:c>
      <x:c r="I525" s="167" t="n">
        <x:v>0</x:v>
      </x:c>
      <x:c r="J525" s="168"/>
      <x:c r="K525" s="168" t="str">
        <x:f>IF(OR(H525="Mastered",J525=""),"",J525+IF(I525&gt;=5,30,IF(I525=4,14,IF(I525=3,7,IF(I525=2,3,1)))))</x:f>
      </x:c>
      <x:c r="L525" s="171" t="str"/>
      <x:c r="M525" s="171" t="str"/>
      <x:c r="N525" s="171" t="str">
        <x:v>Draft — verify in context</x:v>
      </x:c>
      <x:c r="O525" s="167" t="str">
        <x:v>https://www.wgtn.ac.nz/lals/resources/academicwordlist</x:v>
      </x:c>
    </x:row>
    <x:row r="526" ht="26" customHeight="1">
      <x:c r="A526" s="167" t="n">
        <x:v>525</x:v>
      </x:c>
      <x:c r="B526" s="167" t="str">
        <x:v>relaxed</x:v>
      </x:c>
      <x:c r="C526" s="170" t="str">
        <x:v>розслаблений</x:v>
      </x:c>
      <x:c r="D526" s="167" t="n">
        <x:v>9</x:v>
      </x:c>
      <x:c r="E526" s="167" t="str">
        <x:v>No</x:v>
      </x:c>
      <x:c r="F526" s="167" t="str">
        <x:v>Medium</x:v>
      </x:c>
      <x:c r="G526" s="167" t="str">
        <x:v>General</x:v>
      </x:c>
      <x:c r="H526" s="167" t="str">
        <x:v>Not Started</x:v>
      </x:c>
      <x:c r="I526" s="167" t="n">
        <x:v>0</x:v>
      </x:c>
      <x:c r="J526" s="168"/>
      <x:c r="K526" s="168" t="str">
        <x:f>IF(OR(H526="Mastered",J526=""),"",J526+IF(I526&gt;=5,30,IF(I526=4,14,IF(I526=3,7,IF(I526=2,3,1)))))</x:f>
      </x:c>
      <x:c r="L526" s="171" t="str"/>
      <x:c r="M526" s="171" t="str"/>
      <x:c r="N526" s="171" t="str">
        <x:v>Draft — verify in context</x:v>
      </x:c>
      <x:c r="O526" s="167" t="str">
        <x:v>https://www.wgtn.ac.nz/lals/resources/academicwordlist</x:v>
      </x:c>
    </x:row>
    <x:row r="527" ht="26" customHeight="1">
      <x:c r="A527" s="167" t="n">
        <x:v>526</x:v>
      </x:c>
      <x:c r="B527" s="167" t="str">
        <x:v>restraints</x:v>
      </x:c>
      <x:c r="C527" s="170" t="str">
        <x:v>обмеження</x:v>
      </x:c>
      <x:c r="D527" s="167" t="n">
        <x:v>9</x:v>
      </x:c>
      <x:c r="E527" s="167" t="str">
        <x:v>No</x:v>
      </x:c>
      <x:c r="F527" s="167" t="str">
        <x:v>Medium</x:v>
      </x:c>
      <x:c r="G527" s="167" t="str">
        <x:v>General</x:v>
      </x:c>
      <x:c r="H527" s="167" t="str">
        <x:v>Not Started</x:v>
      </x:c>
      <x:c r="I527" s="167" t="n">
        <x:v>0</x:v>
      </x:c>
      <x:c r="J527" s="168"/>
      <x:c r="K527" s="168" t="str">
        <x:f>IF(OR(H527="Mastered",J527=""),"",J527+IF(I527&gt;=5,30,IF(I527=4,14,IF(I527=3,7,IF(I527=2,3,1)))))</x:f>
      </x:c>
      <x:c r="L527" s="171" t="str"/>
      <x:c r="M527" s="171" t="str"/>
      <x:c r="N527" s="171" t="str">
        <x:v>Draft — verify in context</x:v>
      </x:c>
      <x:c r="O527" s="167" t="str">
        <x:v>https://www.wgtn.ac.nz/lals/resources/academicwordlist</x:v>
      </x:c>
    </x:row>
    <x:row r="528" ht="26" customHeight="1">
      <x:c r="A528" s="167" t="n">
        <x:v>527</x:v>
      </x:c>
      <x:c r="B528" s="167" t="str">
        <x:v>revolution</x:v>
      </x:c>
      <x:c r="C528" s="170" t="str">
        <x:v>революція</x:v>
      </x:c>
      <x:c r="D528" s="167" t="n">
        <x:v>9</x:v>
      </x:c>
      <x:c r="E528" s="167" t="str">
        <x:v>No</x:v>
      </x:c>
      <x:c r="F528" s="167" t="str">
        <x:v>Medium</x:v>
      </x:c>
      <x:c r="G528" s="167" t="str">
        <x:v>General</x:v>
      </x:c>
      <x:c r="H528" s="167" t="str">
        <x:v>Not Started</x:v>
      </x:c>
      <x:c r="I528" s="167" t="n">
        <x:v>0</x:v>
      </x:c>
      <x:c r="J528" s="168"/>
      <x:c r="K528" s="168" t="str">
        <x:f>IF(OR(H528="Mastered",J528=""),"",J528+IF(I528&gt;=5,30,IF(I528=4,14,IF(I528=3,7,IF(I528=2,3,1)))))</x:f>
      </x:c>
      <x:c r="L528" s="171" t="str"/>
      <x:c r="M528" s="171" t="str"/>
      <x:c r="N528" s="171" t="str">
        <x:v>Draft — verify in context</x:v>
      </x:c>
      <x:c r="O528" s="167" t="str">
        <x:v>https://www.wgtn.ac.nz/lals/resources/academicwordlist</x:v>
      </x:c>
    </x:row>
    <x:row r="529" ht="26" customHeight="1">
      <x:c r="A529" s="167" t="n">
        <x:v>528</x:v>
      </x:c>
      <x:c r="B529" s="167" t="str">
        <x:v>rigid</x:v>
      </x:c>
      <x:c r="C529" s="170" t="str">
        <x:v>жорсткий</x:v>
      </x:c>
      <x:c r="D529" s="167" t="n">
        <x:v>9</x:v>
      </x:c>
      <x:c r="E529" s="167" t="str">
        <x:v>No</x:v>
      </x:c>
      <x:c r="F529" s="167" t="str">
        <x:v>Medium</x:v>
      </x:c>
      <x:c r="G529" s="167" t="str">
        <x:v>General</x:v>
      </x:c>
      <x:c r="H529" s="167" t="str">
        <x:v>Not Started</x:v>
      </x:c>
      <x:c r="I529" s="167" t="n">
        <x:v>0</x:v>
      </x:c>
      <x:c r="J529" s="168"/>
      <x:c r="K529" s="168" t="str">
        <x:f>IF(OR(H529="Mastered",J529=""),"",J529+IF(I529&gt;=5,30,IF(I529=4,14,IF(I529=3,7,IF(I529=2,3,1)))))</x:f>
      </x:c>
      <x:c r="L529" s="171" t="str"/>
      <x:c r="M529" s="171" t="str"/>
      <x:c r="N529" s="171" t="str">
        <x:v>Draft — verify in context</x:v>
      </x:c>
      <x:c r="O529" s="167" t="str">
        <x:v>https://www.wgtn.ac.nz/lals/resources/academicwordlist</x:v>
      </x:c>
    </x:row>
    <x:row r="530" ht="26" customHeight="1">
      <x:c r="A530" s="167" t="n">
        <x:v>529</x:v>
      </x:c>
      <x:c r="B530" s="167" t="str">
        <x:v>route</x:v>
      </x:c>
      <x:c r="C530" s="170" t="str">
        <x:v>маршрут</x:v>
      </x:c>
      <x:c r="D530" s="167" t="n">
        <x:v>9</x:v>
      </x:c>
      <x:c r="E530" s="167" t="str">
        <x:v>No</x:v>
      </x:c>
      <x:c r="F530" s="167" t="str">
        <x:v>Medium</x:v>
      </x:c>
      <x:c r="G530" s="167" t="str">
        <x:v>General</x:v>
      </x:c>
      <x:c r="H530" s="167" t="str">
        <x:v>Not Started</x:v>
      </x:c>
      <x:c r="I530" s="167" t="n">
        <x:v>0</x:v>
      </x:c>
      <x:c r="J530" s="168"/>
      <x:c r="K530" s="168" t="str">
        <x:f>IF(OR(H530="Mastered",J530=""),"",J530+IF(I530&gt;=5,30,IF(I530=4,14,IF(I530=3,7,IF(I530=2,3,1)))))</x:f>
      </x:c>
      <x:c r="L530" s="171" t="str"/>
      <x:c r="M530" s="171" t="str"/>
      <x:c r="N530" s="171" t="str">
        <x:v>Draft — verify in context</x:v>
      </x:c>
      <x:c r="O530" s="167" t="str">
        <x:v>https://www.wgtn.ac.nz/lals/resources/academicwordlist</x:v>
      </x:c>
    </x:row>
    <x:row r="531" ht="26" customHeight="1">
      <x:c r="A531" s="167" t="n">
        <x:v>530</x:v>
      </x:c>
      <x:c r="B531" s="167" t="str">
        <x:v>scenario</x:v>
      </x:c>
      <x:c r="C531" s="170" t="str">
        <x:v>сценарій</x:v>
      </x:c>
      <x:c r="D531" s="167" t="n">
        <x:v>9</x:v>
      </x:c>
      <x:c r="E531" s="167" t="str">
        <x:v>No</x:v>
      </x:c>
      <x:c r="F531" s="167" t="str">
        <x:v>Medium</x:v>
      </x:c>
      <x:c r="G531" s="167" t="str">
        <x:v>General</x:v>
      </x:c>
      <x:c r="H531" s="167" t="str">
        <x:v>Not Started</x:v>
      </x:c>
      <x:c r="I531" s="167" t="n">
        <x:v>0</x:v>
      </x:c>
      <x:c r="J531" s="168"/>
      <x:c r="K531" s="168" t="str">
        <x:f>IF(OR(H531="Mastered",J531=""),"",J531+IF(I531&gt;=5,30,IF(I531=4,14,IF(I531=3,7,IF(I531=2,3,1)))))</x:f>
      </x:c>
      <x:c r="L531" s="171" t="str"/>
      <x:c r="M531" s="171" t="str"/>
      <x:c r="N531" s="171" t="str">
        <x:v>Draft — verify in context</x:v>
      </x:c>
      <x:c r="O531" s="167" t="str">
        <x:v>https://www.wgtn.ac.nz/lals/resources/academicwordlist</x:v>
      </x:c>
    </x:row>
    <x:row r="532" ht="26" customHeight="1">
      <x:c r="A532" s="167" t="n">
        <x:v>531</x:v>
      </x:c>
      <x:c r="B532" s="167" t="str">
        <x:v>sphere</x:v>
      </x:c>
      <x:c r="C532" s="170" t="str">
        <x:v>сфери</x:v>
      </x:c>
      <x:c r="D532" s="167" t="n">
        <x:v>9</x:v>
      </x:c>
      <x:c r="E532" s="167" t="str">
        <x:v>Yes</x:v>
      </x:c>
      <x:c r="F532" s="167" t="str">
        <x:v>Medium</x:v>
      </x:c>
      <x:c r="G532" s="167" t="str">
        <x:v>General</x:v>
      </x:c>
      <x:c r="H532" s="167" t="str">
        <x:v>Not Started</x:v>
      </x:c>
      <x:c r="I532" s="167" t="n">
        <x:v>0</x:v>
      </x:c>
      <x:c r="J532" s="168"/>
      <x:c r="K532" s="168" t="str">
        <x:f>IF(OR(H532="Mastered",J532=""),"",J532+IF(I532&gt;=5,30,IF(I532=4,14,IF(I532=3,7,IF(I532=2,3,1)))))</x:f>
      </x:c>
      <x:c r="L532" s="171" t="str"/>
      <x:c r="M532" s="171" t="str"/>
      <x:c r="N532" s="171" t="str">
        <x:v>Draft — verify in context</x:v>
      </x:c>
      <x:c r="O532" s="167" t="str">
        <x:v>https://www.wgtn.ac.nz/lals/resources/academicwordlist</x:v>
      </x:c>
    </x:row>
    <x:row r="533" ht="26" customHeight="1">
      <x:c r="A533" s="167" t="n">
        <x:v>532</x:v>
      </x:c>
      <x:c r="B533" s="167" t="str">
        <x:v>subordinate</x:v>
      </x:c>
      <x:c r="C533" s="170" t="str">
        <x:v>підлеглий</x:v>
      </x:c>
      <x:c r="D533" s="167" t="n">
        <x:v>9</x:v>
      </x:c>
      <x:c r="E533" s="167" t="str">
        <x:v>No</x:v>
      </x:c>
      <x:c r="F533" s="167" t="str">
        <x:v>Medium</x:v>
      </x:c>
      <x:c r="G533" s="167" t="str">
        <x:v>General</x:v>
      </x:c>
      <x:c r="H533" s="167" t="str">
        <x:v>Not Started</x:v>
      </x:c>
      <x:c r="I533" s="167" t="n">
        <x:v>0</x:v>
      </x:c>
      <x:c r="J533" s="168"/>
      <x:c r="K533" s="168" t="str">
        <x:f>IF(OR(H533="Mastered",J533=""),"",J533+IF(I533&gt;=5,30,IF(I533=4,14,IF(I533=3,7,IF(I533=2,3,1)))))</x:f>
      </x:c>
      <x:c r="L533" s="171" t="str"/>
      <x:c r="M533" s="171" t="str"/>
      <x:c r="N533" s="171" t="str">
        <x:v>Draft — verify in context</x:v>
      </x:c>
      <x:c r="O533" s="167" t="str">
        <x:v>https://www.wgtn.ac.nz/lals/resources/academicwordlist</x:v>
      </x:c>
    </x:row>
    <x:row r="534" ht="26" customHeight="1">
      <x:c r="A534" s="167" t="n">
        <x:v>533</x:v>
      </x:c>
      <x:c r="B534" s="167" t="str">
        <x:v>supplementary</x:v>
      </x:c>
      <x:c r="C534" s="170" t="str">
        <x:v>додатковий</x:v>
      </x:c>
      <x:c r="D534" s="167" t="n">
        <x:v>9</x:v>
      </x:c>
      <x:c r="E534" s="167" t="str">
        <x:v>No</x:v>
      </x:c>
      <x:c r="F534" s="167" t="str">
        <x:v>Medium</x:v>
      </x:c>
      <x:c r="G534" s="167" t="str">
        <x:v>General</x:v>
      </x:c>
      <x:c r="H534" s="167" t="str">
        <x:v>Not Started</x:v>
      </x:c>
      <x:c r="I534" s="167" t="n">
        <x:v>0</x:v>
      </x:c>
      <x:c r="J534" s="168"/>
      <x:c r="K534" s="168" t="str">
        <x:f>IF(OR(H534="Mastered",J534=""),"",J534+IF(I534&gt;=5,30,IF(I534=4,14,IF(I534=3,7,IF(I534=2,3,1)))))</x:f>
      </x:c>
      <x:c r="L534" s="171" t="str"/>
      <x:c r="M534" s="171" t="str"/>
      <x:c r="N534" s="171" t="str">
        <x:v>Draft — verify in context</x:v>
      </x:c>
      <x:c r="O534" s="167" t="str">
        <x:v>https://www.wgtn.ac.nz/lals/resources/academicwordlist</x:v>
      </x:c>
    </x:row>
    <x:row r="535" ht="26" customHeight="1">
      <x:c r="A535" s="167" t="n">
        <x:v>534</x:v>
      </x:c>
      <x:c r="B535" s="167" t="str">
        <x:v>suspended</x:v>
      </x:c>
      <x:c r="C535" s="170" t="str">
        <x:v>призупинено</x:v>
      </x:c>
      <x:c r="D535" s="167" t="n">
        <x:v>9</x:v>
      </x:c>
      <x:c r="E535" s="167" t="str">
        <x:v>No</x:v>
      </x:c>
      <x:c r="F535" s="167" t="str">
        <x:v>Medium</x:v>
      </x:c>
      <x:c r="G535" s="167" t="str">
        <x:v>General</x:v>
      </x:c>
      <x:c r="H535" s="167" t="str">
        <x:v>Not Started</x:v>
      </x:c>
      <x:c r="I535" s="167" t="n">
        <x:v>0</x:v>
      </x:c>
      <x:c r="J535" s="168"/>
      <x:c r="K535" s="168" t="str">
        <x:f>IF(OR(H535="Mastered",J535=""),"",J535+IF(I535&gt;=5,30,IF(I535=4,14,IF(I535=3,7,IF(I535=2,3,1)))))</x:f>
      </x:c>
      <x:c r="L535" s="171" t="str"/>
      <x:c r="M535" s="171" t="str"/>
      <x:c r="N535" s="171" t="str">
        <x:v>Draft — verify in context</x:v>
      </x:c>
      <x:c r="O535" s="167" t="str">
        <x:v>https://www.wgtn.ac.nz/lals/resources/academicwordlist</x:v>
      </x:c>
    </x:row>
    <x:row r="536" ht="26" customHeight="1">
      <x:c r="A536" s="167" t="n">
        <x:v>535</x:v>
      </x:c>
      <x:c r="B536" s="167" t="str">
        <x:v>team</x:v>
      </x:c>
      <x:c r="C536" s="170" t="str">
        <x:v>команда</x:v>
      </x:c>
      <x:c r="D536" s="167" t="n">
        <x:v>9</x:v>
      </x:c>
      <x:c r="E536" s="167" t="str">
        <x:v>No</x:v>
      </x:c>
      <x:c r="F536" s="167" t="str">
        <x:v>Medium</x:v>
      </x:c>
      <x:c r="G536" s="167" t="str">
        <x:v>General</x:v>
      </x:c>
      <x:c r="H536" s="167" t="str">
        <x:v>Not Started</x:v>
      </x:c>
      <x:c r="I536" s="167" t="n">
        <x:v>0</x:v>
      </x:c>
      <x:c r="J536" s="168"/>
      <x:c r="K536" s="168" t="str">
        <x:f>IF(OR(H536="Mastered",J536=""),"",J536+IF(I536&gt;=5,30,IF(I536=4,14,IF(I536=3,7,IF(I536=2,3,1)))))</x:f>
      </x:c>
      <x:c r="L536" s="171" t="str"/>
      <x:c r="M536" s="171" t="str"/>
      <x:c r="N536" s="171" t="str">
        <x:v>Draft — verify in context</x:v>
      </x:c>
      <x:c r="O536" s="167" t="str">
        <x:v>https://www.wgtn.ac.nz/lals/resources/academicwordlist</x:v>
      </x:c>
    </x:row>
    <x:row r="537" ht="26" customHeight="1">
      <x:c r="A537" s="167" t="n">
        <x:v>536</x:v>
      </x:c>
      <x:c r="B537" s="167" t="str">
        <x:v>temporary</x:v>
      </x:c>
      <x:c r="C537" s="170" t="str">
        <x:v>тимчасовий</x:v>
      </x:c>
      <x:c r="D537" s="167" t="n">
        <x:v>9</x:v>
      </x:c>
      <x:c r="E537" s="167" t="str">
        <x:v>No</x:v>
      </x:c>
      <x:c r="F537" s="167" t="str">
        <x:v>Medium</x:v>
      </x:c>
      <x:c r="G537" s="167" t="str">
        <x:v>General</x:v>
      </x:c>
      <x:c r="H537" s="167" t="str">
        <x:v>Not Started</x:v>
      </x:c>
      <x:c r="I537" s="167" t="n">
        <x:v>0</x:v>
      </x:c>
      <x:c r="J537" s="168"/>
      <x:c r="K537" s="168" t="str">
        <x:f>IF(OR(H537="Mastered",J537=""),"",J537+IF(I537&gt;=5,30,IF(I537=4,14,IF(I537=3,7,IF(I537=2,3,1)))))</x:f>
      </x:c>
      <x:c r="L537" s="171" t="str"/>
      <x:c r="M537" s="171" t="str"/>
      <x:c r="N537" s="171" t="str">
        <x:v>Draft — verify in context</x:v>
      </x:c>
      <x:c r="O537" s="167" t="str">
        <x:v>https://www.wgtn.ac.nz/lals/resources/academicwordlist</x:v>
      </x:c>
    </x:row>
    <x:row r="538" ht="26" customHeight="1">
      <x:c r="A538" s="167" t="n">
        <x:v>537</x:v>
      </x:c>
      <x:c r="B538" s="167" t="str">
        <x:v>trigger</x:v>
      </x:c>
      <x:c r="C538" s="170" t="str">
        <x:v>тригер</x:v>
      </x:c>
      <x:c r="D538" s="167" t="n">
        <x:v>9</x:v>
      </x:c>
      <x:c r="E538" s="167" t="str">
        <x:v>Yes</x:v>
      </x:c>
      <x:c r="F538" s="167" t="str">
        <x:v>Medium</x:v>
      </x:c>
      <x:c r="G538" s="167" t="str">
        <x:v>General</x:v>
      </x:c>
      <x:c r="H538" s="167" t="str">
        <x:v>Not Started</x:v>
      </x:c>
      <x:c r="I538" s="167" t="n">
        <x:v>0</x:v>
      </x:c>
      <x:c r="J538" s="168"/>
      <x:c r="K538" s="168" t="str">
        <x:f>IF(OR(H538="Mastered",J538=""),"",J538+IF(I538&gt;=5,30,IF(I538=4,14,IF(I538=3,7,IF(I538=2,3,1)))))</x:f>
      </x:c>
      <x:c r="L538" s="171" t="str"/>
      <x:c r="M538" s="171" t="str"/>
      <x:c r="N538" s="171" t="str">
        <x:v>Draft — verify in context</x:v>
      </x:c>
      <x:c r="O538" s="167" t="str">
        <x:v>https://www.wgtn.ac.nz/lals/resources/academicwordlist</x:v>
      </x:c>
    </x:row>
    <x:row r="539" ht="26" customHeight="1">
      <x:c r="A539" s="167" t="n">
        <x:v>538</x:v>
      </x:c>
      <x:c r="B539" s="167" t="str">
        <x:v>unified</x:v>
      </x:c>
      <x:c r="C539" s="170" t="str">
        <x:v>уніфікований</x:v>
      </x:c>
      <x:c r="D539" s="167" t="n">
        <x:v>9</x:v>
      </x:c>
      <x:c r="E539" s="167" t="str">
        <x:v>No</x:v>
      </x:c>
      <x:c r="F539" s="167" t="str">
        <x:v>Medium</x:v>
      </x:c>
      <x:c r="G539" s="167" t="str">
        <x:v>General</x:v>
      </x:c>
      <x:c r="H539" s="167" t="str">
        <x:v>Not Started</x:v>
      </x:c>
      <x:c r="I539" s="167" t="n">
        <x:v>0</x:v>
      </x:c>
      <x:c r="J539" s="168"/>
      <x:c r="K539" s="168" t="str">
        <x:f>IF(OR(H539="Mastered",J539=""),"",J539+IF(I539&gt;=5,30,IF(I539=4,14,IF(I539=3,7,IF(I539=2,3,1)))))</x:f>
      </x:c>
      <x:c r="L539" s="171" t="str"/>
      <x:c r="M539" s="171" t="str"/>
      <x:c r="N539" s="171" t="str">
        <x:v>Draft — verify in context</x:v>
      </x:c>
      <x:c r="O539" s="167" t="str">
        <x:v>https://www.wgtn.ac.nz/lals/resources/academicwordlist</x:v>
      </x:c>
    </x:row>
    <x:row r="540" ht="26" customHeight="1">
      <x:c r="A540" s="167" t="n">
        <x:v>539</x:v>
      </x:c>
      <x:c r="B540" s="167" t="str">
        <x:v>violation</x:v>
      </x:c>
      <x:c r="C540" s="170" t="str">
        <x:v>порушення</x:v>
      </x:c>
      <x:c r="D540" s="167" t="n">
        <x:v>9</x:v>
      </x:c>
      <x:c r="E540" s="167" t="str">
        <x:v>Yes</x:v>
      </x:c>
      <x:c r="F540" s="167" t="str">
        <x:v>Medium</x:v>
      </x:c>
      <x:c r="G540" s="167" t="str">
        <x:v>General</x:v>
      </x:c>
      <x:c r="H540" s="167" t="str">
        <x:v>Not Started</x:v>
      </x:c>
      <x:c r="I540" s="167" t="n">
        <x:v>0</x:v>
      </x:c>
      <x:c r="J540" s="168"/>
      <x:c r="K540" s="168" t="str">
        <x:f>IF(OR(H540="Mastered",J540=""),"",J540+IF(I540&gt;=5,30,IF(I540=4,14,IF(I540=3,7,IF(I540=2,3,1)))))</x:f>
      </x:c>
      <x:c r="L540" s="171" t="str"/>
      <x:c r="M540" s="171" t="str"/>
      <x:c r="N540" s="171" t="str">
        <x:v>Draft — verify in context</x:v>
      </x:c>
      <x:c r="O540" s="167" t="str">
        <x:v>https://www.wgtn.ac.nz/lals/resources/academicwordlist</x:v>
      </x:c>
    </x:row>
    <x:row r="541" ht="26" customHeight="1">
      <x:c r="A541" s="167" t="n">
        <x:v>540</x:v>
      </x:c>
      <x:c r="B541" s="167" t="str">
        <x:v>vision</x:v>
      </x:c>
      <x:c r="C541" s="170" t="str">
        <x:v>бачення</x:v>
      </x:c>
      <x:c r="D541" s="167" t="n">
        <x:v>9</x:v>
      </x:c>
      <x:c r="E541" s="167" t="str">
        <x:v>No</x:v>
      </x:c>
      <x:c r="F541" s="167" t="str">
        <x:v>Medium</x:v>
      </x:c>
      <x:c r="G541" s="167" t="str">
        <x:v>General</x:v>
      </x:c>
      <x:c r="H541" s="167" t="str">
        <x:v>Not Started</x:v>
      </x:c>
      <x:c r="I541" s="167" t="n">
        <x:v>0</x:v>
      </x:c>
      <x:c r="J541" s="168"/>
      <x:c r="K541" s="168" t="str">
        <x:f>IF(OR(H541="Mastered",J541=""),"",J541+IF(I541&gt;=5,30,IF(I541=4,14,IF(I541=3,7,IF(I541=2,3,1)))))</x:f>
      </x:c>
      <x:c r="L541" s="171" t="str"/>
      <x:c r="M541" s="171" t="str"/>
      <x:c r="N541" s="171" t="str">
        <x:v>Draft — verify in context</x:v>
      </x:c>
      <x:c r="O541" s="167" t="str">
        <x:v>https://www.wgtn.ac.nz/lals/resources/academicwordlist</x:v>
      </x:c>
    </x:row>
    <x:row r="542" ht="26" customHeight="1">
      <x:c r="A542" s="167" t="n">
        <x:v>541</x:v>
      </x:c>
      <x:c r="B542" s="167" t="str">
        <x:v>adjacent</x:v>
      </x:c>
      <x:c r="C542" s="170" t="str">
        <x:v>суміжні</x:v>
      </x:c>
      <x:c r="D542" s="167" t="n">
        <x:v>10</x:v>
      </x:c>
      <x:c r="E542" s="167" t="str">
        <x:v>Yes</x:v>
      </x:c>
      <x:c r="F542" s="167" t="str">
        <x:v>Medium</x:v>
      </x:c>
      <x:c r="G542" s="167" t="str">
        <x:v>General</x:v>
      </x:c>
      <x:c r="H542" s="167" t="str">
        <x:v>Not Started</x:v>
      </x:c>
      <x:c r="I542" s="167" t="n">
        <x:v>0</x:v>
      </x:c>
      <x:c r="J542" s="168"/>
      <x:c r="K542" s="168" t="str">
        <x:f>IF(OR(H542="Mastered",J542=""),"",J542+IF(I542&gt;=5,30,IF(I542=4,14,IF(I542=3,7,IF(I542=2,3,1)))))</x:f>
      </x:c>
      <x:c r="L542" s="171" t="str"/>
      <x:c r="M542" s="171" t="str"/>
      <x:c r="N542" s="171" t="str">
        <x:v>Draft — verify in context</x:v>
      </x:c>
      <x:c r="O542" s="167" t="str">
        <x:v>https://www.wgtn.ac.nz/lals/resources/academicwordlist</x:v>
      </x:c>
    </x:row>
    <x:row r="543" ht="26" customHeight="1">
      <x:c r="A543" s="167" t="n">
        <x:v>542</x:v>
      </x:c>
      <x:c r="B543" s="167" t="str">
        <x:v>albeit</x:v>
      </x:c>
      <x:c r="C543" s="170" t="str">
        <x:v>хоча</x:v>
      </x:c>
      <x:c r="D543" s="167" t="n">
        <x:v>10</x:v>
      </x:c>
      <x:c r="E543" s="167" t="str">
        <x:v>Yes</x:v>
      </x:c>
      <x:c r="F543" s="167" t="str">
        <x:v>Medium</x:v>
      </x:c>
      <x:c r="G543" s="167" t="str">
        <x:v>General</x:v>
      </x:c>
      <x:c r="H543" s="167" t="str">
        <x:v>Not Started</x:v>
      </x:c>
      <x:c r="I543" s="167" t="n">
        <x:v>0</x:v>
      </x:c>
      <x:c r="J543" s="168"/>
      <x:c r="K543" s="168" t="str">
        <x:f>IF(OR(H543="Mastered",J543=""),"",J543+IF(I543&gt;=5,30,IF(I543=4,14,IF(I543=3,7,IF(I543=2,3,1)))))</x:f>
      </x:c>
      <x:c r="L543" s="171" t="str"/>
      <x:c r="M543" s="171" t="str"/>
      <x:c r="N543" s="171" t="str">
        <x:v>Draft — verify in context</x:v>
      </x:c>
      <x:c r="O543" s="167" t="str">
        <x:v>https://www.wgtn.ac.nz/lals/resources/academicwordlist</x:v>
      </x:c>
    </x:row>
    <x:row r="544" ht="26" customHeight="1">
      <x:c r="A544" s="167" t="n">
        <x:v>543</x:v>
      </x:c>
      <x:c r="B544" s="167" t="str">
        <x:v>assembly</x:v>
      </x:c>
      <x:c r="C544" s="170" t="str">
        <x:v>збірка</x:v>
      </x:c>
      <x:c r="D544" s="167" t="n">
        <x:v>10</x:v>
      </x:c>
      <x:c r="E544" s="167" t="str">
        <x:v>Yes</x:v>
      </x:c>
      <x:c r="F544" s="167" t="str">
        <x:v>Medium</x:v>
      </x:c>
      <x:c r="G544" s="167" t="str">
        <x:v>General</x:v>
      </x:c>
      <x:c r="H544" s="167" t="str">
        <x:v>Not Started</x:v>
      </x:c>
      <x:c r="I544" s="167" t="n">
        <x:v>0</x:v>
      </x:c>
      <x:c r="J544" s="168"/>
      <x:c r="K544" s="168" t="str">
        <x:f>IF(OR(H544="Mastered",J544=""),"",J544+IF(I544&gt;=5,30,IF(I544=4,14,IF(I544=3,7,IF(I544=2,3,1)))))</x:f>
      </x:c>
      <x:c r="L544" s="171" t="str"/>
      <x:c r="M544" s="171" t="str"/>
      <x:c r="N544" s="171" t="str">
        <x:v>Draft — verify in context</x:v>
      </x:c>
      <x:c r="O544" s="167" t="str">
        <x:v>https://www.wgtn.ac.nz/lals/resources/academicwordlist</x:v>
      </x:c>
    </x:row>
    <x:row r="545" ht="26" customHeight="1">
      <x:c r="A545" s="167" t="n">
        <x:v>544</x:v>
      </x:c>
      <x:c r="B545" s="167" t="str">
        <x:v>collapse</x:v>
      </x:c>
      <x:c r="C545" s="170" t="str">
        <x:v>колапс</x:v>
      </x:c>
      <x:c r="D545" s="167" t="n">
        <x:v>10</x:v>
      </x:c>
      <x:c r="E545" s="167" t="str">
        <x:v>No</x:v>
      </x:c>
      <x:c r="F545" s="167" t="str">
        <x:v>Medium</x:v>
      </x:c>
      <x:c r="G545" s="167" t="str">
        <x:v>General</x:v>
      </x:c>
      <x:c r="H545" s="167" t="str">
        <x:v>Not Started</x:v>
      </x:c>
      <x:c r="I545" s="167" t="n">
        <x:v>0</x:v>
      </x:c>
      <x:c r="J545" s="168"/>
      <x:c r="K545" s="168" t="str">
        <x:f>IF(OR(H545="Mastered",J545=""),"",J545+IF(I545&gt;=5,30,IF(I545=4,14,IF(I545=3,7,IF(I545=2,3,1)))))</x:f>
      </x:c>
      <x:c r="L545" s="171" t="str"/>
      <x:c r="M545" s="171" t="str"/>
      <x:c r="N545" s="171" t="str">
        <x:v>Draft — verify in context</x:v>
      </x:c>
      <x:c r="O545" s="167" t="str">
        <x:v>https://www.wgtn.ac.nz/lals/resources/academicwordlist</x:v>
      </x:c>
    </x:row>
    <x:row r="546" ht="26" customHeight="1">
      <x:c r="A546" s="167" t="n">
        <x:v>545</x:v>
      </x:c>
      <x:c r="B546" s="167" t="str">
        <x:v>colleagues</x:v>
      </x:c>
      <x:c r="C546" s="170" t="str">
        <x:v>колеги</x:v>
      </x:c>
      <x:c r="D546" s="167" t="n">
        <x:v>10</x:v>
      </x:c>
      <x:c r="E546" s="167" t="str">
        <x:v>No</x:v>
      </x:c>
      <x:c r="F546" s="167" t="str">
        <x:v>Medium</x:v>
      </x:c>
      <x:c r="G546" s="167" t="str">
        <x:v>General</x:v>
      </x:c>
      <x:c r="H546" s="167" t="str">
        <x:v>Not Started</x:v>
      </x:c>
      <x:c r="I546" s="167" t="n">
        <x:v>0</x:v>
      </x:c>
      <x:c r="J546" s="168"/>
      <x:c r="K546" s="168" t="str">
        <x:f>IF(OR(H546="Mastered",J546=""),"",J546+IF(I546&gt;=5,30,IF(I546=4,14,IF(I546=3,7,IF(I546=2,3,1)))))</x:f>
      </x:c>
      <x:c r="L546" s="171" t="str"/>
      <x:c r="M546" s="171" t="str"/>
      <x:c r="N546" s="171" t="str">
        <x:v>Draft — verify in context</x:v>
      </x:c>
      <x:c r="O546" s="167" t="str">
        <x:v>https://www.wgtn.ac.nz/lals/resources/academicwordlist</x:v>
      </x:c>
    </x:row>
    <x:row r="547" ht="26" customHeight="1">
      <x:c r="A547" s="167" t="n">
        <x:v>546</x:v>
      </x:c>
      <x:c r="B547" s="167" t="str">
        <x:v>compiled</x:v>
      </x:c>
      <x:c r="C547" s="170" t="str">
        <x:v>складений</x:v>
      </x:c>
      <x:c r="D547" s="167" t="n">
        <x:v>10</x:v>
      </x:c>
      <x:c r="E547" s="167" t="str">
        <x:v>No</x:v>
      </x:c>
      <x:c r="F547" s="167" t="str">
        <x:v>Medium</x:v>
      </x:c>
      <x:c r="G547" s="167" t="str">
        <x:v>General</x:v>
      </x:c>
      <x:c r="H547" s="167" t="str">
        <x:v>Not Started</x:v>
      </x:c>
      <x:c r="I547" s="167" t="n">
        <x:v>0</x:v>
      </x:c>
      <x:c r="J547" s="168"/>
      <x:c r="K547" s="168" t="str">
        <x:f>IF(OR(H547="Mastered",J547=""),"",J547+IF(I547&gt;=5,30,IF(I547=4,14,IF(I547=3,7,IF(I547=2,3,1)))))</x:f>
      </x:c>
      <x:c r="L547" s="171" t="str"/>
      <x:c r="M547" s="171" t="str"/>
      <x:c r="N547" s="171" t="str">
        <x:v>Draft — verify in context</x:v>
      </x:c>
      <x:c r="O547" s="167" t="str">
        <x:v>https://www.wgtn.ac.nz/lals/resources/academicwordlist</x:v>
      </x:c>
    </x:row>
    <x:row r="548" ht="26" customHeight="1">
      <x:c r="A548" s="167" t="n">
        <x:v>547</x:v>
      </x:c>
      <x:c r="B548" s="167" t="str">
        <x:v>conceived</x:v>
      </x:c>
      <x:c r="C548" s="170" t="str">
        <x:v>задуманий</x:v>
      </x:c>
      <x:c r="D548" s="167" t="n">
        <x:v>10</x:v>
      </x:c>
      <x:c r="E548" s="167" t="str">
        <x:v>No</x:v>
      </x:c>
      <x:c r="F548" s="167" t="str">
        <x:v>Medium</x:v>
      </x:c>
      <x:c r="G548" s="167" t="str">
        <x:v>General</x:v>
      </x:c>
      <x:c r="H548" s="167" t="str">
        <x:v>Not Started</x:v>
      </x:c>
      <x:c r="I548" s="167" t="n">
        <x:v>0</x:v>
      </x:c>
      <x:c r="J548" s="168"/>
      <x:c r="K548" s="168" t="str">
        <x:f>IF(OR(H548="Mastered",J548=""),"",J548+IF(I548&gt;=5,30,IF(I548=4,14,IF(I548=3,7,IF(I548=2,3,1)))))</x:f>
      </x:c>
      <x:c r="L548" s="171" t="str"/>
      <x:c r="M548" s="171" t="str"/>
      <x:c r="N548" s="171" t="str">
        <x:v>Draft — verify in context</x:v>
      </x:c>
      <x:c r="O548" s="167" t="str">
        <x:v>https://www.wgtn.ac.nz/lals/resources/academicwordlist</x:v>
      </x:c>
    </x:row>
    <x:row r="549" ht="26" customHeight="1">
      <x:c r="A549" s="167" t="n">
        <x:v>548</x:v>
      </x:c>
      <x:c r="B549" s="167" t="str">
        <x:v>convinced</x:v>
      </x:c>
      <x:c r="C549" s="170" t="str">
        <x:v>переконаний</x:v>
      </x:c>
      <x:c r="D549" s="167" t="n">
        <x:v>10</x:v>
      </x:c>
      <x:c r="E549" s="167" t="str">
        <x:v>No</x:v>
      </x:c>
      <x:c r="F549" s="167" t="str">
        <x:v>Medium</x:v>
      </x:c>
      <x:c r="G549" s="167" t="str">
        <x:v>General</x:v>
      </x:c>
      <x:c r="H549" s="167" t="str">
        <x:v>Not Started</x:v>
      </x:c>
      <x:c r="I549" s="167" t="n">
        <x:v>0</x:v>
      </x:c>
      <x:c r="J549" s="168"/>
      <x:c r="K549" s="168" t="str">
        <x:f>IF(OR(H549="Mastered",J549=""),"",J549+IF(I549&gt;=5,30,IF(I549=4,14,IF(I549=3,7,IF(I549=2,3,1)))))</x:f>
      </x:c>
      <x:c r="L549" s="171" t="str"/>
      <x:c r="M549" s="171" t="str"/>
      <x:c r="N549" s="171" t="str">
        <x:v>Draft — verify in context</x:v>
      </x:c>
      <x:c r="O549" s="167" t="str">
        <x:v>https://www.wgtn.ac.nz/lals/resources/academicwordlist</x:v>
      </x:c>
    </x:row>
    <x:row r="550" ht="26" customHeight="1">
      <x:c r="A550" s="167" t="n">
        <x:v>549</x:v>
      </x:c>
      <x:c r="B550" s="167" t="str">
        <x:v>depression</x:v>
      </x:c>
      <x:c r="C550" s="170" t="str">
        <x:v>депресія</x:v>
      </x:c>
      <x:c r="D550" s="167" t="n">
        <x:v>10</x:v>
      </x:c>
      <x:c r="E550" s="167" t="str">
        <x:v>No</x:v>
      </x:c>
      <x:c r="F550" s="167" t="str">
        <x:v>Medium</x:v>
      </x:c>
      <x:c r="G550" s="167" t="str">
        <x:v>General</x:v>
      </x:c>
      <x:c r="H550" s="167" t="str">
        <x:v>Not Started</x:v>
      </x:c>
      <x:c r="I550" s="167" t="n">
        <x:v>0</x:v>
      </x:c>
      <x:c r="J550" s="168"/>
      <x:c r="K550" s="168" t="str">
        <x:f>IF(OR(H550="Mastered",J550=""),"",J550+IF(I550&gt;=5,30,IF(I550=4,14,IF(I550=3,7,IF(I550=2,3,1)))))</x:f>
      </x:c>
      <x:c r="L550" s="171" t="str"/>
      <x:c r="M550" s="171" t="str"/>
      <x:c r="N550" s="171" t="str">
        <x:v>Draft — verify in context</x:v>
      </x:c>
      <x:c r="O550" s="167" t="str">
        <x:v>https://www.wgtn.ac.nz/lals/resources/academicwordlist</x:v>
      </x:c>
    </x:row>
    <x:row r="551" ht="26" customHeight="1">
      <x:c r="A551" s="167" t="n">
        <x:v>550</x:v>
      </x:c>
      <x:c r="B551" s="167" t="str">
        <x:v>encountered</x:v>
      </x:c>
      <x:c r="C551" s="170" t="str">
        <x:v>зіткнувся</x:v>
      </x:c>
      <x:c r="D551" s="167" t="n">
        <x:v>10</x:v>
      </x:c>
      <x:c r="E551" s="167" t="str">
        <x:v>No</x:v>
      </x:c>
      <x:c r="F551" s="167" t="str">
        <x:v>Medium</x:v>
      </x:c>
      <x:c r="G551" s="167" t="str">
        <x:v>General</x:v>
      </x:c>
      <x:c r="H551" s="167" t="str">
        <x:v>Not Started</x:v>
      </x:c>
      <x:c r="I551" s="167" t="n">
        <x:v>0</x:v>
      </x:c>
      <x:c r="J551" s="168"/>
      <x:c r="K551" s="168" t="str">
        <x:f>IF(OR(H551="Mastered",J551=""),"",J551+IF(I551&gt;=5,30,IF(I551=4,14,IF(I551=3,7,IF(I551=2,3,1)))))</x:f>
      </x:c>
      <x:c r="L551" s="171" t="str"/>
      <x:c r="M551" s="171" t="str"/>
      <x:c r="N551" s="171" t="str">
        <x:v>Draft — verify in context</x:v>
      </x:c>
      <x:c r="O551" s="167" t="str">
        <x:v>https://www.wgtn.ac.nz/lals/resources/academicwordlist</x:v>
      </x:c>
    </x:row>
    <x:row r="552" ht="26" customHeight="1">
      <x:c r="A552" s="167" t="n">
        <x:v>551</x:v>
      </x:c>
      <x:c r="B552" s="167" t="str">
        <x:v>enormous</x:v>
      </x:c>
      <x:c r="C552" s="170" t="str">
        <x:v>величезний</x:v>
      </x:c>
      <x:c r="D552" s="167" t="n">
        <x:v>10</x:v>
      </x:c>
      <x:c r="E552" s="167" t="str">
        <x:v>No</x:v>
      </x:c>
      <x:c r="F552" s="167" t="str">
        <x:v>Medium</x:v>
      </x:c>
      <x:c r="G552" s="167" t="str">
        <x:v>General</x:v>
      </x:c>
      <x:c r="H552" s="167" t="str">
        <x:v>Not Started</x:v>
      </x:c>
      <x:c r="I552" s="167" t="n">
        <x:v>0</x:v>
      </x:c>
      <x:c r="J552" s="168"/>
      <x:c r="K552" s="168" t="str">
        <x:f>IF(OR(H552="Mastered",J552=""),"",J552+IF(I552&gt;=5,30,IF(I552=4,14,IF(I552=3,7,IF(I552=2,3,1)))))</x:f>
      </x:c>
      <x:c r="L552" s="171" t="str"/>
      <x:c r="M552" s="171" t="str"/>
      <x:c r="N552" s="171" t="str">
        <x:v>Draft — verify in context</x:v>
      </x:c>
      <x:c r="O552" s="167" t="str">
        <x:v>https://www.wgtn.ac.nz/lals/resources/academicwordlist</x:v>
      </x:c>
    </x:row>
    <x:row r="553" ht="26" customHeight="1">
      <x:c r="A553" s="167" t="n">
        <x:v>552</x:v>
      </x:c>
      <x:c r="B553" s="167" t="str">
        <x:v>forthcoming</x:v>
      </x:c>
      <x:c r="C553" s="170" t="str">
        <x:v>майбутній</x:v>
      </x:c>
      <x:c r="D553" s="167" t="n">
        <x:v>10</x:v>
      </x:c>
      <x:c r="E553" s="167" t="str">
        <x:v>Yes</x:v>
      </x:c>
      <x:c r="F553" s="167" t="str">
        <x:v>Medium</x:v>
      </x:c>
      <x:c r="G553" s="167" t="str">
        <x:v>General</x:v>
      </x:c>
      <x:c r="H553" s="167" t="str">
        <x:v>Not Started</x:v>
      </x:c>
      <x:c r="I553" s="167" t="n">
        <x:v>0</x:v>
      </x:c>
      <x:c r="J553" s="168"/>
      <x:c r="K553" s="168" t="str">
        <x:f>IF(OR(H553="Mastered",J553=""),"",J553+IF(I553&gt;=5,30,IF(I553=4,14,IF(I553=3,7,IF(I553=2,3,1)))))</x:f>
      </x:c>
      <x:c r="L553" s="171" t="str"/>
      <x:c r="M553" s="171" t="str"/>
      <x:c r="N553" s="171" t="str">
        <x:v>Draft — verify in context</x:v>
      </x:c>
      <x:c r="O553" s="167" t="str">
        <x:v>https://www.wgtn.ac.nz/lals/resources/academicwordlist</x:v>
      </x:c>
    </x:row>
    <x:row r="554" ht="26" customHeight="1">
      <x:c r="A554" s="167" t="n">
        <x:v>553</x:v>
      </x:c>
      <x:c r="B554" s="167" t="str">
        <x:v>inclination</x:v>
      </x:c>
      <x:c r="C554" s="170" t="str">
        <x:v>нахил</x:v>
      </x:c>
      <x:c r="D554" s="167" t="n">
        <x:v>10</x:v>
      </x:c>
      <x:c r="E554" s="167" t="str">
        <x:v>No</x:v>
      </x:c>
      <x:c r="F554" s="167" t="str">
        <x:v>Medium</x:v>
      </x:c>
      <x:c r="G554" s="167" t="str">
        <x:v>General</x:v>
      </x:c>
      <x:c r="H554" s="167" t="str">
        <x:v>Not Started</x:v>
      </x:c>
      <x:c r="I554" s="167" t="n">
        <x:v>0</x:v>
      </x:c>
      <x:c r="J554" s="168"/>
      <x:c r="K554" s="168" t="str">
        <x:f>IF(OR(H554="Mastered",J554=""),"",J554+IF(I554&gt;=5,30,IF(I554=4,14,IF(I554=3,7,IF(I554=2,3,1)))))</x:f>
      </x:c>
      <x:c r="L554" s="171" t="str"/>
      <x:c r="M554" s="171" t="str"/>
      <x:c r="N554" s="171" t="str">
        <x:v>Draft — verify in context</x:v>
      </x:c>
      <x:c r="O554" s="167" t="str">
        <x:v>https://www.wgtn.ac.nz/lals/resources/academicwordlist</x:v>
      </x:c>
    </x:row>
    <x:row r="555" ht="26" customHeight="1">
      <x:c r="A555" s="167" t="n">
        <x:v>554</x:v>
      </x:c>
      <x:c r="B555" s="167" t="str">
        <x:v>integrity</x:v>
      </x:c>
      <x:c r="C555" s="170" t="str">
        <x:v>цілісність</x:v>
      </x:c>
      <x:c r="D555" s="167" t="n">
        <x:v>10</x:v>
      </x:c>
      <x:c r="E555" s="167" t="str">
        <x:v>Yes</x:v>
      </x:c>
      <x:c r="F555" s="167" t="str">
        <x:v>Medium</x:v>
      </x:c>
      <x:c r="G555" s="167" t="str">
        <x:v>General</x:v>
      </x:c>
      <x:c r="H555" s="167" t="str">
        <x:v>Not Started</x:v>
      </x:c>
      <x:c r="I555" s="167" t="n">
        <x:v>0</x:v>
      </x:c>
      <x:c r="J555" s="168"/>
      <x:c r="K555" s="168" t="str">
        <x:f>IF(OR(H555="Mastered",J555=""),"",J555+IF(I555&gt;=5,30,IF(I555=4,14,IF(I555=3,7,IF(I555=2,3,1)))))</x:f>
      </x:c>
      <x:c r="L555" s="171" t="str"/>
      <x:c r="M555" s="171" t="str"/>
      <x:c r="N555" s="171" t="str">
        <x:v>Draft — verify in context</x:v>
      </x:c>
      <x:c r="O555" s="167" t="str">
        <x:v>https://www.wgtn.ac.nz/lals/resources/academicwordlist</x:v>
      </x:c>
    </x:row>
    <x:row r="556" ht="26" customHeight="1">
      <x:c r="A556" s="167" t="n">
        <x:v>555</x:v>
      </x:c>
      <x:c r="B556" s="167" t="str">
        <x:v>intrinsic</x:v>
      </x:c>
      <x:c r="C556" s="170" t="str">
        <x:v>внутрішній</x:v>
      </x:c>
      <x:c r="D556" s="167" t="n">
        <x:v>10</x:v>
      </x:c>
      <x:c r="E556" s="167" t="str">
        <x:v>No</x:v>
      </x:c>
      <x:c r="F556" s="167" t="str">
        <x:v>Medium</x:v>
      </x:c>
      <x:c r="G556" s="167" t="str">
        <x:v>General</x:v>
      </x:c>
      <x:c r="H556" s="167" t="str">
        <x:v>Not Started</x:v>
      </x:c>
      <x:c r="I556" s="167" t="n">
        <x:v>0</x:v>
      </x:c>
      <x:c r="J556" s="168"/>
      <x:c r="K556" s="168" t="str">
        <x:f>IF(OR(H556="Mastered",J556=""),"",J556+IF(I556&gt;=5,30,IF(I556=4,14,IF(I556=3,7,IF(I556=2,3,1)))))</x:f>
      </x:c>
      <x:c r="L556" s="171" t="str"/>
      <x:c r="M556" s="171" t="str"/>
      <x:c r="N556" s="171" t="str">
        <x:v>Draft — verify in context</x:v>
      </x:c>
      <x:c r="O556" s="167" t="str">
        <x:v>https://www.wgtn.ac.nz/lals/resources/academicwordlist</x:v>
      </x:c>
    </x:row>
    <x:row r="557" ht="26" customHeight="1">
      <x:c r="A557" s="167" t="n">
        <x:v>556</x:v>
      </x:c>
      <x:c r="B557" s="167" t="str">
        <x:v>invoked</x:v>
      </x:c>
      <x:c r="C557" s="170" t="str">
        <x:v>викликається</x:v>
      </x:c>
      <x:c r="D557" s="167" t="n">
        <x:v>10</x:v>
      </x:c>
      <x:c r="E557" s="167" t="str">
        <x:v>No</x:v>
      </x:c>
      <x:c r="F557" s="167" t="str">
        <x:v>Medium</x:v>
      </x:c>
      <x:c r="G557" s="167" t="str">
        <x:v>General</x:v>
      </x:c>
      <x:c r="H557" s="167" t="str">
        <x:v>Not Started</x:v>
      </x:c>
      <x:c r="I557" s="167" t="n">
        <x:v>0</x:v>
      </x:c>
      <x:c r="J557" s="168"/>
      <x:c r="K557" s="168" t="str">
        <x:f>IF(OR(H557="Mastered",J557=""),"",J557+IF(I557&gt;=5,30,IF(I557=4,14,IF(I557=3,7,IF(I557=2,3,1)))))</x:f>
      </x:c>
      <x:c r="L557" s="171" t="str"/>
      <x:c r="M557" s="171" t="str"/>
      <x:c r="N557" s="171" t="str">
        <x:v>Draft — verify in context</x:v>
      </x:c>
      <x:c r="O557" s="167" t="str">
        <x:v>https://www.wgtn.ac.nz/lals/resources/academicwordlist</x:v>
      </x:c>
    </x:row>
    <x:row r="558" ht="26" customHeight="1">
      <x:c r="A558" s="167" t="n">
        <x:v>557</x:v>
      </x:c>
      <x:c r="B558" s="167" t="str">
        <x:v>levy</x:v>
      </x:c>
      <x:c r="C558" s="170" t="str">
        <x:v>збір</x:v>
      </x:c>
      <x:c r="D558" s="167" t="n">
        <x:v>10</x:v>
      </x:c>
      <x:c r="E558" s="167" t="str">
        <x:v>No</x:v>
      </x:c>
      <x:c r="F558" s="167" t="str">
        <x:v>Medium</x:v>
      </x:c>
      <x:c r="G558" s="167" t="str">
        <x:v>General</x:v>
      </x:c>
      <x:c r="H558" s="167" t="str">
        <x:v>Not Started</x:v>
      </x:c>
      <x:c r="I558" s="167" t="n">
        <x:v>0</x:v>
      </x:c>
      <x:c r="J558" s="168"/>
      <x:c r="K558" s="168" t="str">
        <x:f>IF(OR(H558="Mastered",J558=""),"",J558+IF(I558&gt;=5,30,IF(I558=4,14,IF(I558=3,7,IF(I558=2,3,1)))))</x:f>
      </x:c>
      <x:c r="L558" s="171" t="str"/>
      <x:c r="M558" s="171" t="str"/>
      <x:c r="N558" s="171" t="str">
        <x:v>Draft — verify in context</x:v>
      </x:c>
      <x:c r="O558" s="167" t="str">
        <x:v>https://www.wgtn.ac.nz/lals/resources/academicwordlist</x:v>
      </x:c>
    </x:row>
    <x:row r="559" ht="26" customHeight="1">
      <x:c r="A559" s="167" t="n">
        <x:v>558</x:v>
      </x:c>
      <x:c r="B559" s="167" t="str">
        <x:v>likewise</x:v>
      </x:c>
      <x:c r="C559" s="170" t="str">
        <x:v>так само</x:v>
      </x:c>
      <x:c r="D559" s="167" t="n">
        <x:v>10</x:v>
      </x:c>
      <x:c r="E559" s="167" t="str">
        <x:v>No</x:v>
      </x:c>
      <x:c r="F559" s="167" t="str">
        <x:v>Medium</x:v>
      </x:c>
      <x:c r="G559" s="167" t="str">
        <x:v>General</x:v>
      </x:c>
      <x:c r="H559" s="167" t="str">
        <x:v>Not Started</x:v>
      </x:c>
      <x:c r="I559" s="167" t="n">
        <x:v>0</x:v>
      </x:c>
      <x:c r="J559" s="168"/>
      <x:c r="K559" s="168" t="str">
        <x:f>IF(OR(H559="Mastered",J559=""),"",J559+IF(I559&gt;=5,30,IF(I559=4,14,IF(I559=3,7,IF(I559=2,3,1)))))</x:f>
      </x:c>
      <x:c r="L559" s="171" t="str"/>
      <x:c r="M559" s="171" t="str"/>
      <x:c r="N559" s="171" t="str">
        <x:v>Draft — verify in context</x:v>
      </x:c>
      <x:c r="O559" s="167" t="str">
        <x:v>https://www.wgtn.ac.nz/lals/resources/academicwordlist</x:v>
      </x:c>
    </x:row>
    <x:row r="560" ht="26" customHeight="1">
      <x:c r="A560" s="167" t="n">
        <x:v>559</x:v>
      </x:c>
      <x:c r="B560" s="167" t="str">
        <x:v>nonetheless</x:v>
      </x:c>
      <x:c r="C560" s="170" t="str">
        <x:v>тим не менш</x:v>
      </x:c>
      <x:c r="D560" s="167" t="n">
        <x:v>10</x:v>
      </x:c>
      <x:c r="E560" s="167" t="str">
        <x:v>Yes</x:v>
      </x:c>
      <x:c r="F560" s="167" t="str">
        <x:v>Medium</x:v>
      </x:c>
      <x:c r="G560" s="167" t="str">
        <x:v>General</x:v>
      </x:c>
      <x:c r="H560" s="167" t="str">
        <x:v>Not Started</x:v>
      </x:c>
      <x:c r="I560" s="167" t="n">
        <x:v>0</x:v>
      </x:c>
      <x:c r="J560" s="168"/>
      <x:c r="K560" s="168" t="str">
        <x:f>IF(OR(H560="Mastered",J560=""),"",J560+IF(I560&gt;=5,30,IF(I560=4,14,IF(I560=3,7,IF(I560=2,3,1)))))</x:f>
      </x:c>
      <x:c r="L560" s="171" t="str"/>
      <x:c r="M560" s="171" t="str"/>
      <x:c r="N560" s="171" t="str">
        <x:v>Draft — verify in context</x:v>
      </x:c>
      <x:c r="O560" s="167" t="str">
        <x:v>https://www.wgtn.ac.nz/lals/resources/academicwordlist</x:v>
      </x:c>
    </x:row>
    <x:row r="561" ht="26" customHeight="1">
      <x:c r="A561" s="167" t="n">
        <x:v>560</x:v>
      </x:c>
      <x:c r="B561" s="167" t="str">
        <x:v>notwithstanding</x:v>
      </x:c>
      <x:c r="C561" s="170" t="str">
        <x:v>незважаючи на це</x:v>
      </x:c>
      <x:c r="D561" s="167" t="n">
        <x:v>10</x:v>
      </x:c>
      <x:c r="E561" s="167" t="str">
        <x:v>No</x:v>
      </x:c>
      <x:c r="F561" s="167" t="str">
        <x:v>Medium</x:v>
      </x:c>
      <x:c r="G561" s="167" t="str">
        <x:v>General</x:v>
      </x:c>
      <x:c r="H561" s="167" t="str">
        <x:v>Not Started</x:v>
      </x:c>
      <x:c r="I561" s="167" t="n">
        <x:v>0</x:v>
      </x:c>
      <x:c r="J561" s="168"/>
      <x:c r="K561" s="168" t="str">
        <x:f>IF(OR(H561="Mastered",J561=""),"",J561+IF(I561&gt;=5,30,IF(I561=4,14,IF(I561=3,7,IF(I561=2,3,1)))))</x:f>
      </x:c>
      <x:c r="L561" s="171" t="str"/>
      <x:c r="M561" s="171" t="str"/>
      <x:c r="N561" s="171" t="str">
        <x:v>Draft — verify in context</x:v>
      </x:c>
      <x:c r="O561" s="167" t="str">
        <x:v>https://www.wgtn.ac.nz/lals/resources/academicwordlist</x:v>
      </x:c>
    </x:row>
    <x:row r="562" ht="26" customHeight="1">
      <x:c r="A562" s="167" t="n">
        <x:v>561</x:v>
      </x:c>
      <x:c r="B562" s="167" t="str">
        <x:v>odd</x:v>
      </x:c>
      <x:c r="C562" s="170" t="str">
        <x:v>непарний</x:v>
      </x:c>
      <x:c r="D562" s="167" t="n">
        <x:v>10</x:v>
      </x:c>
      <x:c r="E562" s="167" t="str">
        <x:v>No</x:v>
      </x:c>
      <x:c r="F562" s="167" t="str">
        <x:v>Medium</x:v>
      </x:c>
      <x:c r="G562" s="167" t="str">
        <x:v>General</x:v>
      </x:c>
      <x:c r="H562" s="167" t="str">
        <x:v>Not Started</x:v>
      </x:c>
      <x:c r="I562" s="167" t="n">
        <x:v>0</x:v>
      </x:c>
      <x:c r="J562" s="168"/>
      <x:c r="K562" s="168" t="str">
        <x:f>IF(OR(H562="Mastered",J562=""),"",J562+IF(I562&gt;=5,30,IF(I562=4,14,IF(I562=3,7,IF(I562=2,3,1)))))</x:f>
      </x:c>
      <x:c r="L562" s="171" t="str"/>
      <x:c r="M562" s="171" t="str"/>
      <x:c r="N562" s="171" t="str">
        <x:v>Draft — verify in context</x:v>
      </x:c>
      <x:c r="O562" s="167" t="str">
        <x:v>https://www.wgtn.ac.nz/lals/resources/academicwordlist</x:v>
      </x:c>
    </x:row>
    <x:row r="563" ht="26" customHeight="1">
      <x:c r="A563" s="167" t="n">
        <x:v>562</x:v>
      </x:c>
      <x:c r="B563" s="167" t="str">
        <x:v>ongoing</x:v>
      </x:c>
      <x:c r="C563" s="170" t="str">
        <x:v>триває</x:v>
      </x:c>
      <x:c r="D563" s="167" t="n">
        <x:v>10</x:v>
      </x:c>
      <x:c r="E563" s="167" t="str">
        <x:v>No</x:v>
      </x:c>
      <x:c r="F563" s="167" t="str">
        <x:v>Medium</x:v>
      </x:c>
      <x:c r="G563" s="167" t="str">
        <x:v>General</x:v>
      </x:c>
      <x:c r="H563" s="167" t="str">
        <x:v>Not Started</x:v>
      </x:c>
      <x:c r="I563" s="167" t="n">
        <x:v>0</x:v>
      </x:c>
      <x:c r="J563" s="168"/>
      <x:c r="K563" s="168" t="str">
        <x:f>IF(OR(H563="Mastered",J563=""),"",J563+IF(I563&gt;=5,30,IF(I563=4,14,IF(I563=3,7,IF(I563=2,3,1)))))</x:f>
      </x:c>
      <x:c r="L563" s="171" t="str"/>
      <x:c r="M563" s="171" t="str"/>
      <x:c r="N563" s="171" t="str">
        <x:v>Draft — verify in context</x:v>
      </x:c>
      <x:c r="O563" s="167" t="str">
        <x:v>https://www.wgtn.ac.nz/lals/resources/academicwordlist</x:v>
      </x:c>
    </x:row>
    <x:row r="564" ht="26" customHeight="1">
      <x:c r="A564" s="167" t="n">
        <x:v>563</x:v>
      </x:c>
      <x:c r="B564" s="167" t="str">
        <x:v>panel</x:v>
      </x:c>
      <x:c r="C564" s="170" t="str">
        <x:v>панель</x:v>
      </x:c>
      <x:c r="D564" s="167" t="n">
        <x:v>10</x:v>
      </x:c>
      <x:c r="E564" s="167" t="str">
        <x:v>No</x:v>
      </x:c>
      <x:c r="F564" s="167" t="str">
        <x:v>Medium</x:v>
      </x:c>
      <x:c r="G564" s="167" t="str">
        <x:v>General</x:v>
      </x:c>
      <x:c r="H564" s="167" t="str">
        <x:v>Not Started</x:v>
      </x:c>
      <x:c r="I564" s="167" t="n">
        <x:v>0</x:v>
      </x:c>
      <x:c r="J564" s="168"/>
      <x:c r="K564" s="168" t="str">
        <x:f>IF(OR(H564="Mastered",J564=""),"",J564+IF(I564&gt;=5,30,IF(I564=4,14,IF(I564=3,7,IF(I564=2,3,1)))))</x:f>
      </x:c>
      <x:c r="L564" s="171" t="str"/>
      <x:c r="M564" s="171" t="str"/>
      <x:c r="N564" s="171" t="str">
        <x:v>Draft — verify in context</x:v>
      </x:c>
      <x:c r="O564" s="167" t="str">
        <x:v>https://www.wgtn.ac.nz/lals/resources/academicwordlist</x:v>
      </x:c>
    </x:row>
    <x:row r="565" ht="26" customHeight="1">
      <x:c r="A565" s="167" t="n">
        <x:v>564</x:v>
      </x:c>
      <x:c r="B565" s="167" t="str">
        <x:v>persistent</x:v>
      </x:c>
      <x:c r="C565" s="170" t="str">
        <x:v>наполегливий</x:v>
      </x:c>
      <x:c r="D565" s="167" t="n">
        <x:v>10</x:v>
      </x:c>
      <x:c r="E565" s="167" t="str">
        <x:v>Yes</x:v>
      </x:c>
      <x:c r="F565" s="167" t="str">
        <x:v>Medium</x:v>
      </x:c>
      <x:c r="G565" s="167" t="str">
        <x:v>General</x:v>
      </x:c>
      <x:c r="H565" s="167" t="str">
        <x:v>Not Started</x:v>
      </x:c>
      <x:c r="I565" s="167" t="n">
        <x:v>0</x:v>
      </x:c>
      <x:c r="J565" s="168"/>
      <x:c r="K565" s="168" t="str">
        <x:f>IF(OR(H565="Mastered",J565=""),"",J565+IF(I565&gt;=5,30,IF(I565=4,14,IF(I565=3,7,IF(I565=2,3,1)))))</x:f>
      </x:c>
      <x:c r="L565" s="171" t="str"/>
      <x:c r="M565" s="171" t="str"/>
      <x:c r="N565" s="171" t="str">
        <x:v>Draft — verify in context</x:v>
      </x:c>
      <x:c r="O565" s="167" t="str">
        <x:v>https://www.wgtn.ac.nz/lals/resources/academicwordlist</x:v>
      </x:c>
    </x:row>
    <x:row r="566" ht="26" customHeight="1">
      <x:c r="A566" s="167" t="n">
        <x:v>565</x:v>
      </x:c>
      <x:c r="B566" s="167" t="str">
        <x:v>posed</x:v>
      </x:c>
      <x:c r="C566" s="170" t="str">
        <x:v>позували</x:v>
      </x:c>
      <x:c r="D566" s="167" t="n">
        <x:v>10</x:v>
      </x:c>
      <x:c r="E566" s="167" t="str">
        <x:v>No</x:v>
      </x:c>
      <x:c r="F566" s="167" t="str">
        <x:v>Medium</x:v>
      </x:c>
      <x:c r="G566" s="167" t="str">
        <x:v>General</x:v>
      </x:c>
      <x:c r="H566" s="167" t="str">
        <x:v>Not Started</x:v>
      </x:c>
      <x:c r="I566" s="167" t="n">
        <x:v>0</x:v>
      </x:c>
      <x:c r="J566" s="168"/>
      <x:c r="K566" s="168" t="str">
        <x:f>IF(OR(H566="Mastered",J566=""),"",J566+IF(I566&gt;=5,30,IF(I566=4,14,IF(I566=3,7,IF(I566=2,3,1)))))</x:f>
      </x:c>
      <x:c r="L566" s="171" t="str"/>
      <x:c r="M566" s="171" t="str"/>
      <x:c r="N566" s="171" t="str">
        <x:v>Draft — verify in context</x:v>
      </x:c>
      <x:c r="O566" s="167" t="str">
        <x:v>https://www.wgtn.ac.nz/lals/resources/academicwordlist</x:v>
      </x:c>
    </x:row>
    <x:row r="567" ht="26" customHeight="1">
      <x:c r="A567" s="167" t="n">
        <x:v>566</x:v>
      </x:c>
      <x:c r="B567" s="167" t="str">
        <x:v>reluctant</x:v>
      </x:c>
      <x:c r="C567" s="170" t="str">
        <x:v>неохоче</x:v>
      </x:c>
      <x:c r="D567" s="167" t="n">
        <x:v>10</x:v>
      </x:c>
      <x:c r="E567" s="167" t="str">
        <x:v>Yes</x:v>
      </x:c>
      <x:c r="F567" s="167" t="str">
        <x:v>Medium</x:v>
      </x:c>
      <x:c r="G567" s="167" t="str">
        <x:v>General</x:v>
      </x:c>
      <x:c r="H567" s="167" t="str">
        <x:v>Not Started</x:v>
      </x:c>
      <x:c r="I567" s="167" t="n">
        <x:v>0</x:v>
      </x:c>
      <x:c r="J567" s="168"/>
      <x:c r="K567" s="168" t="str">
        <x:f>IF(OR(H567="Mastered",J567=""),"",J567+IF(I567&gt;=5,30,IF(I567=4,14,IF(I567=3,7,IF(I567=2,3,1)))))</x:f>
      </x:c>
      <x:c r="L567" s="171" t="str"/>
      <x:c r="M567" s="171" t="str"/>
      <x:c r="N567" s="171" t="str">
        <x:v>Draft — verify in context</x:v>
      </x:c>
      <x:c r="O567" s="167" t="str">
        <x:v>https://www.wgtn.ac.nz/lals/resources/academicwordlist</x:v>
      </x:c>
    </x:row>
    <x:row r="568" ht="26" customHeight="1">
      <x:c r="A568" s="167" t="n">
        <x:v>567</x:v>
      </x:c>
      <x:c r="B568" s="167" t="str">
        <x:v>so-called</x:v>
      </x:c>
      <x:c r="C568" s="170" t="str">
        <x:v>т. зв</x:v>
      </x:c>
      <x:c r="D568" s="167" t="n">
        <x:v>10</x:v>
      </x:c>
      <x:c r="E568" s="167" t="str">
        <x:v>No</x:v>
      </x:c>
      <x:c r="F568" s="167" t="str">
        <x:v>Medium</x:v>
      </x:c>
      <x:c r="G568" s="167" t="str">
        <x:v>General</x:v>
      </x:c>
      <x:c r="H568" s="167" t="str">
        <x:v>Not Started</x:v>
      </x:c>
      <x:c r="I568" s="167" t="n">
        <x:v>0</x:v>
      </x:c>
      <x:c r="J568" s="168"/>
      <x:c r="K568" s="168" t="str">
        <x:f>IF(OR(H568="Mastered",J568=""),"",J568+IF(I568&gt;=5,30,IF(I568=4,14,IF(I568=3,7,IF(I568=2,3,1)))))</x:f>
      </x:c>
      <x:c r="L568" s="171" t="str"/>
      <x:c r="M568" s="171" t="str"/>
      <x:c r="N568" s="171" t="str">
        <x:v>Draft — verify in context</x:v>
      </x:c>
      <x:c r="O568" s="167" t="str">
        <x:v>https://www.wgtn.ac.nz/lals/resources/academicwordlist</x:v>
      </x:c>
    </x:row>
    <x:row r="569" ht="26" customHeight="1">
      <x:c r="A569" s="167" t="n">
        <x:v>568</x:v>
      </x:c>
      <x:c r="B569" s="167" t="str">
        <x:v>straightforward</x:v>
      </x:c>
      <x:c r="C569" s="170" t="str">
        <x:v>прямолінійний</x:v>
      </x:c>
      <x:c r="D569" s="167" t="n">
        <x:v>10</x:v>
      </x:c>
      <x:c r="E569" s="167" t="str">
        <x:v>Yes</x:v>
      </x:c>
      <x:c r="F569" s="167" t="str">
        <x:v>Medium</x:v>
      </x:c>
      <x:c r="G569" s="167" t="str">
        <x:v>General</x:v>
      </x:c>
      <x:c r="H569" s="167" t="str">
        <x:v>Not Started</x:v>
      </x:c>
      <x:c r="I569" s="167" t="n">
        <x:v>0</x:v>
      </x:c>
      <x:c r="J569" s="168"/>
      <x:c r="K569" s="168" t="str">
        <x:f>IF(OR(H569="Mastered",J569=""),"",J569+IF(I569&gt;=5,30,IF(I569=4,14,IF(I569=3,7,IF(I569=2,3,1)))))</x:f>
      </x:c>
      <x:c r="L569" s="171" t="str"/>
      <x:c r="M569" s="171" t="str"/>
      <x:c r="N569" s="171" t="str">
        <x:v>Draft — verify in context</x:v>
      </x:c>
      <x:c r="O569" s="167" t="str">
        <x:v>https://www.wgtn.ac.nz/lals/resources/academicwordlist</x:v>
      </x:c>
    </x:row>
    <x:row r="570" ht="26" customHeight="1">
      <x:c r="A570" s="167" t="n">
        <x:v>569</x:v>
      </x:c>
      <x:c r="B570" s="167" t="str">
        <x:v>undergo</x:v>
      </x:c>
      <x:c r="C570" s="170" t="str">
        <x:v>пройти</x:v>
      </x:c>
      <x:c r="D570" s="167" t="n">
        <x:v>10</x:v>
      </x:c>
      <x:c r="E570" s="167" t="str">
        <x:v>No</x:v>
      </x:c>
      <x:c r="F570" s="167" t="str">
        <x:v>Medium</x:v>
      </x:c>
      <x:c r="G570" s="167" t="str">
        <x:v>General</x:v>
      </x:c>
      <x:c r="H570" s="167" t="str">
        <x:v>Not Started</x:v>
      </x:c>
      <x:c r="I570" s="167" t="n">
        <x:v>0</x:v>
      </x:c>
      <x:c r="J570" s="168"/>
      <x:c r="K570" s="168" t="str">
        <x:f>IF(OR(H570="Mastered",J570=""),"",J570+IF(I570&gt;=5,30,IF(I570=4,14,IF(I570=3,7,IF(I570=2,3,1)))))</x:f>
      </x:c>
      <x:c r="L570" s="171" t="str"/>
      <x:c r="M570" s="171" t="str"/>
      <x:c r="N570" s="171" t="str">
        <x:v>Draft — verify in context</x:v>
      </x:c>
      <x:c r="O570" s="167" t="str">
        <x:v>https://www.wgtn.ac.nz/lals/resources/academicwordlist</x:v>
      </x:c>
    </x:row>
    <x:row r="571" ht="26" customHeight="1">
      <x:c r="A571" s="167" t="n">
        <x:v>570</x:v>
      </x:c>
      <x:c r="B571" s="167" t="str">
        <x:v>whereby</x:v>
      </x:c>
      <x:c r="C571" s="170" t="str">
        <x:v>за допомогою чого</x:v>
      </x:c>
      <x:c r="D571" s="167" t="n">
        <x:v>10</x:v>
      </x:c>
      <x:c r="E571" s="167" t="str">
        <x:v>Yes</x:v>
      </x:c>
      <x:c r="F571" s="167" t="str">
        <x:v>Medium</x:v>
      </x:c>
      <x:c r="G571" s="167" t="str">
        <x:v>General</x:v>
      </x:c>
      <x:c r="H571" s="167" t="str">
        <x:v>Not Started</x:v>
      </x:c>
      <x:c r="I571" s="167" t="n">
        <x:v>0</x:v>
      </x:c>
      <x:c r="J571" s="168"/>
      <x:c r="K571" s="168" t="str">
        <x:f>IF(OR(H571="Mastered",J571=""),"",J571+IF(I571&gt;=5,30,IF(I571=4,14,IF(I571=3,7,IF(I571=2,3,1)))))</x:f>
      </x:c>
      <x:c r="L571" s="171" t="str"/>
      <x:c r="M571" s="171" t="str"/>
      <x:c r="N571" s="171" t="str">
        <x:v>Draft — verify in context</x:v>
      </x:c>
      <x:c r="O571" s="167" t="str">
        <x:v>https://www.wgtn.ac.nz/lals/resources/academicwordlist</x:v>
      </x:c>
    </x:row>
  </x:sheetData>
  <x:conditionalFormatting sqref="H2:H571">
    <x:cfRule type="containsText" dxfId="4" priority="1" operator="containsText" text="Mastered"/>
    <x:cfRule type="containsText" dxfId="5" priority="2" operator="containsText" text="In Progress"/>
    <x:cfRule type="containsText" dxfId="6" priority="3" operator="containsText" text="Needs Review"/>
  </x:conditionalFormatting>
  <x:conditionalFormatting sqref="F2:F571">
    <x:cfRule type="containsText" dxfId="7" priority="4" operator="containsText" text="High"/>
  </x:conditionalFormatting>
  <x:dataValidations count="3">
    <x:dataValidation type="list" sqref="H2:H571">
      <x:formula1>"Not Started,In Progress,Needs Review,Mastered"</x:formula1>
    </x:dataValidation>
    <x:dataValidation type="whole" operator="between" sqref="I2:I571">
      <x:formula1>0</x:formula1>
      <x:formula2>5</x:formula2>
    </x:dataValidation>
    <x:dataValidation type="list" sqref="N2:N571">
      <x:formula1>"Draft — verify in context,Learner checked,Tutor checked"</x:formula1>
    </x:dataValidation>
  </x:dataValidations>
  <x:pageMargins left="0.7" right="0.7" top="0.75" bottom="0.75" header="0.3" footer="0.3"/>
  <x:tableParts count="1">
    <x:tablePart xmlns:r="http://schemas.openxmlformats.org/officeDocument/2006/relationships" r:id="R082d10e3adf34e8a"/>
  </x:tableParts>
</x:worksheet>
</file>

<file path=xl/worksheets/sheet5.xml><?xml version="1.0" encoding="utf-8"?>
<x:worksheet xmlns:x="http://schemas.openxmlformats.org/spreadsheetml/2006/main">
  <x:sheetViews>
    <x:sheetView showGridLines="0" workbookViewId="0"/>
  </x:sheetViews>
  <x:sheetFormatPr defaultRowHeight="15"/>
  <x:cols>
    <x:col min="1" max="1" width="9" hidden="0" customWidth="1"/>
    <x:col min="2" max="2" width="13" hidden="0" customWidth="1"/>
    <x:col min="3" max="3" width="20" hidden="0" customWidth="1"/>
    <x:col min="4" max="4" width="15" hidden="0" customWidth="1"/>
    <x:col min="5" max="5" width="34" hidden="0" customWidth="1"/>
    <x:col min="6" max="6" width="19" hidden="0" customWidth="1"/>
    <x:col min="7" max="7" width="23" hidden="0" customWidth="1"/>
    <x:col min="8" max="8" width="28" hidden="0" customWidth="1"/>
    <x:col min="9" max="9" width="40" hidden="0" customWidth="1"/>
    <x:col min="10" max="10" width="11" hidden="0" customWidth="1"/>
  </x:cols>
  <x:sheetData>
    <x:row r="1" ht="34" customHeight="1">
      <x:c r="A1" s="3" t="str">
        <x:v>Starter 100</x:v>
      </x:c>
      <x:c r="B1" s="3" t="str">
        <x:v>Starter 100</x:v>
      </x:c>
      <x:c r="C1" s="3" t="str">
        <x:v>Starter 100</x:v>
      </x:c>
      <x:c r="D1" s="3" t="str">
        <x:v>Starter 100</x:v>
      </x:c>
      <x:c r="E1" s="3" t="str">
        <x:v>Starter 100</x:v>
      </x:c>
      <x:c r="F1" s="3" t="str">
        <x:v>Starter 100</x:v>
      </x:c>
      <x:c r="G1" s="3" t="str">
        <x:v>Starter 100</x:v>
      </x:c>
      <x:c r="H1" s="3" t="str">
        <x:v>Starter 100</x:v>
      </x:c>
      <x:c r="I1" s="3" t="str">
        <x:v>Starter 100</x:v>
      </x:c>
      <x:c r="J1" s="3" t="str">
        <x:v>Starter 100</x:v>
      </x:c>
    </x:row>
    <x:row r="2" ht="28" customHeight="1">
      <x:c r="A2" s="6" t="str">
        <x:v>First active-use set: 60 AWL Sublist 1 families plus 40 IELTS-priority Oxford C1 entries</x:v>
      </x:c>
      <x:c r="B2" s="6" t="str">
        <x:v>First active-use set: 60 AWL Sublist 1 families plus 40 IELTS-priority Oxford C1 entries</x:v>
      </x:c>
      <x:c r="C2" s="6" t="str">
        <x:v>First active-use set: 60 AWL Sublist 1 families plus 40 IELTS-priority Oxford C1 entries</x:v>
      </x:c>
      <x:c r="D2" s="6" t="str">
        <x:v>First active-use set: 60 AWL Sublist 1 families plus 40 IELTS-priority Oxford C1 entries</x:v>
      </x:c>
      <x:c r="E2" s="6" t="str">
        <x:v>First active-use set: 60 AWL Sublist 1 families plus 40 IELTS-priority Oxford C1 entries</x:v>
      </x:c>
      <x:c r="F2" s="6" t="str">
        <x:v>First active-use set: 60 AWL Sublist 1 families plus 40 IELTS-priority Oxford C1 entries</x:v>
      </x:c>
      <x:c r="G2" s="6" t="str">
        <x:v>First active-use set: 60 AWL Sublist 1 families plus 40 IELTS-priority Oxford C1 entries</x:v>
      </x:c>
      <x:c r="H2" s="6" t="str">
        <x:v>First active-use set: 60 AWL Sublist 1 families plus 40 IELTS-priority Oxford C1 entries</x:v>
      </x:c>
      <x:c r="I2" s="6" t="str">
        <x:v>First active-use set: 60 AWL Sublist 1 families plus 40 IELTS-priority Oxford C1 entries</x:v>
      </x:c>
      <x:c r="J2" s="6" t="str">
        <x:v>First active-use set: 60 AWL Sublist 1 families plus 40 IELTS-priority Oxford C1 entries</x:v>
      </x:c>
    </x:row>
    <x:row r="4" ht="32" customHeight="1">
      <x:c r="A4" s="35" t="str">
        <x:v>Sequence</x:v>
      </x:c>
      <x:c r="B4" s="36" t="str">
        <x:v>Source</x:v>
      </x:c>
      <x:c r="C4" s="36" t="str">
        <x:v>Headword</x:v>
      </x:c>
      <x:c r="D4" s="36" t="str">
        <x:v>Part of Speech</x:v>
      </x:c>
      <x:c r="E4" s="36" t="str">
        <x:v>Ukrainian</x:v>
      </x:c>
      <x:c r="F4" s="36" t="str">
        <x:v>Topic</x:v>
      </x:c>
      <x:c r="G4" s="36" t="str">
        <x:v>Recall English</x:v>
      </x:c>
      <x:c r="H4" s="36" t="str">
        <x:v>Natural Collocation</x:v>
      </x:c>
      <x:c r="I4" s="36" t="str">
        <x:v>Original IELTS Sentence</x:v>
      </x:c>
      <x:c r="J4" s="37" t="str">
        <x:v>Checked</x:v>
      </x:c>
    </x:row>
    <x:row r="5" ht="28" customHeight="1">
      <x:c r="A5" t="n">
        <x:v>1</x:v>
      </x:c>
      <x:c r="B5" t="str">
        <x:v>AWL 1</x:v>
      </x:c>
      <x:c r="C5" t="str">
        <x:v>analysis</x:v>
      </x:c>
      <x:c r="D5" t="str">
        <x:v>word family</x:v>
      </x:c>
      <x:c r="E5" s="172" t="str">
        <x:v>аналіз</x:v>
      </x:c>
      <x:c r="F5" t="str">
        <x:v>General</x:v>
      </x:c>
      <x:c r="G5" s="174" t="str"/>
      <x:c r="H5" s="174" t="str"/>
      <x:c r="I5" s="174" t="str"/>
      <x:c r="J5" t="str">
        <x:v>No</x:v>
      </x:c>
    </x:row>
    <x:row r="6" ht="28" customHeight="1">
      <x:c r="A6" t="n">
        <x:v>2</x:v>
      </x:c>
      <x:c r="B6" t="str">
        <x:v>AWL 1</x:v>
      </x:c>
      <x:c r="C6" t="str">
        <x:v>approach</x:v>
      </x:c>
      <x:c r="D6" t="str">
        <x:v>word family</x:v>
      </x:c>
      <x:c r="E6" s="172" t="str">
        <x:v>підхід; метод</x:v>
      </x:c>
      <x:c r="F6" t="str">
        <x:v>General</x:v>
      </x:c>
      <x:c r="G6" s="174" t="str"/>
      <x:c r="H6" s="174" t="str"/>
      <x:c r="I6" s="174" t="str"/>
      <x:c r="J6" t="str">
        <x:v>No</x:v>
      </x:c>
    </x:row>
    <x:row r="7" ht="28" customHeight="1">
      <x:c r="A7" t="n">
        <x:v>3</x:v>
      </x:c>
      <x:c r="B7" t="str">
        <x:v>AWL 1</x:v>
      </x:c>
      <x:c r="C7" t="str">
        <x:v>area</x:v>
      </x:c>
      <x:c r="D7" t="str">
        <x:v>word family</x:v>
      </x:c>
      <x:c r="E7" s="172" t="str">
        <x:v>галузь; сфера; область</x:v>
      </x:c>
      <x:c r="F7" t="str">
        <x:v>General</x:v>
      </x:c>
      <x:c r="G7" s="174" t="str"/>
      <x:c r="H7" s="174" t="str"/>
      <x:c r="I7" s="174" t="str"/>
      <x:c r="J7" t="str">
        <x:v>No</x:v>
      </x:c>
    </x:row>
    <x:row r="8" ht="28" customHeight="1">
      <x:c r="A8" t="n">
        <x:v>4</x:v>
      </x:c>
      <x:c r="B8" t="str">
        <x:v>AWL 1</x:v>
      </x:c>
      <x:c r="C8" t="str">
        <x:v>assessment</x:v>
      </x:c>
      <x:c r="D8" t="str">
        <x:v>word family</x:v>
      </x:c>
      <x:c r="E8" s="172" t="str">
        <x:v>оцінювання; оцінка</x:v>
      </x:c>
      <x:c r="F8" t="str">
        <x:v>General</x:v>
      </x:c>
      <x:c r="G8" s="174" t="str"/>
      <x:c r="H8" s="174" t="str"/>
      <x:c r="I8" s="174" t="str"/>
      <x:c r="J8" t="str">
        <x:v>No</x:v>
      </x:c>
    </x:row>
    <x:row r="9" ht="28" customHeight="1">
      <x:c r="A9" t="n">
        <x:v>5</x:v>
      </x:c>
      <x:c r="B9" t="str">
        <x:v>AWL 1</x:v>
      </x:c>
      <x:c r="C9" t="str">
        <x:v>assume</x:v>
      </x:c>
      <x:c r="D9" t="str">
        <x:v>word family</x:v>
      </x:c>
      <x:c r="E9" s="172" t="str">
        <x:v>припускати; брати на себе</x:v>
      </x:c>
      <x:c r="F9" t="str">
        <x:v>General</x:v>
      </x:c>
      <x:c r="G9" s="174" t="str"/>
      <x:c r="H9" s="174" t="str"/>
      <x:c r="I9" s="174" t="str"/>
      <x:c r="J9" t="str">
        <x:v>No</x:v>
      </x:c>
    </x:row>
    <x:row r="10" ht="28" customHeight="1">
      <x:c r="A10" t="n">
        <x:v>6</x:v>
      </x:c>
      <x:c r="B10" t="str">
        <x:v>AWL 1</x:v>
      </x:c>
      <x:c r="C10" t="str">
        <x:v>authority</x:v>
      </x:c>
      <x:c r="D10" t="str">
        <x:v>word family</x:v>
      </x:c>
      <x:c r="E10" s="172" t="str">
        <x:v>орган влади; повноваження; авторитет</x:v>
      </x:c>
      <x:c r="F10" t="str">
        <x:v>General</x:v>
      </x:c>
      <x:c r="G10" s="174" t="str"/>
      <x:c r="H10" s="174" t="str"/>
      <x:c r="I10" s="174" t="str"/>
      <x:c r="J10" t="str">
        <x:v>No</x:v>
      </x:c>
    </x:row>
    <x:row r="11" ht="28" customHeight="1">
      <x:c r="A11" t="n">
        <x:v>7</x:v>
      </x:c>
      <x:c r="B11" t="str">
        <x:v>AWL 1</x:v>
      </x:c>
      <x:c r="C11" t="str">
        <x:v>available</x:v>
      </x:c>
      <x:c r="D11" t="str">
        <x:v>word family</x:v>
      </x:c>
      <x:c r="E11" s="172" t="str">
        <x:v>доступний; наявний</x:v>
      </x:c>
      <x:c r="F11" t="str">
        <x:v>General</x:v>
      </x:c>
      <x:c r="G11" s="174" t="str"/>
      <x:c r="H11" s="174" t="str"/>
      <x:c r="I11" s="174" t="str"/>
      <x:c r="J11" t="str">
        <x:v>No</x:v>
      </x:c>
    </x:row>
    <x:row r="12" ht="28" customHeight="1">
      <x:c r="A12" t="n">
        <x:v>8</x:v>
      </x:c>
      <x:c r="B12" t="str">
        <x:v>AWL 1</x:v>
      </x:c>
      <x:c r="C12" t="str">
        <x:v>benefit</x:v>
      </x:c>
      <x:c r="D12" t="str">
        <x:v>word family</x:v>
      </x:c>
      <x:c r="E12" s="172" t="str">
        <x:v>користь; перевага; приносити користь</x:v>
      </x:c>
      <x:c r="F12" t="str">
        <x:v>General</x:v>
      </x:c>
      <x:c r="G12" s="174" t="str"/>
      <x:c r="H12" s="174" t="str"/>
      <x:c r="I12" s="174" t="str"/>
      <x:c r="J12" t="str">
        <x:v>No</x:v>
      </x:c>
    </x:row>
    <x:row r="13" ht="28" customHeight="1">
      <x:c r="A13" t="n">
        <x:v>9</x:v>
      </x:c>
      <x:c r="B13" t="str">
        <x:v>AWL 1</x:v>
      </x:c>
      <x:c r="C13" t="str">
        <x:v>concept</x:v>
      </x:c>
      <x:c r="D13" t="str">
        <x:v>word family</x:v>
      </x:c>
      <x:c r="E13" s="172" t="str">
        <x:v>поняття; концепція</x:v>
      </x:c>
      <x:c r="F13" t="str">
        <x:v>General</x:v>
      </x:c>
      <x:c r="G13" s="174" t="str"/>
      <x:c r="H13" s="174" t="str"/>
      <x:c r="I13" s="174" t="str"/>
      <x:c r="J13" t="str">
        <x:v>No</x:v>
      </x:c>
    </x:row>
    <x:row r="14" ht="28" customHeight="1">
      <x:c r="A14" t="n">
        <x:v>10</x:v>
      </x:c>
      <x:c r="B14" t="str">
        <x:v>AWL 1</x:v>
      </x:c>
      <x:c r="C14" t="str">
        <x:v>consistent</x:v>
      </x:c>
      <x:c r="D14" t="str">
        <x:v>word family</x:v>
      </x:c>
      <x:c r="E14" s="172" t="str">
        <x:v>послідовний; узгоджений; сталий</x:v>
      </x:c>
      <x:c r="F14" t="str">
        <x:v>General</x:v>
      </x:c>
      <x:c r="G14" s="174" t="str"/>
      <x:c r="H14" s="174" t="str"/>
      <x:c r="I14" s="174" t="str"/>
      <x:c r="J14" t="str">
        <x:v>No</x:v>
      </x:c>
    </x:row>
    <x:row r="15" ht="28" customHeight="1">
      <x:c r="A15" t="n">
        <x:v>11</x:v>
      </x:c>
      <x:c r="B15" t="str">
        <x:v>AWL 1</x:v>
      </x:c>
      <x:c r="C15" t="str">
        <x:v>constitutional</x:v>
      </x:c>
      <x:c r="D15" t="str">
        <x:v>word family</x:v>
      </x:c>
      <x:c r="E15" s="172" t="str">
        <x:v>конституційний</x:v>
      </x:c>
      <x:c r="F15" t="str">
        <x:v>Government &amp; law</x:v>
      </x:c>
      <x:c r="G15" s="174" t="str"/>
      <x:c r="H15" s="174" t="str"/>
      <x:c r="I15" s="174" t="str"/>
      <x:c r="J15" t="str">
        <x:v>No</x:v>
      </x:c>
    </x:row>
    <x:row r="16" ht="28" customHeight="1">
      <x:c r="A16" t="n">
        <x:v>12</x:v>
      </x:c>
      <x:c r="B16" t="str">
        <x:v>AWL 1</x:v>
      </x:c>
      <x:c r="C16" t="str">
        <x:v>context</x:v>
      </x:c>
      <x:c r="D16" t="str">
        <x:v>word family</x:v>
      </x:c>
      <x:c r="E16" s="172" t="str">
        <x:v>контекст</x:v>
      </x:c>
      <x:c r="F16" t="str">
        <x:v>General</x:v>
      </x:c>
      <x:c r="G16" s="174" t="str"/>
      <x:c r="H16" s="174" t="str"/>
      <x:c r="I16" s="174" t="str"/>
      <x:c r="J16" t="str">
        <x:v>No</x:v>
      </x:c>
    </x:row>
    <x:row r="17" ht="28" customHeight="1">
      <x:c r="A17" t="n">
        <x:v>13</x:v>
      </x:c>
      <x:c r="B17" t="str">
        <x:v>AWL 1</x:v>
      </x:c>
      <x:c r="C17" t="str">
        <x:v>contract</x:v>
      </x:c>
      <x:c r="D17" t="str">
        <x:v>word family</x:v>
      </x:c>
      <x:c r="E17" s="172" t="str">
        <x:v>договір; укладати контракт; скорочуватися</x:v>
      </x:c>
      <x:c r="F17" t="str">
        <x:v>General</x:v>
      </x:c>
      <x:c r="G17" s="174" t="str"/>
      <x:c r="H17" s="174" t="str"/>
      <x:c r="I17" s="174" t="str"/>
      <x:c r="J17" t="str">
        <x:v>No</x:v>
      </x:c>
    </x:row>
    <x:row r="18" ht="28" customHeight="1">
      <x:c r="A18" t="n">
        <x:v>14</x:v>
      </x:c>
      <x:c r="B18" t="str">
        <x:v>AWL 1</x:v>
      </x:c>
      <x:c r="C18" t="str">
        <x:v>create</x:v>
      </x:c>
      <x:c r="D18" t="str">
        <x:v>word family</x:v>
      </x:c>
      <x:c r="E18" s="172" t="str">
        <x:v>створювати</x:v>
      </x:c>
      <x:c r="F18" t="str">
        <x:v>General</x:v>
      </x:c>
      <x:c r="G18" s="174" t="str"/>
      <x:c r="H18" s="174" t="str"/>
      <x:c r="I18" s="174" t="str"/>
      <x:c r="J18" t="str">
        <x:v>No</x:v>
      </x:c>
    </x:row>
    <x:row r="19" ht="28" customHeight="1">
      <x:c r="A19" t="n">
        <x:v>15</x:v>
      </x:c>
      <x:c r="B19" t="str">
        <x:v>AWL 1</x:v>
      </x:c>
      <x:c r="C19" t="str">
        <x:v>data</x:v>
      </x:c>
      <x:c r="D19" t="str">
        <x:v>word family</x:v>
      </x:c>
      <x:c r="E19" s="172" t="str">
        <x:v>дані</x:v>
      </x:c>
      <x:c r="F19" t="str">
        <x:v>General</x:v>
      </x:c>
      <x:c r="G19" s="174" t="str"/>
      <x:c r="H19" s="174" t="str"/>
      <x:c r="I19" s="174" t="str"/>
      <x:c r="J19" t="str">
        <x:v>No</x:v>
      </x:c>
    </x:row>
    <x:row r="20" ht="28" customHeight="1">
      <x:c r="A20" t="n">
        <x:v>16</x:v>
      </x:c>
      <x:c r="B20" t="str">
        <x:v>AWL 1</x:v>
      </x:c>
      <x:c r="C20" t="str">
        <x:v>definition</x:v>
      </x:c>
      <x:c r="D20" t="str">
        <x:v>word family</x:v>
      </x:c>
      <x:c r="E20" s="172" t="str">
        <x:v>визначення</x:v>
      </x:c>
      <x:c r="F20" t="str">
        <x:v>General</x:v>
      </x:c>
      <x:c r="G20" s="174" t="str"/>
      <x:c r="H20" s="174" t="str"/>
      <x:c r="I20" s="174" t="str"/>
      <x:c r="J20" t="str">
        <x:v>No</x:v>
      </x:c>
    </x:row>
    <x:row r="21" ht="28" customHeight="1">
      <x:c r="A21" t="n">
        <x:v>17</x:v>
      </x:c>
      <x:c r="B21" t="str">
        <x:v>AWL 1</x:v>
      </x:c>
      <x:c r="C21" t="str">
        <x:v>derived</x:v>
      </x:c>
      <x:c r="D21" t="str">
        <x:v>word family</x:v>
      </x:c>
      <x:c r="E21" s="172" t="str">
        <x:v>похідний; отриманий</x:v>
      </x:c>
      <x:c r="F21" t="str">
        <x:v>General</x:v>
      </x:c>
      <x:c r="G21" s="174" t="str"/>
      <x:c r="H21" s="174" t="str"/>
      <x:c r="I21" s="174" t="str"/>
      <x:c r="J21" t="str">
        <x:v>No</x:v>
      </x:c>
    </x:row>
    <x:row r="22" ht="28" customHeight="1">
      <x:c r="A22" t="n">
        <x:v>18</x:v>
      </x:c>
      <x:c r="B22" t="str">
        <x:v>AWL 1</x:v>
      </x:c>
      <x:c r="C22" t="str">
        <x:v>distribution</x:v>
      </x:c>
      <x:c r="D22" t="str">
        <x:v>word family</x:v>
      </x:c>
      <x:c r="E22" s="172" t="str">
        <x:v>розподіл; поширення</x:v>
      </x:c>
      <x:c r="F22" t="str">
        <x:v>General</x:v>
      </x:c>
      <x:c r="G22" s="174" t="str"/>
      <x:c r="H22" s="174" t="str"/>
      <x:c r="I22" s="174" t="str"/>
      <x:c r="J22" t="str">
        <x:v>No</x:v>
      </x:c>
    </x:row>
    <x:row r="23" ht="28" customHeight="1">
      <x:c r="A23" t="n">
        <x:v>19</x:v>
      </x:c>
      <x:c r="B23" t="str">
        <x:v>AWL 1</x:v>
      </x:c>
      <x:c r="C23" t="str">
        <x:v>economic</x:v>
      </x:c>
      <x:c r="D23" t="str">
        <x:v>word family</x:v>
      </x:c>
      <x:c r="E23" s="172" t="str">
        <x:v>економічний</x:v>
      </x:c>
      <x:c r="F23" t="str">
        <x:v>General</x:v>
      </x:c>
      <x:c r="G23" s="174" t="str"/>
      <x:c r="H23" s="174" t="str"/>
      <x:c r="I23" s="174" t="str"/>
      <x:c r="J23" t="str">
        <x:v>No</x:v>
      </x:c>
    </x:row>
    <x:row r="24" ht="28" customHeight="1">
      <x:c r="A24" t="n">
        <x:v>20</x:v>
      </x:c>
      <x:c r="B24" t="str">
        <x:v>AWL 1</x:v>
      </x:c>
      <x:c r="C24" t="str">
        <x:v>environment</x:v>
      </x:c>
      <x:c r="D24" t="str">
        <x:v>word family</x:v>
      </x:c>
      <x:c r="E24" s="172" t="str">
        <x:v>довкілля; середовище</x:v>
      </x:c>
      <x:c r="F24" t="str">
        <x:v>General</x:v>
      </x:c>
      <x:c r="G24" s="174" t="str"/>
      <x:c r="H24" s="174" t="str"/>
      <x:c r="I24" s="174" t="str"/>
      <x:c r="J24" t="str">
        <x:v>No</x:v>
      </x:c>
    </x:row>
    <x:row r="25" ht="28" customHeight="1">
      <x:c r="A25" t="n">
        <x:v>21</x:v>
      </x:c>
      <x:c r="B25" t="str">
        <x:v>AWL 1</x:v>
      </x:c>
      <x:c r="C25" t="str">
        <x:v>established</x:v>
      </x:c>
      <x:c r="D25" t="str">
        <x:v>word family</x:v>
      </x:c>
      <x:c r="E25" s="172" t="str">
        <x:v>встановлений; усталений</x:v>
      </x:c>
      <x:c r="F25" t="str">
        <x:v>General</x:v>
      </x:c>
      <x:c r="G25" s="174" t="str"/>
      <x:c r="H25" s="174" t="str"/>
      <x:c r="I25" s="174" t="str"/>
      <x:c r="J25" t="str">
        <x:v>No</x:v>
      </x:c>
    </x:row>
    <x:row r="26" ht="28" customHeight="1">
      <x:c r="A26" t="n">
        <x:v>22</x:v>
      </x:c>
      <x:c r="B26" t="str">
        <x:v>AWL 1</x:v>
      </x:c>
      <x:c r="C26" t="str">
        <x:v>estimate</x:v>
      </x:c>
      <x:c r="D26" t="str">
        <x:v>word family</x:v>
      </x:c>
      <x:c r="E26" s="172" t="str">
        <x:v>оцінка; оцінювати</x:v>
      </x:c>
      <x:c r="F26" t="str">
        <x:v>General</x:v>
      </x:c>
      <x:c r="G26" s="174" t="str"/>
      <x:c r="H26" s="174" t="str"/>
      <x:c r="I26" s="174" t="str"/>
      <x:c r="J26" t="str">
        <x:v>No</x:v>
      </x:c>
    </x:row>
    <x:row r="27" ht="28" customHeight="1">
      <x:c r="A27" t="n">
        <x:v>23</x:v>
      </x:c>
      <x:c r="B27" t="str">
        <x:v>AWL 1</x:v>
      </x:c>
      <x:c r="C27" t="str">
        <x:v>evidence</x:v>
      </x:c>
      <x:c r="D27" t="str">
        <x:v>word family</x:v>
      </x:c>
      <x:c r="E27" s="172" t="str">
        <x:v>докази; свідчення</x:v>
      </x:c>
      <x:c r="F27" t="str">
        <x:v>General</x:v>
      </x:c>
      <x:c r="G27" s="174" t="str"/>
      <x:c r="H27" s="174" t="str"/>
      <x:c r="I27" s="174" t="str"/>
      <x:c r="J27" t="str">
        <x:v>No</x:v>
      </x:c>
    </x:row>
    <x:row r="28" ht="28" customHeight="1">
      <x:c r="A28" t="n">
        <x:v>24</x:v>
      </x:c>
      <x:c r="B28" t="str">
        <x:v>AWL 1</x:v>
      </x:c>
      <x:c r="C28" t="str">
        <x:v>export</x:v>
      </x:c>
      <x:c r="D28" t="str">
        <x:v>word family</x:v>
      </x:c>
      <x:c r="E28" s="172" t="str">
        <x:v>експорт; експортувати</x:v>
      </x:c>
      <x:c r="F28" t="str">
        <x:v>General</x:v>
      </x:c>
      <x:c r="G28" s="174" t="str"/>
      <x:c r="H28" s="174" t="str"/>
      <x:c r="I28" s="174" t="str"/>
      <x:c r="J28" t="str">
        <x:v>No</x:v>
      </x:c>
    </x:row>
    <x:row r="29" ht="28" customHeight="1">
      <x:c r="A29" t="n">
        <x:v>25</x:v>
      </x:c>
      <x:c r="B29" t="str">
        <x:v>AWL 1</x:v>
      </x:c>
      <x:c r="C29" t="str">
        <x:v>factors</x:v>
      </x:c>
      <x:c r="D29" t="str">
        <x:v>word family</x:v>
      </x:c>
      <x:c r="E29" s="172" t="str">
        <x:v>чинники; фактори</x:v>
      </x:c>
      <x:c r="F29" t="str">
        <x:v>General</x:v>
      </x:c>
      <x:c r="G29" s="174" t="str"/>
      <x:c r="H29" s="174" t="str"/>
      <x:c r="I29" s="174" t="str"/>
      <x:c r="J29" t="str">
        <x:v>No</x:v>
      </x:c>
    </x:row>
    <x:row r="30" ht="28" customHeight="1">
      <x:c r="A30" t="n">
        <x:v>26</x:v>
      </x:c>
      <x:c r="B30" t="str">
        <x:v>AWL 1</x:v>
      </x:c>
      <x:c r="C30" t="str">
        <x:v>financial</x:v>
      </x:c>
      <x:c r="D30" t="str">
        <x:v>word family</x:v>
      </x:c>
      <x:c r="E30" s="172" t="str">
        <x:v>фінансовий</x:v>
      </x:c>
      <x:c r="F30" t="str">
        <x:v>General</x:v>
      </x:c>
      <x:c r="G30" s="174" t="str"/>
      <x:c r="H30" s="174" t="str"/>
      <x:c r="I30" s="174" t="str"/>
      <x:c r="J30" t="str">
        <x:v>No</x:v>
      </x:c>
    </x:row>
    <x:row r="31" ht="28" customHeight="1">
      <x:c r="A31" t="n">
        <x:v>27</x:v>
      </x:c>
      <x:c r="B31" t="str">
        <x:v>AWL 1</x:v>
      </x:c>
      <x:c r="C31" t="str">
        <x:v>formula</x:v>
      </x:c>
      <x:c r="D31" t="str">
        <x:v>word family</x:v>
      </x:c>
      <x:c r="E31" s="172" t="str">
        <x:v>формула</x:v>
      </x:c>
      <x:c r="F31" t="str">
        <x:v>General</x:v>
      </x:c>
      <x:c r="G31" s="174" t="str"/>
      <x:c r="H31" s="174" t="str"/>
      <x:c r="I31" s="174" t="str"/>
      <x:c r="J31" t="str">
        <x:v>No</x:v>
      </x:c>
    </x:row>
    <x:row r="32" ht="28" customHeight="1">
      <x:c r="A32" t="n">
        <x:v>28</x:v>
      </x:c>
      <x:c r="B32" t="str">
        <x:v>AWL 1</x:v>
      </x:c>
      <x:c r="C32" t="str">
        <x:v>function</x:v>
      </x:c>
      <x:c r="D32" t="str">
        <x:v>word family</x:v>
      </x:c>
      <x:c r="E32" s="172" t="str">
        <x:v>функція; функціонувати</x:v>
      </x:c>
      <x:c r="F32" t="str">
        <x:v>General</x:v>
      </x:c>
      <x:c r="G32" s="174" t="str"/>
      <x:c r="H32" s="174" t="str"/>
      <x:c r="I32" s="174" t="str"/>
      <x:c r="J32" t="str">
        <x:v>No</x:v>
      </x:c>
    </x:row>
    <x:row r="33" ht="28" customHeight="1">
      <x:c r="A33" t="n">
        <x:v>29</x:v>
      </x:c>
      <x:c r="B33" t="str">
        <x:v>AWL 1</x:v>
      </x:c>
      <x:c r="C33" t="str">
        <x:v>identified</x:v>
      </x:c>
      <x:c r="D33" t="str">
        <x:v>word family</x:v>
      </x:c>
      <x:c r="E33" s="172" t="str">
        <x:v>визначений; ідентифікований</x:v>
      </x:c>
      <x:c r="F33" t="str">
        <x:v>General</x:v>
      </x:c>
      <x:c r="G33" s="174" t="str"/>
      <x:c r="H33" s="174" t="str"/>
      <x:c r="I33" s="174" t="str"/>
      <x:c r="J33" t="str">
        <x:v>No</x:v>
      </x:c>
    </x:row>
    <x:row r="34" ht="28" customHeight="1">
      <x:c r="A34" t="n">
        <x:v>30</x:v>
      </x:c>
      <x:c r="B34" t="str">
        <x:v>AWL 1</x:v>
      </x:c>
      <x:c r="C34" t="str">
        <x:v>income</x:v>
      </x:c>
      <x:c r="D34" t="str">
        <x:v>word family</x:v>
      </x:c>
      <x:c r="E34" s="172" t="str">
        <x:v>дохід</x:v>
      </x:c>
      <x:c r="F34" t="str">
        <x:v>General</x:v>
      </x:c>
      <x:c r="G34" s="174" t="str"/>
      <x:c r="H34" s="174" t="str"/>
      <x:c r="I34" s="174" t="str"/>
      <x:c r="J34" t="str">
        <x:v>No</x:v>
      </x:c>
    </x:row>
    <x:row r="35" ht="28" customHeight="1">
      <x:c r="A35" t="n">
        <x:v>31</x:v>
      </x:c>
      <x:c r="B35" t="str">
        <x:v>AWL 1</x:v>
      </x:c>
      <x:c r="C35" t="str">
        <x:v>indicate</x:v>
      </x:c>
      <x:c r="D35" t="str">
        <x:v>word family</x:v>
      </x:c>
      <x:c r="E35" s="172" t="str">
        <x:v>вказувати; свідчити</x:v>
      </x:c>
      <x:c r="F35" t="str">
        <x:v>General</x:v>
      </x:c>
      <x:c r="G35" s="174" t="str"/>
      <x:c r="H35" s="174" t="str"/>
      <x:c r="I35" s="174" t="str"/>
      <x:c r="J35" t="str">
        <x:v>No</x:v>
      </x:c>
    </x:row>
    <x:row r="36" ht="28" customHeight="1">
      <x:c r="A36" t="n">
        <x:v>32</x:v>
      </x:c>
      <x:c r="B36" t="str">
        <x:v>AWL 1</x:v>
      </x:c>
      <x:c r="C36" t="str">
        <x:v>individual</x:v>
      </x:c>
      <x:c r="D36" t="str">
        <x:v>word family</x:v>
      </x:c>
      <x:c r="E36" s="172" t="str">
        <x:v>окремий; індивідуальний; особа</x:v>
      </x:c>
      <x:c r="F36" t="str">
        <x:v>General</x:v>
      </x:c>
      <x:c r="G36" s="174" t="str"/>
      <x:c r="H36" s="174" t="str"/>
      <x:c r="I36" s="174" t="str"/>
      <x:c r="J36" t="str">
        <x:v>No</x:v>
      </x:c>
    </x:row>
    <x:row r="37" ht="28" customHeight="1">
      <x:c r="A37" t="n">
        <x:v>33</x:v>
      </x:c>
      <x:c r="B37" t="str">
        <x:v>AWL 1</x:v>
      </x:c>
      <x:c r="C37" t="str">
        <x:v>interpretation</x:v>
      </x:c>
      <x:c r="D37" t="str">
        <x:v>word family</x:v>
      </x:c>
      <x:c r="E37" s="172" t="str">
        <x:v>тлумачення; інтерпретація</x:v>
      </x:c>
      <x:c r="F37" t="str">
        <x:v>Research &amp; data</x:v>
      </x:c>
      <x:c r="G37" s="174" t="str"/>
      <x:c r="H37" s="174" t="str"/>
      <x:c r="I37" s="174" t="str"/>
      <x:c r="J37" t="str">
        <x:v>No</x:v>
      </x:c>
    </x:row>
    <x:row r="38" ht="28" customHeight="1">
      <x:c r="A38" t="n">
        <x:v>34</x:v>
      </x:c>
      <x:c r="B38" t="str">
        <x:v>AWL 1</x:v>
      </x:c>
      <x:c r="C38" t="str">
        <x:v>involved</x:v>
      </x:c>
      <x:c r="D38" t="str">
        <x:v>word family</x:v>
      </x:c>
      <x:c r="E38" s="172" t="str">
        <x:v>залучений; пов’язаний</x:v>
      </x:c>
      <x:c r="F38" t="str">
        <x:v>General</x:v>
      </x:c>
      <x:c r="G38" s="174" t="str"/>
      <x:c r="H38" s="174" t="str"/>
      <x:c r="I38" s="174" t="str"/>
      <x:c r="J38" t="str">
        <x:v>No</x:v>
      </x:c>
    </x:row>
    <x:row r="39" ht="28" customHeight="1">
      <x:c r="A39" t="n">
        <x:v>35</x:v>
      </x:c>
      <x:c r="B39" t="str">
        <x:v>AWL 1</x:v>
      </x:c>
      <x:c r="C39" t="str">
        <x:v>issues</x:v>
      </x:c>
      <x:c r="D39" t="str">
        <x:v>word family</x:v>
      </x:c>
      <x:c r="E39" s="172" t="str">
        <x:v>питання; проблеми</x:v>
      </x:c>
      <x:c r="F39" t="str">
        <x:v>General</x:v>
      </x:c>
      <x:c r="G39" s="174" t="str"/>
      <x:c r="H39" s="174" t="str"/>
      <x:c r="I39" s="174" t="str"/>
      <x:c r="J39" t="str">
        <x:v>No</x:v>
      </x:c>
    </x:row>
    <x:row r="40" ht="28" customHeight="1">
      <x:c r="A40" t="n">
        <x:v>36</x:v>
      </x:c>
      <x:c r="B40" t="str">
        <x:v>AWL 1</x:v>
      </x:c>
      <x:c r="C40" t="str">
        <x:v>labour</x:v>
      </x:c>
      <x:c r="D40" t="str">
        <x:v>word family</x:v>
      </x:c>
      <x:c r="E40" s="172" t="str">
        <x:v>праця; робоча сила</x:v>
      </x:c>
      <x:c r="F40" t="str">
        <x:v>General</x:v>
      </x:c>
      <x:c r="G40" s="174" t="str"/>
      <x:c r="H40" s="174" t="str"/>
      <x:c r="I40" s="174" t="str"/>
      <x:c r="J40" t="str">
        <x:v>No</x:v>
      </x:c>
    </x:row>
    <x:row r="41" ht="28" customHeight="1">
      <x:c r="A41" t="n">
        <x:v>37</x:v>
      </x:c>
      <x:c r="B41" t="str">
        <x:v>AWL 1</x:v>
      </x:c>
      <x:c r="C41" t="str">
        <x:v>legal</x:v>
      </x:c>
      <x:c r="D41" t="str">
        <x:v>word family</x:v>
      </x:c>
      <x:c r="E41" s="172" t="str">
        <x:v>правовий; юридичний</x:v>
      </x:c>
      <x:c r="F41" t="str">
        <x:v>General</x:v>
      </x:c>
      <x:c r="G41" s="174" t="str"/>
      <x:c r="H41" s="174" t="str"/>
      <x:c r="I41" s="174" t="str"/>
      <x:c r="J41" t="str">
        <x:v>No</x:v>
      </x:c>
    </x:row>
    <x:row r="42" ht="28" customHeight="1">
      <x:c r="A42" t="n">
        <x:v>38</x:v>
      </x:c>
      <x:c r="B42" t="str">
        <x:v>AWL 1</x:v>
      </x:c>
      <x:c r="C42" t="str">
        <x:v>legislation</x:v>
      </x:c>
      <x:c r="D42" t="str">
        <x:v>word family</x:v>
      </x:c>
      <x:c r="E42" s="172" t="str">
        <x:v>законодавство</x:v>
      </x:c>
      <x:c r="F42" t="str">
        <x:v>Government &amp; law</x:v>
      </x:c>
      <x:c r="G42" s="174" t="str"/>
      <x:c r="H42" s="174" t="str"/>
      <x:c r="I42" s="174" t="str"/>
      <x:c r="J42" t="str">
        <x:v>No</x:v>
      </x:c>
    </x:row>
    <x:row r="43" ht="28" customHeight="1">
      <x:c r="A43" t="n">
        <x:v>39</x:v>
      </x:c>
      <x:c r="B43" t="str">
        <x:v>AWL 1</x:v>
      </x:c>
      <x:c r="C43" t="str">
        <x:v>major</x:v>
      </x:c>
      <x:c r="D43" t="str">
        <x:v>word family</x:v>
      </x:c>
      <x:c r="E43" s="172" t="str">
        <x:v>головний; основний; спеціальність</x:v>
      </x:c>
      <x:c r="F43" t="str">
        <x:v>General</x:v>
      </x:c>
      <x:c r="G43" s="174" t="str"/>
      <x:c r="H43" s="174" t="str"/>
      <x:c r="I43" s="174" t="str"/>
      <x:c r="J43" t="str">
        <x:v>No</x:v>
      </x:c>
    </x:row>
    <x:row r="44" ht="28" customHeight="1">
      <x:c r="A44" t="n">
        <x:v>40</x:v>
      </x:c>
      <x:c r="B44" t="str">
        <x:v>AWL 1</x:v>
      </x:c>
      <x:c r="C44" t="str">
        <x:v>method</x:v>
      </x:c>
      <x:c r="D44" t="str">
        <x:v>word family</x:v>
      </x:c>
      <x:c r="E44" s="172" t="str">
        <x:v>метод</x:v>
      </x:c>
      <x:c r="F44" t="str">
        <x:v>General</x:v>
      </x:c>
      <x:c r="G44" s="174" t="str"/>
      <x:c r="H44" s="174" t="str"/>
      <x:c r="I44" s="174" t="str"/>
      <x:c r="J44" t="str">
        <x:v>No</x:v>
      </x:c>
    </x:row>
    <x:row r="45" ht="28" customHeight="1">
      <x:c r="A45" t="n">
        <x:v>41</x:v>
      </x:c>
      <x:c r="B45" t="str">
        <x:v>AWL 1</x:v>
      </x:c>
      <x:c r="C45" t="str">
        <x:v>occur</x:v>
      </x:c>
      <x:c r="D45" t="str">
        <x:v>word family</x:v>
      </x:c>
      <x:c r="E45" s="172" t="str">
        <x:v>відбуватися; траплятися</x:v>
      </x:c>
      <x:c r="F45" t="str">
        <x:v>General</x:v>
      </x:c>
      <x:c r="G45" s="174" t="str"/>
      <x:c r="H45" s="174" t="str"/>
      <x:c r="I45" s="174" t="str"/>
      <x:c r="J45" t="str">
        <x:v>No</x:v>
      </x:c>
    </x:row>
    <x:row r="46" ht="28" customHeight="1">
      <x:c r="A46" t="n">
        <x:v>42</x:v>
      </x:c>
      <x:c r="B46" t="str">
        <x:v>AWL 1</x:v>
      </x:c>
      <x:c r="C46" t="str">
        <x:v>percent</x:v>
      </x:c>
      <x:c r="D46" t="str">
        <x:v>word family</x:v>
      </x:c>
      <x:c r="E46" s="172" t="str">
        <x:v>відсоток</x:v>
      </x:c>
      <x:c r="F46" t="str">
        <x:v>General</x:v>
      </x:c>
      <x:c r="G46" s="174" t="str"/>
      <x:c r="H46" s="174" t="str"/>
      <x:c r="I46" s="174" t="str"/>
      <x:c r="J46" t="str">
        <x:v>No</x:v>
      </x:c>
    </x:row>
    <x:row r="47" ht="28" customHeight="1">
      <x:c r="A47" t="n">
        <x:v>43</x:v>
      </x:c>
      <x:c r="B47" t="str">
        <x:v>AWL 1</x:v>
      </x:c>
      <x:c r="C47" t="str">
        <x:v>period</x:v>
      </x:c>
      <x:c r="D47" t="str">
        <x:v>word family</x:v>
      </x:c>
      <x:c r="E47" s="172" t="str">
        <x:v>період</x:v>
      </x:c>
      <x:c r="F47" t="str">
        <x:v>General</x:v>
      </x:c>
      <x:c r="G47" s="174" t="str"/>
      <x:c r="H47" s="174" t="str"/>
      <x:c r="I47" s="174" t="str"/>
      <x:c r="J47" t="str">
        <x:v>No</x:v>
      </x:c>
    </x:row>
    <x:row r="48" ht="28" customHeight="1">
      <x:c r="A48" t="n">
        <x:v>44</x:v>
      </x:c>
      <x:c r="B48" t="str">
        <x:v>AWL 1</x:v>
      </x:c>
      <x:c r="C48" t="str">
        <x:v>policy</x:v>
      </x:c>
      <x:c r="D48" t="str">
        <x:v>word family</x:v>
      </x:c>
      <x:c r="E48" s="172" t="str">
        <x:v>політика; стратегічний курс</x:v>
      </x:c>
      <x:c r="F48" t="str">
        <x:v>General</x:v>
      </x:c>
      <x:c r="G48" s="174" t="str"/>
      <x:c r="H48" s="174" t="str"/>
      <x:c r="I48" s="174" t="str"/>
      <x:c r="J48" t="str">
        <x:v>No</x:v>
      </x:c>
    </x:row>
    <x:row r="49" ht="28" customHeight="1">
      <x:c r="A49" t="n">
        <x:v>45</x:v>
      </x:c>
      <x:c r="B49" t="str">
        <x:v>AWL 1</x:v>
      </x:c>
      <x:c r="C49" t="str">
        <x:v>principle</x:v>
      </x:c>
      <x:c r="D49" t="str">
        <x:v>word family</x:v>
      </x:c>
      <x:c r="E49" s="172" t="str">
        <x:v>принцип</x:v>
      </x:c>
      <x:c r="F49" t="str">
        <x:v>General</x:v>
      </x:c>
      <x:c r="G49" s="174" t="str"/>
      <x:c r="H49" s="174" t="str"/>
      <x:c r="I49" s="174" t="str"/>
      <x:c r="J49" t="str">
        <x:v>No</x:v>
      </x:c>
    </x:row>
    <x:row r="50" ht="28" customHeight="1">
      <x:c r="A50" t="n">
        <x:v>46</x:v>
      </x:c>
      <x:c r="B50" t="str">
        <x:v>AWL 1</x:v>
      </x:c>
      <x:c r="C50" t="str">
        <x:v>procedure</x:v>
      </x:c>
      <x:c r="D50" t="str">
        <x:v>word family</x:v>
      </x:c>
      <x:c r="E50" s="172" t="str">
        <x:v>процедура</x:v>
      </x:c>
      <x:c r="F50" t="str">
        <x:v>General</x:v>
      </x:c>
      <x:c r="G50" s="174" t="str"/>
      <x:c r="H50" s="174" t="str"/>
      <x:c r="I50" s="174" t="str"/>
      <x:c r="J50" t="str">
        <x:v>No</x:v>
      </x:c>
    </x:row>
    <x:row r="51" ht="28" customHeight="1">
      <x:c r="A51" t="n">
        <x:v>47</x:v>
      </x:c>
      <x:c r="B51" t="str">
        <x:v>AWL 1</x:v>
      </x:c>
      <x:c r="C51" t="str">
        <x:v>process</x:v>
      </x:c>
      <x:c r="D51" t="str">
        <x:v>word family</x:v>
      </x:c>
      <x:c r="E51" s="172" t="str">
        <x:v>процес; обробляти</x:v>
      </x:c>
      <x:c r="F51" t="str">
        <x:v>General</x:v>
      </x:c>
      <x:c r="G51" s="174" t="str"/>
      <x:c r="H51" s="174" t="str"/>
      <x:c r="I51" s="174" t="str"/>
      <x:c r="J51" t="str">
        <x:v>No</x:v>
      </x:c>
    </x:row>
    <x:row r="52" ht="28" customHeight="1">
      <x:c r="A52" t="n">
        <x:v>48</x:v>
      </x:c>
      <x:c r="B52" t="str">
        <x:v>AWL 1</x:v>
      </x:c>
      <x:c r="C52" t="str">
        <x:v>required</x:v>
      </x:c>
      <x:c r="D52" t="str">
        <x:v>word family</x:v>
      </x:c>
      <x:c r="E52" s="172" t="str">
        <x:v>необхідний; обов’язковий</x:v>
      </x:c>
      <x:c r="F52" t="str">
        <x:v>General</x:v>
      </x:c>
      <x:c r="G52" s="174" t="str"/>
      <x:c r="H52" s="174" t="str"/>
      <x:c r="I52" s="174" t="str"/>
      <x:c r="J52" t="str">
        <x:v>No</x:v>
      </x:c>
    </x:row>
    <x:row r="53" ht="28" customHeight="1">
      <x:c r="A53" t="n">
        <x:v>49</x:v>
      </x:c>
      <x:c r="B53" t="str">
        <x:v>AWL 1</x:v>
      </x:c>
      <x:c r="C53" t="str">
        <x:v>research</x:v>
      </x:c>
      <x:c r="D53" t="str">
        <x:v>word family</x:v>
      </x:c>
      <x:c r="E53" s="172" t="str">
        <x:v>дослідження; досліджувати</x:v>
      </x:c>
      <x:c r="F53" t="str">
        <x:v>General</x:v>
      </x:c>
      <x:c r="G53" s="174" t="str"/>
      <x:c r="H53" s="174" t="str"/>
      <x:c r="I53" s="174" t="str"/>
      <x:c r="J53" t="str">
        <x:v>No</x:v>
      </x:c>
    </x:row>
    <x:row r="54" ht="28" customHeight="1">
      <x:c r="A54" t="n">
        <x:v>50</x:v>
      </x:c>
      <x:c r="B54" t="str">
        <x:v>AWL 1</x:v>
      </x:c>
      <x:c r="C54" t="str">
        <x:v>response</x:v>
      </x:c>
      <x:c r="D54" t="str">
        <x:v>word family</x:v>
      </x:c>
      <x:c r="E54" s="172" t="str">
        <x:v>відповідь; реакція</x:v>
      </x:c>
      <x:c r="F54" t="str">
        <x:v>General</x:v>
      </x:c>
      <x:c r="G54" s="174" t="str"/>
      <x:c r="H54" s="174" t="str"/>
      <x:c r="I54" s="174" t="str"/>
      <x:c r="J54" t="str">
        <x:v>No</x:v>
      </x:c>
    </x:row>
    <x:row r="55" ht="28" customHeight="1">
      <x:c r="A55" t="n">
        <x:v>51</x:v>
      </x:c>
      <x:c r="B55" t="str">
        <x:v>AWL 1</x:v>
      </x:c>
      <x:c r="C55" t="str">
        <x:v>role</x:v>
      </x:c>
      <x:c r="D55" t="str">
        <x:v>word family</x:v>
      </x:c>
      <x:c r="E55" s="172" t="str">
        <x:v>роль</x:v>
      </x:c>
      <x:c r="F55" t="str">
        <x:v>General</x:v>
      </x:c>
      <x:c r="G55" s="174" t="str"/>
      <x:c r="H55" s="174" t="str"/>
      <x:c r="I55" s="174" t="str"/>
      <x:c r="J55" t="str">
        <x:v>No</x:v>
      </x:c>
    </x:row>
    <x:row r="56" ht="28" customHeight="1">
      <x:c r="A56" t="n">
        <x:v>52</x:v>
      </x:c>
      <x:c r="B56" t="str">
        <x:v>AWL 1</x:v>
      </x:c>
      <x:c r="C56" t="str">
        <x:v>section</x:v>
      </x:c>
      <x:c r="D56" t="str">
        <x:v>word family</x:v>
      </x:c>
      <x:c r="E56" s="172" t="str">
        <x:v>розділ</x:v>
      </x:c>
      <x:c r="F56" t="str">
        <x:v>General</x:v>
      </x:c>
      <x:c r="G56" s="174" t="str"/>
      <x:c r="H56" s="174" t="str"/>
      <x:c r="I56" s="174" t="str"/>
      <x:c r="J56" t="str">
        <x:v>No</x:v>
      </x:c>
    </x:row>
    <x:row r="57" ht="28" customHeight="1">
      <x:c r="A57" t="n">
        <x:v>53</x:v>
      </x:c>
      <x:c r="B57" t="str">
        <x:v>AWL 1</x:v>
      </x:c>
      <x:c r="C57" t="str">
        <x:v>sector</x:v>
      </x:c>
      <x:c r="D57" t="str">
        <x:v>word family</x:v>
      </x:c>
      <x:c r="E57" s="172" t="str">
        <x:v>сектор; галузь</x:v>
      </x:c>
      <x:c r="F57" t="str">
        <x:v>General</x:v>
      </x:c>
      <x:c r="G57" s="174" t="str"/>
      <x:c r="H57" s="174" t="str"/>
      <x:c r="I57" s="174" t="str"/>
      <x:c r="J57" t="str">
        <x:v>No</x:v>
      </x:c>
    </x:row>
    <x:row r="58" ht="28" customHeight="1">
      <x:c r="A58" t="n">
        <x:v>54</x:v>
      </x:c>
      <x:c r="B58" t="str">
        <x:v>AWL 1</x:v>
      </x:c>
      <x:c r="C58" t="str">
        <x:v>significant</x:v>
      </x:c>
      <x:c r="D58" t="str">
        <x:v>word family</x:v>
      </x:c>
      <x:c r="E58" s="172" t="str">
        <x:v>значний; суттєвий</x:v>
      </x:c>
      <x:c r="F58" t="str">
        <x:v>General</x:v>
      </x:c>
      <x:c r="G58" s="174" t="str"/>
      <x:c r="H58" s="174" t="str"/>
      <x:c r="I58" s="174" t="str"/>
      <x:c r="J58" t="str">
        <x:v>No</x:v>
      </x:c>
    </x:row>
    <x:row r="59" ht="28" customHeight="1">
      <x:c r="A59" t="n">
        <x:v>55</x:v>
      </x:c>
      <x:c r="B59" t="str">
        <x:v>AWL 1</x:v>
      </x:c>
      <x:c r="C59" t="str">
        <x:v>similar</x:v>
      </x:c>
      <x:c r="D59" t="str">
        <x:v>word family</x:v>
      </x:c>
      <x:c r="E59" s="172" t="str">
        <x:v>подібний</x:v>
      </x:c>
      <x:c r="F59" t="str">
        <x:v>General</x:v>
      </x:c>
      <x:c r="G59" s="174" t="str"/>
      <x:c r="H59" s="174" t="str"/>
      <x:c r="I59" s="174" t="str"/>
      <x:c r="J59" t="str">
        <x:v>No</x:v>
      </x:c>
    </x:row>
    <x:row r="60" ht="28" customHeight="1">
      <x:c r="A60" t="n">
        <x:v>56</x:v>
      </x:c>
      <x:c r="B60" t="str">
        <x:v>AWL 1</x:v>
      </x:c>
      <x:c r="C60" t="str">
        <x:v>source</x:v>
      </x:c>
      <x:c r="D60" t="str">
        <x:v>word family</x:v>
      </x:c>
      <x:c r="E60" s="172" t="str">
        <x:v>джерело</x:v>
      </x:c>
      <x:c r="F60" t="str">
        <x:v>General</x:v>
      </x:c>
      <x:c r="G60" s="174" t="str"/>
      <x:c r="H60" s="174" t="str"/>
      <x:c r="I60" s="174" t="str"/>
      <x:c r="J60" t="str">
        <x:v>No</x:v>
      </x:c>
    </x:row>
    <x:row r="61" ht="28" customHeight="1">
      <x:c r="A61" t="n">
        <x:v>57</x:v>
      </x:c>
      <x:c r="B61" t="str">
        <x:v>AWL 1</x:v>
      </x:c>
      <x:c r="C61" t="str">
        <x:v>specific</x:v>
      </x:c>
      <x:c r="D61" t="str">
        <x:v>word family</x:v>
      </x:c>
      <x:c r="E61" s="172" t="str">
        <x:v>конкретний; специфічний</x:v>
      </x:c>
      <x:c r="F61" t="str">
        <x:v>General</x:v>
      </x:c>
      <x:c r="G61" s="174" t="str"/>
      <x:c r="H61" s="174" t="str"/>
      <x:c r="I61" s="174" t="str"/>
      <x:c r="J61" t="str">
        <x:v>No</x:v>
      </x:c>
    </x:row>
    <x:row r="62" ht="28" customHeight="1">
      <x:c r="A62" t="n">
        <x:v>58</x:v>
      </x:c>
      <x:c r="B62" t="str">
        <x:v>AWL 1</x:v>
      </x:c>
      <x:c r="C62" t="str">
        <x:v>structure</x:v>
      </x:c>
      <x:c r="D62" t="str">
        <x:v>word family</x:v>
      </x:c>
      <x:c r="E62" s="172" t="str">
        <x:v>структура; структурувати</x:v>
      </x:c>
      <x:c r="F62" t="str">
        <x:v>General</x:v>
      </x:c>
      <x:c r="G62" s="174" t="str"/>
      <x:c r="H62" s="174" t="str"/>
      <x:c r="I62" s="174" t="str"/>
      <x:c r="J62" t="str">
        <x:v>No</x:v>
      </x:c>
    </x:row>
    <x:row r="63" ht="28" customHeight="1">
      <x:c r="A63" t="n">
        <x:v>59</x:v>
      </x:c>
      <x:c r="B63" t="str">
        <x:v>AWL 1</x:v>
      </x:c>
      <x:c r="C63" t="str">
        <x:v>theory</x:v>
      </x:c>
      <x:c r="D63" t="str">
        <x:v>word family</x:v>
      </x:c>
      <x:c r="E63" s="172" t="str">
        <x:v>теорія</x:v>
      </x:c>
      <x:c r="F63" t="str">
        <x:v>General</x:v>
      </x:c>
      <x:c r="G63" s="174" t="str"/>
      <x:c r="H63" s="174" t="str"/>
      <x:c r="I63" s="174" t="str"/>
      <x:c r="J63" t="str">
        <x:v>No</x:v>
      </x:c>
    </x:row>
    <x:row r="64" ht="28" customHeight="1">
      <x:c r="A64" t="n">
        <x:v>60</x:v>
      </x:c>
      <x:c r="B64" t="str">
        <x:v>AWL 1</x:v>
      </x:c>
      <x:c r="C64" t="str">
        <x:v>variables</x:v>
      </x:c>
      <x:c r="D64" t="str">
        <x:v>word family</x:v>
      </x:c>
      <x:c r="E64" s="172" t="str">
        <x:v>змінні</x:v>
      </x:c>
      <x:c r="F64" t="str">
        <x:v>General</x:v>
      </x:c>
      <x:c r="G64" s="174" t="str"/>
      <x:c r="H64" s="174" t="str"/>
      <x:c r="I64" s="174" t="str"/>
      <x:c r="J64" t="str">
        <x:v>No</x:v>
      </x:c>
    </x:row>
    <x:row r="65" ht="28" customHeight="1">
      <x:c r="A65" t="n">
        <x:v>61</x:v>
      </x:c>
      <x:c r="B65" t="str">
        <x:v>Oxford C1</x:v>
      </x:c>
      <x:c r="C65" t="str">
        <x:v>academy</x:v>
      </x:c>
      <x:c r="D65" t="str">
        <x:v>n.</x:v>
      </x:c>
      <x:c r="E65" s="172" t="str">
        <x:v>академія</x:v>
      </x:c>
      <x:c r="F65" t="str">
        <x:v>Education</x:v>
      </x:c>
      <x:c r="G65" s="174" t="str"/>
      <x:c r="H65" s="174" t="str"/>
      <x:c r="I65" s="174" t="str"/>
      <x:c r="J65" t="str">
        <x:v>No</x:v>
      </x:c>
    </x:row>
    <x:row r="66" ht="28" customHeight="1">
      <x:c r="A66" t="n">
        <x:v>62</x:v>
      </x:c>
      <x:c r="B66" t="str">
        <x:v>Oxford C1</x:v>
      </x:c>
      <x:c r="C66" t="str">
        <x:v>admission</x:v>
      </x:c>
      <x:c r="D66" t="str">
        <x:v>n.</x:v>
      </x:c>
      <x:c r="E66" s="172" t="str">
        <x:v>прийом</x:v>
      </x:c>
      <x:c r="F66" t="str">
        <x:v>Education</x:v>
      </x:c>
      <x:c r="G66" s="174" t="str"/>
      <x:c r="H66" s="174" t="str"/>
      <x:c r="I66" s="174" t="str"/>
      <x:c r="J66" t="str">
        <x:v>No</x:v>
      </x:c>
    </x:row>
    <x:row r="67" ht="28" customHeight="1">
      <x:c r="A67" t="n">
        <x:v>63</x:v>
      </x:c>
      <x:c r="B67" t="str">
        <x:v>Oxford C1</x:v>
      </x:c>
      <x:c r="C67" t="str">
        <x:v>agricultural</x:v>
      </x:c>
      <x:c r="D67" t="str">
        <x:v>adj.</x:v>
      </x:c>
      <x:c r="E67" s="172" t="str">
        <x:v>сільськогосподарський</x:v>
      </x:c>
      <x:c r="F67" t="str">
        <x:v>Environment</x:v>
      </x:c>
      <x:c r="G67" s="174" t="str"/>
      <x:c r="H67" s="174" t="str"/>
      <x:c r="I67" s="174" t="str"/>
      <x:c r="J67" t="str">
        <x:v>No</x:v>
      </x:c>
    </x:row>
    <x:row r="68" ht="28" customHeight="1">
      <x:c r="A68" t="n">
        <x:v>64</x:v>
      </x:c>
      <x:c r="B68" t="str">
        <x:v>Oxford C1</x:v>
      </x:c>
      <x:c r="C68" t="str">
        <x:v>broadband</x:v>
      </x:c>
      <x:c r="D68" t="str">
        <x:v>n.</x:v>
      </x:c>
      <x:c r="E68" s="172" t="str">
        <x:v>широкосмуговий</x:v>
      </x:c>
      <x:c r="F68" t="str">
        <x:v>Technology</x:v>
      </x:c>
      <x:c r="G68" s="174" t="str"/>
      <x:c r="H68" s="174" t="str"/>
      <x:c r="I68" s="174" t="str"/>
      <x:c r="J68" t="str">
        <x:v>No</x:v>
      </x:c>
    </x:row>
    <x:row r="69" ht="28" customHeight="1">
      <x:c r="A69" t="n">
        <x:v>65</x:v>
      </x:c>
      <x:c r="B69" t="str">
        <x:v>Oxford C1</x:v>
      </x:c>
      <x:c r="C69" t="str">
        <x:v>browser</x:v>
      </x:c>
      <x:c r="D69" t="str">
        <x:v>n.</x:v>
      </x:c>
      <x:c r="E69" s="172" t="str">
        <x:v>браузер</x:v>
      </x:c>
      <x:c r="F69" t="str">
        <x:v>Technology</x:v>
      </x:c>
      <x:c r="G69" s="174" t="str"/>
      <x:c r="H69" s="174" t="str"/>
      <x:c r="I69" s="174" t="str"/>
      <x:c r="J69" t="str">
        <x:v>No</x:v>
      </x:c>
    </x:row>
    <x:row r="70" ht="28" customHeight="1">
      <x:c r="A70" t="n">
        <x:v>66</x:v>
      </x:c>
      <x:c r="B70" t="str">
        <x:v>Oxford C1</x:v>
      </x:c>
      <x:c r="C70" t="str">
        <x:v>capitalism</x:v>
      </x:c>
      <x:c r="D70" t="str">
        <x:v>n.</x:v>
      </x:c>
      <x:c r="E70" s="172" t="str">
        <x:v>капіталізм</x:v>
      </x:c>
      <x:c r="F70" t="str">
        <x:v>Economy &amp; work</x:v>
      </x:c>
      <x:c r="G70" s="174" t="str"/>
      <x:c r="H70" s="174" t="str"/>
      <x:c r="I70" s="174" t="str"/>
      <x:c r="J70" t="str">
        <x:v>No</x:v>
      </x:c>
    </x:row>
    <x:row r="71" ht="28" customHeight="1">
      <x:c r="A71" t="n">
        <x:v>67</x:v>
      </x:c>
      <x:c r="B71" t="str">
        <x:v>Oxford C1</x:v>
      </x:c>
      <x:c r="C71" t="str">
        <x:v>capitalist</x:v>
      </x:c>
      <x:c r="D71" t="str">
        <x:v>adj.</x:v>
      </x:c>
      <x:c r="E71" s="172" t="str">
        <x:v>капіталіст</x:v>
      </x:c>
      <x:c r="F71" t="str">
        <x:v>Economy &amp; work</x:v>
      </x:c>
      <x:c r="G71" s="174" t="str"/>
      <x:c r="H71" s="174" t="str"/>
      <x:c r="I71" s="174" t="str"/>
      <x:c r="J71" t="str">
        <x:v>No</x:v>
      </x:c>
    </x:row>
    <x:row r="72" ht="28" customHeight="1">
      <x:c r="A72" t="n">
        <x:v>68</x:v>
      </x:c>
      <x:c r="B72" t="str">
        <x:v>Oxford C1</x:v>
      </x:c>
      <x:c r="C72" t="str">
        <x:v>chronic</x:v>
      </x:c>
      <x:c r="D72" t="str">
        <x:v>adj.</x:v>
      </x:c>
      <x:c r="E72" s="172" t="str">
        <x:v>хронічний</x:v>
      </x:c>
      <x:c r="F72" t="str">
        <x:v>Health</x:v>
      </x:c>
      <x:c r="G72" s="174" t="str"/>
      <x:c r="H72" s="174" t="str"/>
      <x:c r="I72" s="174" t="str"/>
      <x:c r="J72" t="str">
        <x:v>No</x:v>
      </x:c>
    </x:row>
    <x:row r="73" ht="28" customHeight="1">
      <x:c r="A73" t="n">
        <x:v>69</x:v>
      </x:c>
      <x:c r="B73" t="str">
        <x:v>Oxford C1</x:v>
      </x:c>
      <x:c r="C73" t="str">
        <x:v>citizenship</x:v>
      </x:c>
      <x:c r="D73" t="str">
        <x:v>n.</x:v>
      </x:c>
      <x:c r="E73" s="172" t="str">
        <x:v>громадянство</x:v>
      </x:c>
      <x:c r="F73" t="str">
        <x:v>Society &amp; culture</x:v>
      </x:c>
      <x:c r="G73" s="174" t="str"/>
      <x:c r="H73" s="174" t="str"/>
      <x:c r="I73" s="174" t="str"/>
      <x:c r="J73" t="str">
        <x:v>No</x:v>
      </x:c>
    </x:row>
    <x:row r="74" ht="28" customHeight="1">
      <x:c r="A74" t="n">
        <x:v>70</x:v>
      </x:c>
      <x:c r="B74" t="str">
        <x:v>Oxford C1</x:v>
      </x:c>
      <x:c r="C74" t="str">
        <x:v>clinical</x:v>
      </x:c>
      <x:c r="D74" t="str">
        <x:v>adj.</x:v>
      </x:c>
      <x:c r="E74" s="172" t="str">
        <x:v>клінічний</x:v>
      </x:c>
      <x:c r="F74" t="str">
        <x:v>Health</x:v>
      </x:c>
      <x:c r="G74" s="174" t="str"/>
      <x:c r="H74" s="174" t="str"/>
      <x:c r="I74" s="174" t="str"/>
      <x:c r="J74" t="str">
        <x:v>No</x:v>
      </x:c>
    </x:row>
    <x:row r="75" ht="28" customHeight="1">
      <x:c r="A75" t="n">
        <x:v>71</x:v>
      </x:c>
      <x:c r="B75" t="str">
        <x:v>Oxford C1</x:v>
      </x:c>
      <x:c r="C75" t="str">
        <x:v>commerce</x:v>
      </x:c>
      <x:c r="D75" t="str">
        <x:v>n.</x:v>
      </x:c>
      <x:c r="E75" s="172" t="str">
        <x:v>комерція</x:v>
      </x:c>
      <x:c r="F75" t="str">
        <x:v>Economy &amp; work</x:v>
      </x:c>
      <x:c r="G75" s="174" t="str"/>
      <x:c r="H75" s="174" t="str"/>
      <x:c r="I75" s="174" t="str"/>
      <x:c r="J75" t="str">
        <x:v>No</x:v>
      </x:c>
    </x:row>
    <x:row r="76" ht="28" customHeight="1">
      <x:c r="A76" t="n">
        <x:v>72</x:v>
      </x:c>
      <x:c r="B76" t="str">
        <x:v>Oxford C1</x:v>
      </x:c>
      <x:c r="C76" t="str">
        <x:v>compile</x:v>
      </x:c>
      <x:c r="D76" t="str">
        <x:v>v.</x:v>
      </x:c>
      <x:c r="E76" s="172" t="str">
        <x:v>компілювати</x:v>
      </x:c>
      <x:c r="F76" t="str">
        <x:v>Research &amp; data</x:v>
      </x:c>
      <x:c r="G76" s="174" t="str"/>
      <x:c r="H76" s="174" t="str"/>
      <x:c r="I76" s="174" t="str"/>
      <x:c r="J76" t="str">
        <x:v>No</x:v>
      </x:c>
    </x:row>
    <x:row r="77" ht="28" customHeight="1">
      <x:c r="A77" t="n">
        <x:v>73</x:v>
      </x:c>
      <x:c r="B77" t="str">
        <x:v>Oxford C1</x:v>
      </x:c>
      <x:c r="C77" t="str">
        <x:v>configuration</x:v>
      </x:c>
      <x:c r="D77" t="str">
        <x:v>n.</x:v>
      </x:c>
      <x:c r="E77" s="172" t="str">
        <x:v>конфігурація</x:v>
      </x:c>
      <x:c r="F77" t="str">
        <x:v>Technology</x:v>
      </x:c>
      <x:c r="G77" s="174" t="str"/>
      <x:c r="H77" s="174" t="str"/>
      <x:c r="I77" s="174" t="str"/>
      <x:c r="J77" t="str">
        <x:v>No</x:v>
      </x:c>
    </x:row>
    <x:row r="78" ht="28" customHeight="1">
      <x:c r="A78" t="n">
        <x:v>74</x:v>
      </x:c>
      <x:c r="B78" t="str">
        <x:v>Oxford C1</x:v>
      </x:c>
      <x:c r="C78" t="str">
        <x:v>constitution</x:v>
      </x:c>
      <x:c r="D78" t="str">
        <x:v>n.</x:v>
      </x:c>
      <x:c r="E78" s="172" t="str">
        <x:v>конституція</x:v>
      </x:c>
      <x:c r="F78" t="str">
        <x:v>Government &amp; law</x:v>
      </x:c>
      <x:c r="G78" s="174" t="str"/>
      <x:c r="H78" s="174" t="str"/>
      <x:c r="I78" s="174" t="str"/>
      <x:c r="J78" t="str">
        <x:v>No</x:v>
      </x:c>
    </x:row>
    <x:row r="79" ht="28" customHeight="1">
      <x:c r="A79" t="n">
        <x:v>75</x:v>
      </x:c>
      <x:c r="B79" t="str">
        <x:v>Oxford C1</x:v>
      </x:c>
      <x:c r="C79" t="str">
        <x:v>conviction</x:v>
      </x:c>
      <x:c r="D79" t="str">
        <x:v>n.</x:v>
      </x:c>
      <x:c r="E79" s="172" t="str">
        <x:v>переконання</x:v>
      </x:c>
      <x:c r="F79" t="str">
        <x:v>Government &amp; law</x:v>
      </x:c>
      <x:c r="G79" s="174" t="str"/>
      <x:c r="H79" s="174" t="str"/>
      <x:c r="I79" s="174" t="str"/>
      <x:c r="J79" t="str">
        <x:v>No</x:v>
      </x:c>
    </x:row>
    <x:row r="80" ht="28" customHeight="1">
      <x:c r="A80" t="n">
        <x:v>76</x:v>
      </x:c>
      <x:c r="B80" t="str">
        <x:v>Oxford C1</x:v>
      </x:c>
      <x:c r="C80" t="str">
        <x:v>correlate</x:v>
      </x:c>
      <x:c r="D80" t="str">
        <x:v>v.</x:v>
      </x:c>
      <x:c r="E80" s="172" t="str">
        <x:v>співвідносити</x:v>
      </x:c>
      <x:c r="F80" t="str">
        <x:v>Research &amp; data</x:v>
      </x:c>
      <x:c r="G80" s="174" t="str"/>
      <x:c r="H80" s="174" t="str"/>
      <x:c r="I80" s="174" t="str"/>
      <x:c r="J80" t="str">
        <x:v>No</x:v>
      </x:c>
    </x:row>
    <x:row r="81" ht="28" customHeight="1">
      <x:c r="A81" t="n">
        <x:v>77</x:v>
      </x:c>
      <x:c r="B81" t="str">
        <x:v>Oxford C1</x:v>
      </x:c>
      <x:c r="C81" t="str">
        <x:v>correlation</x:v>
      </x:c>
      <x:c r="D81" t="str">
        <x:v>n.</x:v>
      </x:c>
      <x:c r="E81" s="172" t="str">
        <x:v>кореляція</x:v>
      </x:c>
      <x:c r="F81" t="str">
        <x:v>Research &amp; data</x:v>
      </x:c>
      <x:c r="G81" s="174" t="str"/>
      <x:c r="H81" s="174" t="str"/>
      <x:c r="I81" s="174" t="str"/>
      <x:c r="J81" t="str">
        <x:v>No</x:v>
      </x:c>
    </x:row>
    <x:row r="82" ht="28" customHeight="1">
      <x:c r="A82" t="n">
        <x:v>78</x:v>
      </x:c>
      <x:c r="B82" t="str">
        <x:v>Oxford C1</x:v>
      </x:c>
      <x:c r="C82" t="str">
        <x:v>deploy</x:v>
      </x:c>
      <x:c r="D82" t="str">
        <x:v>v.</x:v>
      </x:c>
      <x:c r="E82" s="172" t="str">
        <x:v>розгорнути</x:v>
      </x:c>
      <x:c r="F82" t="str">
        <x:v>Technology</x:v>
      </x:c>
      <x:c r="G82" s="174" t="str"/>
      <x:c r="H82" s="174" t="str"/>
      <x:c r="I82" s="174" t="str"/>
      <x:c r="J82" t="str">
        <x:v>No</x:v>
      </x:c>
    </x:row>
    <x:row r="83" ht="28" customHeight="1">
      <x:c r="A83" t="n">
        <x:v>79</x:v>
      </x:c>
      <x:c r="B83" t="str">
        <x:v>Oxford C1</x:v>
      </x:c>
      <x:c r="C83" t="str">
        <x:v>deployment</x:v>
      </x:c>
      <x:c r="D83" t="str">
        <x:v>n.</x:v>
      </x:c>
      <x:c r="E83" s="172" t="str">
        <x:v>розгортання</x:v>
      </x:c>
      <x:c r="F83" t="str">
        <x:v>Technology</x:v>
      </x:c>
      <x:c r="G83" s="174" t="str"/>
      <x:c r="H83" s="174" t="str"/>
      <x:c r="I83" s="174" t="str"/>
      <x:c r="J83" t="str">
        <x:v>No</x:v>
      </x:c>
    </x:row>
    <x:row r="84" ht="28" customHeight="1">
      <x:c r="A84" t="n">
        <x:v>80</x:v>
      </x:c>
      <x:c r="B84" t="str">
        <x:v>Oxford C1</x:v>
      </x:c>
      <x:c r="C84" t="str">
        <x:v>desktop</x:v>
      </x:c>
      <x:c r="D84" t="str">
        <x:v>n.</x:v>
      </x:c>
      <x:c r="E84" s="172" t="str">
        <x:v>робочий стіл</x:v>
      </x:c>
      <x:c r="F84" t="str">
        <x:v>Technology</x:v>
      </x:c>
      <x:c r="G84" s="174" t="str"/>
      <x:c r="H84" s="174" t="str"/>
      <x:c r="I84" s="174" t="str"/>
      <x:c r="J84" t="str">
        <x:v>No</x:v>
      </x:c>
    </x:row>
    <x:row r="85" ht="28" customHeight="1">
      <x:c r="A85" t="n">
        <x:v>81</x:v>
      </x:c>
      <x:c r="B85" t="str">
        <x:v>Oxford C1</x:v>
      </x:c>
      <x:c r="C85" t="str">
        <x:v>diagnose</x:v>
      </x:c>
      <x:c r="D85" t="str">
        <x:v>v.</x:v>
      </x:c>
      <x:c r="E85" s="172" t="str">
        <x:v>діагностувати</x:v>
      </x:c>
      <x:c r="F85" t="str">
        <x:v>Health</x:v>
      </x:c>
      <x:c r="G85" s="174" t="str"/>
      <x:c r="H85" s="174" t="str"/>
      <x:c r="I85" s="174" t="str"/>
      <x:c r="J85" t="str">
        <x:v>No</x:v>
      </x:c>
    </x:row>
    <x:row r="86" ht="28" customHeight="1">
      <x:c r="A86" t="n">
        <x:v>82</x:v>
      </x:c>
      <x:c r="B86" t="str">
        <x:v>Oxford C1</x:v>
      </x:c>
      <x:c r="C86" t="str">
        <x:v>diagnosis</x:v>
      </x:c>
      <x:c r="D86" t="str">
        <x:v>n.</x:v>
      </x:c>
      <x:c r="E86" s="172" t="str">
        <x:v>діагноз</x:v>
      </x:c>
      <x:c r="F86" t="str">
        <x:v>Health</x:v>
      </x:c>
      <x:c r="G86" s="174" t="str"/>
      <x:c r="H86" s="174" t="str"/>
      <x:c r="I86" s="174" t="str"/>
      <x:c r="J86" t="str">
        <x:v>No</x:v>
      </x:c>
    </x:row>
    <x:row r="87" ht="28" customHeight="1">
      <x:c r="A87" t="n">
        <x:v>83</x:v>
      </x:c>
      <x:c r="B87" t="str">
        <x:v>Oxford C1</x:v>
      </x:c>
      <x:c r="C87" t="str">
        <x:v>dose</x:v>
      </x:c>
      <x:c r="D87" t="str">
        <x:v>n.</x:v>
      </x:c>
      <x:c r="E87" s="172" t="str">
        <x:v>доза</x:v>
      </x:c>
      <x:c r="F87" t="str">
        <x:v>Health</x:v>
      </x:c>
      <x:c r="G87" s="174" t="str"/>
      <x:c r="H87" s="174" t="str"/>
      <x:c r="I87" s="174" t="str"/>
      <x:c r="J87" t="str">
        <x:v>No</x:v>
      </x:c>
    </x:row>
    <x:row r="88" ht="28" customHeight="1">
      <x:c r="A88" t="n">
        <x:v>84</x:v>
      </x:c>
      <x:c r="B88" t="str">
        <x:v>Oxford C1</x:v>
      </x:c>
      <x:c r="C88" t="str">
        <x:v>earnings</x:v>
      </x:c>
      <x:c r="D88" t="str">
        <x:v>n.</x:v>
      </x:c>
      <x:c r="E88" s="172" t="str">
        <x:v>заробіток</x:v>
      </x:c>
      <x:c r="F88" t="str">
        <x:v>Economy &amp; work</x:v>
      </x:c>
      <x:c r="G88" s="174" t="str"/>
      <x:c r="H88" s="174" t="str"/>
      <x:c r="I88" s="174" t="str"/>
      <x:c r="J88" t="str">
        <x:v>No</x:v>
      </x:c>
    </x:row>
    <x:row r="89" ht="28" customHeight="1">
      <x:c r="A89" t="n">
        <x:v>85</x:v>
      </x:c>
      <x:c r="B89" t="str">
        <x:v>Oxford C1</x:v>
      </x:c>
      <x:c r="C89" t="str">
        <x:v>ecological</x:v>
      </x:c>
      <x:c r="D89" t="str">
        <x:v>adj.</x:v>
      </x:c>
      <x:c r="E89" s="172" t="str">
        <x:v>екологічний</x:v>
      </x:c>
      <x:c r="F89" t="str">
        <x:v>Environment</x:v>
      </x:c>
      <x:c r="G89" s="174" t="str"/>
      <x:c r="H89" s="174" t="str"/>
      <x:c r="I89" s="174" t="str"/>
      <x:c r="J89" t="str">
        <x:v>No</x:v>
      </x:c>
    </x:row>
    <x:row r="90" ht="28" customHeight="1">
      <x:c r="A90" t="n">
        <x:v>86</x:v>
      </x:c>
      <x:c r="B90" t="str">
        <x:v>Oxford C1</x:v>
      </x:c>
      <x:c r="C90" t="str">
        <x:v>educator</x:v>
      </x:c>
      <x:c r="D90" t="str">
        <x:v>n.</x:v>
      </x:c>
      <x:c r="E90" s="172" t="str">
        <x:v>вихователь</x:v>
      </x:c>
      <x:c r="F90" t="str">
        <x:v>Education</x:v>
      </x:c>
      <x:c r="G90" s="174" t="str"/>
      <x:c r="H90" s="174" t="str"/>
      <x:c r="I90" s="174" t="str"/>
      <x:c r="J90" t="str">
        <x:v>No</x:v>
      </x:c>
    </x:row>
    <x:row r="91" ht="28" customHeight="1">
      <x:c r="A91" t="n">
        <x:v>87</x:v>
      </x:c>
      <x:c r="B91" t="str">
        <x:v>Oxford C1</x:v>
      </x:c>
      <x:c r="C91" t="str">
        <x:v>enterprise</x:v>
      </x:c>
      <x:c r="D91" t="str">
        <x:v>n.</x:v>
      </x:c>
      <x:c r="E91" s="172" t="str">
        <x:v>підприємство</x:v>
      </x:c>
      <x:c r="F91" t="str">
        <x:v>Economy &amp; work</x:v>
      </x:c>
      <x:c r="G91" s="174" t="str"/>
      <x:c r="H91" s="174" t="str"/>
      <x:c r="I91" s="174" t="str"/>
      <x:c r="J91" t="str">
        <x:v>No</x:v>
      </x:c>
    </x:row>
    <x:row r="92" ht="28" customHeight="1">
      <x:c r="A92" t="n">
        <x:v>88</x:v>
      </x:c>
      <x:c r="B92" t="str">
        <x:v>Oxford C1</x:v>
      </x:c>
      <x:c r="C92" t="str">
        <x:v>epidemic</x:v>
      </x:c>
      <x:c r="D92" t="str">
        <x:v>n.</x:v>
      </x:c>
      <x:c r="E92" s="172" t="str">
        <x:v>епідемія</x:v>
      </x:c>
      <x:c r="F92" t="str">
        <x:v>Health</x:v>
      </x:c>
      <x:c r="G92" s="174" t="str"/>
      <x:c r="H92" s="174" t="str"/>
      <x:c r="I92" s="174" t="str"/>
      <x:c r="J92" t="str">
        <x:v>No</x:v>
      </x:c>
    </x:row>
    <x:row r="93" ht="28" customHeight="1">
      <x:c r="A93" t="n">
        <x:v>89</x:v>
      </x:c>
      <x:c r="B93" t="str">
        <x:v>Oxford C1</x:v>
      </x:c>
      <x:c r="C93" t="str">
        <x:v>expenditure</x:v>
      </x:c>
      <x:c r="D93" t="str">
        <x:v>n.</x:v>
      </x:c>
      <x:c r="E93" s="172" t="str">
        <x:v>витрати</x:v>
      </x:c>
      <x:c r="F93" t="str">
        <x:v>Economy &amp; work</x:v>
      </x:c>
      <x:c r="G93" s="174" t="str"/>
      <x:c r="H93" s="174" t="str"/>
      <x:c r="I93" s="174" t="str"/>
      <x:c r="J93" t="str">
        <x:v>No</x:v>
      </x:c>
    </x:row>
    <x:row r="94" ht="28" customHeight="1">
      <x:c r="A94" t="n">
        <x:v>90</x:v>
      </x:c>
      <x:c r="B94" t="str">
        <x:v>Oxford C1</x:v>
      </x:c>
      <x:c r="C94" t="str">
        <x:v>faculty</x:v>
      </x:c>
      <x:c r="D94" t="str">
        <x:v>n.</x:v>
      </x:c>
      <x:c r="E94" s="172" t="str">
        <x:v>факультет</x:v>
      </x:c>
      <x:c r="F94" t="str">
        <x:v>Education</x:v>
      </x:c>
      <x:c r="G94" s="174" t="str"/>
      <x:c r="H94" s="174" t="str"/>
      <x:c r="I94" s="174" t="str"/>
      <x:c r="J94" t="str">
        <x:v>No</x:v>
      </x:c>
    </x:row>
    <x:row r="95" ht="28" customHeight="1">
      <x:c r="A95" t="n">
        <x:v>91</x:v>
      </x:c>
      <x:c r="B95" t="str">
        <x:v>Oxford C1</x:v>
      </x:c>
      <x:c r="C95" t="str">
        <x:v>governance</x:v>
      </x:c>
      <x:c r="D95" t="str">
        <x:v>n.</x:v>
      </x:c>
      <x:c r="E95" s="172" t="str">
        <x:v>управління</x:v>
      </x:c>
      <x:c r="F95" t="str">
        <x:v>Government &amp; law</x:v>
      </x:c>
      <x:c r="G95" s="174" t="str"/>
      <x:c r="H95" s="174" t="str"/>
      <x:c r="I95" s="174" t="str"/>
      <x:c r="J95" t="str">
        <x:v>No</x:v>
      </x:c>
    </x:row>
    <x:row r="96" ht="28" customHeight="1">
      <x:c r="A96" t="n">
        <x:v>92</x:v>
      </x:c>
      <x:c r="B96" t="str">
        <x:v>Oxford C1</x:v>
      </x:c>
      <x:c r="C96" t="str">
        <x:v>hardware</x:v>
      </x:c>
      <x:c r="D96" t="str">
        <x:v>n.</x:v>
      </x:c>
      <x:c r="E96" s="172" t="str">
        <x:v>обладнання</x:v>
      </x:c>
      <x:c r="F96" t="str">
        <x:v>Technology</x:v>
      </x:c>
      <x:c r="G96" s="174" t="str"/>
      <x:c r="H96" s="174" t="str"/>
      <x:c r="I96" s="174" t="str"/>
      <x:c r="J96" t="str">
        <x:v>No</x:v>
      </x:c>
    </x:row>
    <x:row r="97" ht="28" customHeight="1">
      <x:c r="A97" t="n">
        <x:v>93</x:v>
      </x:c>
      <x:c r="B97" t="str">
        <x:v>Oxford C1</x:v>
      </x:c>
      <x:c r="C97" t="str">
        <x:v>heritage</x:v>
      </x:c>
      <x:c r="D97" t="str">
        <x:v>n.</x:v>
      </x:c>
      <x:c r="E97" s="172" t="str">
        <x:v>спадщина</x:v>
      </x:c>
      <x:c r="F97" t="str">
        <x:v>Society &amp; culture</x:v>
      </x:c>
      <x:c r="G97" s="174" t="str"/>
      <x:c r="H97" s="174" t="str"/>
      <x:c r="I97" s="174" t="str"/>
      <x:c r="J97" t="str">
        <x:v>No</x:v>
      </x:c>
    </x:row>
    <x:row r="98" ht="28" customHeight="1">
      <x:c r="A98" t="n">
        <x:v>94</x:v>
      </x:c>
      <x:c r="B98" t="str">
        <x:v>Oxford C1</x:v>
      </x:c>
      <x:c r="C98" t="str">
        <x:v>humanitarian</x:v>
      </x:c>
      <x:c r="D98" t="str">
        <x:v>adj.</x:v>
      </x:c>
      <x:c r="E98" s="172" t="str">
        <x:v>гуманітарний</x:v>
      </x:c>
      <x:c r="F98" t="str">
        <x:v>Society &amp; culture</x:v>
      </x:c>
      <x:c r="G98" s="174" t="str"/>
      <x:c r="H98" s="174" t="str"/>
      <x:c r="I98" s="174" t="str"/>
      <x:c r="J98" t="str">
        <x:v>No</x:v>
      </x:c>
    </x:row>
    <x:row r="99" ht="28" customHeight="1">
      <x:c r="A99" t="n">
        <x:v>95</x:v>
      </x:c>
      <x:c r="B99" t="str">
        <x:v>Oxford C1</x:v>
      </x:c>
      <x:c r="C99" t="str">
        <x:v>indicator</x:v>
      </x:c>
      <x:c r="D99" t="str">
        <x:v>n.</x:v>
      </x:c>
      <x:c r="E99" s="172" t="str">
        <x:v>індикатор</x:v>
      </x:c>
      <x:c r="F99" t="str">
        <x:v>Research &amp; data</x:v>
      </x:c>
      <x:c r="G99" s="174" t="str"/>
      <x:c r="H99" s="174" t="str"/>
      <x:c r="I99" s="174" t="str"/>
      <x:c r="J99" t="str">
        <x:v>No</x:v>
      </x:c>
    </x:row>
    <x:row r="100" ht="28" customHeight="1">
      <x:c r="A100" t="n">
        <x:v>96</x:v>
      </x:c>
      <x:c r="B100" t="str">
        <x:v>Oxford C1</x:v>
      </x:c>
      <x:c r="C100" t="str">
        <x:v>indigenous</x:v>
      </x:c>
      <x:c r="D100" t="str">
        <x:v>adj.</x:v>
      </x:c>
      <x:c r="E100" s="172" t="str">
        <x:v>корінний</x:v>
      </x:c>
      <x:c r="F100" t="str">
        <x:v>Society &amp; culture</x:v>
      </x:c>
      <x:c r="G100" s="174" t="str"/>
      <x:c r="H100" s="174" t="str"/>
      <x:c r="I100" s="174" t="str"/>
      <x:c r="J100" t="str">
        <x:v>No</x:v>
      </x:c>
    </x:row>
    <x:row r="101" ht="28" customHeight="1">
      <x:c r="A101" t="n">
        <x:v>97</x:v>
      </x:c>
      <x:c r="B101" t="str">
        <x:v>Oxford C1</x:v>
      </x:c>
      <x:c r="C101" t="str">
        <x:v>inequality</x:v>
      </x:c>
      <x:c r="D101" t="str">
        <x:v>n.</x:v>
      </x:c>
      <x:c r="E101" s="172" t="str">
        <x:v>нерівність</x:v>
      </x:c>
      <x:c r="F101" t="str">
        <x:v>Society &amp; culture</x:v>
      </x:c>
      <x:c r="G101" s="174" t="str"/>
      <x:c r="H101" s="174" t="str"/>
      <x:c r="I101" s="174" t="str"/>
      <x:c r="J101" t="str">
        <x:v>No</x:v>
      </x:c>
    </x:row>
    <x:row r="102" ht="28" customHeight="1">
      <x:c r="A102" t="n">
        <x:v>98</x:v>
      </x:c>
      <x:c r="B102" t="str">
        <x:v>Oxford C1</x:v>
      </x:c>
      <x:c r="C102" t="str">
        <x:v>infant</x:v>
      </x:c>
      <x:c r="D102" t="str">
        <x:v>n.</x:v>
      </x:c>
      <x:c r="E102" s="172" t="str">
        <x:v>немовля</x:v>
      </x:c>
      <x:c r="F102" t="str">
        <x:v>Health</x:v>
      </x:c>
      <x:c r="G102" s="174" t="str"/>
      <x:c r="H102" s="174" t="str"/>
      <x:c r="I102" s="174" t="str"/>
      <x:c r="J102" t="str">
        <x:v>No</x:v>
      </x:c>
    </x:row>
    <x:row r="103" ht="28" customHeight="1">
      <x:c r="A103" t="n">
        <x:v>99</x:v>
      </x:c>
      <x:c r="B103" t="str">
        <x:v>Oxford C1</x:v>
      </x:c>
      <x:c r="C103" t="str">
        <x:v>interface</x:v>
      </x:c>
      <x:c r="D103" t="str">
        <x:v>n.</x:v>
      </x:c>
      <x:c r="E103" s="172" t="str">
        <x:v>інтерфейс</x:v>
      </x:c>
      <x:c r="F103" t="str">
        <x:v>Technology</x:v>
      </x:c>
      <x:c r="G103" s="174" t="str"/>
      <x:c r="H103" s="174" t="str"/>
      <x:c r="I103" s="174" t="str"/>
      <x:c r="J103" t="str">
        <x:v>No</x:v>
      </x:c>
    </x:row>
    <x:row r="104" ht="28" customHeight="1">
      <x:c r="A104" t="n">
        <x:v>100</x:v>
      </x:c>
      <x:c r="B104" t="str">
        <x:v>Oxford C1</x:v>
      </x:c>
      <x:c r="C104" t="str">
        <x:v>judicial</x:v>
      </x:c>
      <x:c r="D104" t="str">
        <x:v>adj.</x:v>
      </x:c>
      <x:c r="E104" s="172" t="str">
        <x:v>судовий</x:v>
      </x:c>
      <x:c r="F104" t="str">
        <x:v>Government &amp; law</x:v>
      </x:c>
      <x:c r="G104" s="174" t="str"/>
      <x:c r="H104" s="174" t="str"/>
      <x:c r="I104" s="174" t="str"/>
      <x:c r="J104" t="str">
        <x:v>No</x:v>
      </x:c>
    </x:row>
  </x:sheetData>
  <x:mergeCells>
    <x:mergeCell ref="A1:J1"/>
    <x:mergeCell ref="A2:J2"/>
  </x:mergeCells>
  <x:conditionalFormatting sqref="J5:J104">
    <x:cfRule type="containsText" dxfId="8" priority="1" operator="containsText" text="Yes"/>
    <x:cfRule type="containsText" dxfId="9" priority="2" operator="containsText" text="Partial"/>
  </x:conditionalFormatting>
  <x:dataValidations count="1">
    <x:dataValidation type="list" sqref="J5:J104">
      <x:formula1>"No,Partial,Yes"</x:formula1>
    </x:dataValidation>
  </x:dataValidations>
  <x:pageMargins left="0.7" right="0.7" top="0.75" bottom="0.75" header="0.3" footer="0.3"/>
  <x:tableParts count="1">
    <x:tablePart xmlns:r="http://schemas.openxmlformats.org/officeDocument/2006/relationships" r:id="R6462dd20089e42ef"/>
  </x:tableParts>
</x:worksheet>
</file>

<file path=xl/worksheets/sheet6.xml><?xml version="1.0" encoding="utf-8"?>
<x:worksheet xmlns:x="http://schemas.openxmlformats.org/spreadsheetml/2006/main">
  <x:sheetViews>
    <x:sheetView showGridLines="0" workbookViewId="0"/>
  </x:sheetViews>
  <x:sheetFormatPr defaultRowHeight="15"/>
  <x:cols>
    <x:col min="1" max="1" width="20" hidden="0" customWidth="1"/>
    <x:col min="2" max="2" width="15" hidden="0" customWidth="1"/>
    <x:col min="3" max="3" width="34" hidden="0" customWidth="1"/>
    <x:col min="4" max="4" width="68" hidden="0" customWidth="1"/>
    <x:col min="5" max="5" width="18" hidden="0" customWidth="1"/>
    <x:col min="6" max="6" width="14" hidden="0" customWidth="1"/>
    <x:col min="7" max="7" width="15" hidden="0" customWidth="1"/>
    <x:col min="8" max="8" width="13" hidden="0" customWidth="1"/>
  </x:cols>
  <x:sheetData>
    <x:row r="1" ht="34" customHeight="1">
      <x:c r="A1" s="177" t="str">
        <x:v>Streamlined IELTS C1 Study Bank</x:v>
      </x:c>
      <x:c r="B1" s="177"/>
      <x:c r="C1" s="177"/>
      <x:c r="D1" s="177"/>
      <x:c r="E1" s="177"/>
      <x:c r="F1" s="177"/>
      <x:c r="G1" s="177"/>
      <x:c r="H1" s="177"/>
    </x:row>
    <x:row r="2" ht="28" customHeight="1">
      <x:c r="A2" s="180" t="str">
        <x:v>1,784 normalized entries • concise Ukrainian definitions • use filters to isolate High priority vocabulary</x:v>
      </x:c>
      <x:c r="B2" s="180"/>
      <x:c r="C2" s="180"/>
      <x:c r="D2" s="180"/>
      <x:c r="E2" s="180"/>
      <x:c r="F2" s="180"/>
      <x:c r="G2" s="180"/>
      <x:c r="H2" s="180"/>
    </x:row>
    <x:row r="4" ht="32" customHeight="1">
      <x:c r="A4" s="189" t="str">
        <x:v>English Word</x:v>
      </x:c>
      <x:c r="B4" s="190" t="str">
        <x:v>Part of Speech</x:v>
      </x:c>
      <x:c r="C4" s="190" t="str">
        <x:v>Ukrainian Equivalent</x:v>
      </x:c>
      <x:c r="D4" s="190" t="str">
        <x:v>Definition in Ukrainian</x:v>
      </x:c>
      <x:c r="E4" s="190" t="str">
        <x:v>Source</x:v>
      </x:c>
      <x:c r="F4" s="190" t="str">
        <x:v>IELTS Priority</x:v>
      </x:c>
      <x:c r="G4" s="190" t="str">
        <x:v>Study Status</x:v>
      </x:c>
      <x:c r="H4" s="191" t="str">
        <x:v>Confidence 0–5</x:v>
      </x:c>
    </x:row>
    <x:row r="5" ht="56" customHeight="1">
      <x:c r="A5" s="192" t="str">
        <x:v>abolish</x:v>
      </x:c>
      <x:c r="B5" s="192" t="str">
        <x:v>v.</x:v>
      </x:c>
      <x:c r="C5" s="194" t="str">
        <x:v>скасувати</x:v>
      </x:c>
      <x:c r="D5" s="195" t="str">
        <x:v>Припинення закону, системи, установи, звичаю чи практики.</x:v>
      </x:c>
      <x:c r="E5" s="192" t="str">
        <x:v>Oxford C1</x:v>
      </x:c>
      <x:c r="F5" s="192" t="str">
        <x:v>Core</x:v>
      </x:c>
      <x:c r="G5" s="192" t="str">
        <x:v>Not Started</x:v>
      </x:c>
      <x:c r="H5" s="192" t="n">
        <x:v>0</x:v>
      </x:c>
    </x:row>
    <x:row r="6" ht="56" customHeight="1">
      <x:c r="A6" s="192" t="str">
        <x:v>abortion</x:v>
      </x:c>
      <x:c r="B6" s="192" t="str">
        <x:v>n.</x:v>
      </x:c>
      <x:c r="C6" s="194" t="str">
        <x:v>аборт</x:v>
      </x:c>
      <x:c r="D6" s="195" t="str">
        <x:v>Штучний аборт.</x:v>
      </x:c>
      <x:c r="E6" s="192" t="str">
        <x:v>Oxford C1</x:v>
      </x:c>
      <x:c r="F6" s="192" t="str">
        <x:v>Core</x:v>
      </x:c>
      <x:c r="G6" s="192" t="str">
        <x:v>Not Started</x:v>
      </x:c>
      <x:c r="H6" s="192" t="n">
        <x:v>0</x:v>
      </x:c>
    </x:row>
    <x:row r="7" ht="56" customHeight="1">
      <x:c r="A7" s="192" t="str">
        <x:v>absence</x:v>
      </x:c>
      <x:c r="B7" s="192" t="str">
        <x:v>n.</x:v>
      </x:c>
      <x:c r="C7" s="194" t="str">
        <x:v>відсутність</x:v>
      </x:c>
      <x:c r="D7" s="195" t="str">
        <x:v>Стан віддаленості або відстороненості від місця чи спілкування</x:v>
      </x:c>
      <x:c r="E7" s="192" t="str">
        <x:v>Oxford C1</x:v>
      </x:c>
      <x:c r="F7" s="192" t="str">
        <x:v>Core</x:v>
      </x:c>
      <x:c r="G7" s="192" t="str">
        <x:v>Not Started</x:v>
      </x:c>
      <x:c r="H7" s="192" t="n">
        <x:v>0</x:v>
      </x:c>
    </x:row>
    <x:row r="8" ht="56" customHeight="1">
      <x:c r="A8" s="192" t="str">
        <x:v>absent</x:v>
      </x:c>
      <x:c r="B8" s="192" t="str">
        <x:v>adj.</x:v>
      </x:c>
      <x:c r="C8" s="194" t="str">
        <x:v>відсутній</x:v>
      </x:c>
      <x:c r="D8" s="195" t="str">
        <x:v>Знаходження далеко від місця; знятий з місця; існуючий, але не присутній; (іноді) відсутній.</x:v>
      </x:c>
      <x:c r="E8" s="192" t="str">
        <x:v>Oxford C1</x:v>
      </x:c>
      <x:c r="F8" s="192" t="str">
        <x:v>Core</x:v>
      </x:c>
      <x:c r="G8" s="192" t="str">
        <x:v>Not Started</x:v>
      </x:c>
      <x:c r="H8" s="192" t="n">
        <x:v>0</x:v>
      </x:c>
    </x:row>
    <x:row r="9" ht="56" customHeight="1">
      <x:c r="A9" s="192" t="str">
        <x:v>absurd</x:v>
      </x:c>
      <x:c r="B9" s="192" t="str">
        <x:v>adj.</x:v>
      </x:c>
      <x:c r="C9" s="194" t="str">
        <x:v>абсурдний</x:v>
      </x:c>
      <x:c r="D9" s="195" t="str">
        <x:v>Всупереч розуму чи пристойності; явно й категорично протиставляється явній істині; несумісні з простими вказівками здорового глузду; логічно суперечливий; безглуздий; смішний; дурний.</x:v>
      </x:c>
      <x:c r="E9" s="192" t="str">
        <x:v>Oxford C1</x:v>
      </x:c>
      <x:c r="F9" s="192" t="str">
        <x:v>Core</x:v>
      </x:c>
      <x:c r="G9" s="192" t="str">
        <x:v>Not Started</x:v>
      </x:c>
      <x:c r="H9" s="192" t="n">
        <x:v>0</x:v>
      </x:c>
    </x:row>
    <x:row r="10" ht="56" customHeight="1">
      <x:c r="A10" s="192" t="str">
        <x:v>abundance</x:v>
      </x:c>
      <x:c r="B10" s="192" t="str">
        <x:v>n.</x:v>
      </x:c>
      <x:c r="C10" s="194" t="str">
        <x:v>достаток</x:v>
      </x:c>
      <x:c r="D10" s="195" t="str">
        <x:v>Велика кількість; багато.</x:v>
      </x:c>
      <x:c r="E10" s="192" t="str">
        <x:v>Oxford C1</x:v>
      </x:c>
      <x:c r="F10" s="192" t="str">
        <x:v>Core</x:v>
      </x:c>
      <x:c r="G10" s="192" t="str">
        <x:v>Not Started</x:v>
      </x:c>
      <x:c r="H10" s="192" t="n">
        <x:v>0</x:v>
      </x:c>
    </x:row>
    <x:row r="11" ht="56" customHeight="1">
      <x:c r="A11" s="192" t="str">
        <x:v>abuse</x:v>
      </x:c>
      <x:c r="B11" s="192" t="str">
        <x:v>n., v.</x:v>
      </x:c>
      <x:c r="C11" s="194" t="str">
        <x:v>зловживання</x:v>
      </x:c>
      <x:c r="D11" s="195" t="str">
        <x:v>Привести до неправильного використання; неправильно застосувати; використовувати неналежним чином; використовувати з неправильною метою чи метою; збочувати</x:v>
      </x:c>
      <x:c r="E11" s="192" t="str">
        <x:v>Oxford C1</x:v>
      </x:c>
      <x:c r="F11" s="192" t="str">
        <x:v>Core</x:v>
      </x:c>
      <x:c r="G11" s="192" t="str">
        <x:v>Not Started</x:v>
      </x:c>
      <x:c r="H11" s="192" t="n">
        <x:v>0</x:v>
      </x:c>
    </x:row>
    <x:row r="12" ht="56" customHeight="1">
      <x:c r="A12" s="192" t="str">
        <x:v>academy</x:v>
      </x:c>
      <x:c r="B12" s="192" t="str">
        <x:v>n.</x:v>
      </x:c>
      <x:c r="C12" s="194" t="str">
        <x:v>академія</x:v>
      </x:c>
      <x:c r="D12" s="195" t="str">
        <x:v>Вищий навчальний заклад; коледж або університет; зазвичай приватна школа.</x:v>
      </x:c>
      <x:c r="E12" s="192" t="str">
        <x:v>Oxford C1</x:v>
      </x:c>
      <x:c r="F12" s="192" t="str">
        <x:v>High</x:v>
      </x:c>
      <x:c r="G12" s="192" t="str">
        <x:v>Not Started</x:v>
      </x:c>
      <x:c r="H12" s="192" t="n">
        <x:v>0</x:v>
      </x:c>
    </x:row>
    <x:row r="13" ht="56" customHeight="1">
      <x:c r="A13" s="192" t="str">
        <x:v>accelerate</x:v>
      </x:c>
      <x:c r="B13" s="192" t="str">
        <x:v>v.</x:v>
      </x:c>
      <x:c r="C13" s="194" t="str">
        <x:v>прискорити</x:v>
      </x:c>
      <x:c r="D13" s="195" t="str">
        <x:v>Змусити рухатися швидше; прискорити рух; щоб збільшити швидкість.</x:v>
      </x:c>
      <x:c r="E13" s="192" t="str">
        <x:v>Oxford C1</x:v>
      </x:c>
      <x:c r="F13" s="192" t="str">
        <x:v>Core</x:v>
      </x:c>
      <x:c r="G13" s="192" t="str">
        <x:v>Not Started</x:v>
      </x:c>
      <x:c r="H13" s="192" t="n">
        <x:v>0</x:v>
      </x:c>
    </x:row>
    <x:row r="14" ht="56" customHeight="1">
      <x:c r="A14" s="192" t="str">
        <x:v>acceptance</x:v>
      </x:c>
      <x:c r="B14" s="192" t="str">
        <x:v>n.</x:v>
      </x:c>
      <x:c r="C14" s="194" t="str">
        <x:v>прийняття</x:v>
      </x:c>
      <x:c r="D14" s="195" t="str">
        <x:v>Акт приймання; отримання чогось запропонованого з мовчазною згодою, схваленням або задоволенням; особливо, сприятливий прийом; затвердження.</x:v>
      </x:c>
      <x:c r="E14" s="192" t="str">
        <x:v>Oxford C1</x:v>
      </x:c>
      <x:c r="F14" s="192" t="str">
        <x:v>Core</x:v>
      </x:c>
      <x:c r="G14" s="192" t="str">
        <x:v>Not Started</x:v>
      </x:c>
      <x:c r="H14" s="192" t="n">
        <x:v>0</x:v>
      </x:c>
    </x:row>
    <x:row r="15" ht="56" customHeight="1">
      <x:c r="A15" s="192" t="str">
        <x:v>accessible</x:v>
      </x:c>
      <x:c r="B15" s="192" t="str">
        <x:v>adj.</x:v>
      </x:c>
      <x:c r="C15" s="194" t="str">
        <x:v>доступний</x:v>
      </x:c>
      <x:c r="D15" s="195" t="str">
        <x:v>Легкий доступ або підхід.</x:v>
      </x:c>
      <x:c r="E15" s="192" t="str">
        <x:v>Oxford C1</x:v>
      </x:c>
      <x:c r="F15" s="192" t="str">
        <x:v>Core</x:v>
      </x:c>
      <x:c r="G15" s="192" t="str">
        <x:v>Not Started</x:v>
      </x:c>
      <x:c r="H15" s="192" t="n">
        <x:v>0</x:v>
      </x:c>
    </x:row>
    <x:row r="16" ht="56" customHeight="1">
      <x:c r="A16" s="192" t="str">
        <x:v>accomplishment</x:v>
      </x:c>
      <x:c r="B16" s="192" t="str">
        <x:v>n.</x:v>
      </x:c>
      <x:c r="C16" s="194" t="str">
        <x:v>досягнення</x:v>
      </x:c>
      <x:c r="D16" s="195" t="str">
        <x:v>Щось досягнуте; досягнення.</x:v>
      </x:c>
      <x:c r="E16" s="192" t="str">
        <x:v>Oxford C1</x:v>
      </x:c>
      <x:c r="F16" s="192" t="str">
        <x:v>Core</x:v>
      </x:c>
      <x:c r="G16" s="192" t="str">
        <x:v>Not Started</x:v>
      </x:c>
      <x:c r="H16" s="192" t="n">
        <x:v>0</x:v>
      </x:c>
    </x:row>
    <x:row r="17" ht="56" customHeight="1">
      <x:c r="A17" s="192" t="str">
        <x:v>accordance</x:v>
      </x:c>
      <x:c r="B17" s="192" t="str">
        <x:v>n.</x:v>
      </x:c>
      <x:c r="C17" s="194" t="str">
        <x:v>відповідність</x:v>
      </x:c>
      <x:c r="D17" s="195" t="str">
        <x:v>Договір; гармонія; відповідність; відповідність.</x:v>
      </x:c>
      <x:c r="E17" s="192" t="str">
        <x:v>Oxford C1</x:v>
      </x:c>
      <x:c r="F17" s="192" t="str">
        <x:v>Core</x:v>
      </x:c>
      <x:c r="G17" s="192" t="str">
        <x:v>Not Started</x:v>
      </x:c>
      <x:c r="H17" s="192" t="n">
        <x:v>0</x:v>
      </x:c>
    </x:row>
    <x:row r="18" ht="56" customHeight="1">
      <x:c r="A18" s="192" t="str">
        <x:v>accordingly</x:v>
      </x:c>
      <x:c r="B18" s="192" t="str">
        <x:v>adv.</x:v>
      </x:c>
      <x:c r="C18" s="194" t="str">
        <x:v>відповідно</x:v>
      </x:c>
      <x:c r="D18" s="195" t="str">
        <x:v>У природній послідовності; отже; так.</x:v>
      </x:c>
      <x:c r="E18" s="192" t="str">
        <x:v>Oxford C1</x:v>
      </x:c>
      <x:c r="F18" s="192" t="str">
        <x:v>Core</x:v>
      </x:c>
      <x:c r="G18" s="192" t="str">
        <x:v>Not Started</x:v>
      </x:c>
      <x:c r="H18" s="192" t="n">
        <x:v>0</x:v>
      </x:c>
    </x:row>
    <x:row r="19" ht="56" customHeight="1">
      <x:c r="A19" s="192" t="str">
        <x:v>accountability</x:v>
      </x:c>
      <x:c r="B19" s="192" t="str">
        <x:v>n.</x:v>
      </x:c>
      <x:c r="C19" s="194" t="str">
        <x:v>підзвітність</x:v>
      </x:c>
      <x:c r="D19" s="195" t="str">
        <x:v>Стан підзвітності; зобов'язання викликати звіт або дати пояснення; зобов'язання нести відповідальність або відповідати за щось.</x:v>
      </x:c>
      <x:c r="E19" s="192" t="str">
        <x:v>Oxford C1</x:v>
      </x:c>
      <x:c r="F19" s="192" t="str">
        <x:v>Core</x:v>
      </x:c>
      <x:c r="G19" s="192" t="str">
        <x:v>Not Started</x:v>
      </x:c>
      <x:c r="H19" s="192" t="n">
        <x:v>0</x:v>
      </x:c>
    </x:row>
    <x:row r="20" ht="56" customHeight="1">
      <x:c r="A20" s="192" t="str">
        <x:v>accountable</x:v>
      </x:c>
      <x:c r="B20" s="192" t="str">
        <x:v>adj.</x:v>
      </x:c>
      <x:c r="C20" s="194" t="str">
        <x:v>підзвітний</x:v>
      </x:c>
      <x:c r="D20" s="195" t="str">
        <x:v>Зобов'язаний, коли його покличуть, відповідати (за свої вчинки); відповідальний.</x:v>
      </x:c>
      <x:c r="E20" s="192" t="str">
        <x:v>Oxford C1</x:v>
      </x:c>
      <x:c r="F20" s="192" t="str">
        <x:v>Core</x:v>
      </x:c>
      <x:c r="G20" s="192" t="str">
        <x:v>Not Started</x:v>
      </x:c>
      <x:c r="H20" s="192" t="n">
        <x:v>0</x:v>
      </x:c>
    </x:row>
    <x:row r="21" ht="56" customHeight="1">
      <x:c r="A21" s="192" t="str">
        <x:v>accumulate</x:v>
      </x:c>
      <x:c r="B21" s="192" t="str">
        <x:v>v.</x:v>
      </x:c>
      <x:c r="C21" s="194" t="str">
        <x:v>накопичувати</x:v>
      </x:c>
      <x:c r="D21" s="195" t="str">
        <x:v>Поступово зростати або збільшуватися в кількості чи кількості.</x:v>
      </x:c>
      <x:c r="E21" s="192" t="str">
        <x:v>Oxford C1</x:v>
      </x:c>
      <x:c r="F21" s="192" t="str">
        <x:v>Core</x:v>
      </x:c>
      <x:c r="G21" s="192" t="str">
        <x:v>Not Started</x:v>
      </x:c>
      <x:c r="H21" s="192" t="n">
        <x:v>0</x:v>
      </x:c>
    </x:row>
    <x:row r="22" ht="56" customHeight="1">
      <x:c r="A22" s="192" t="str">
        <x:v>accumulation</x:v>
      </x:c>
      <x:c r="B22" s="192" t="str">
        <x:v>n.</x:v>
      </x:c>
      <x:c r="C22" s="194" t="str">
        <x:v>накопичення</x:v>
      </x:c>
      <x:c r="D22" s="195" t="str">
        <x:v>Акт накопичення або збору, як у купу.</x:v>
      </x:c>
      <x:c r="E22" s="192" t="str">
        <x:v>Oxford C1 + AWL 8</x:v>
      </x:c>
      <x:c r="F22" s="192" t="str">
        <x:v>High</x:v>
      </x:c>
      <x:c r="G22" s="192" t="str">
        <x:v>Not Started</x:v>
      </x:c>
      <x:c r="H22" s="192" t="n">
        <x:v>0</x:v>
      </x:c>
    </x:row>
    <x:row r="23" ht="56" customHeight="1">
      <x:c r="A23" s="192" t="str">
        <x:v>accusation</x:v>
      </x:c>
      <x:c r="B23" s="192" t="str">
        <x:v>n.</x:v>
      </x:c>
      <x:c r="C23" s="194" t="str">
        <x:v>звинувачення</x:v>
      </x:c>
      <x:c r="D23" s="195" t="str">
        <x:v>Акт обвинувачення.</x:v>
      </x:c>
      <x:c r="E23" s="192" t="str">
        <x:v>Oxford C1</x:v>
      </x:c>
      <x:c r="F23" s="192" t="str">
        <x:v>Core</x:v>
      </x:c>
      <x:c r="G23" s="192" t="str">
        <x:v>Not Started</x:v>
      </x:c>
      <x:c r="H23" s="192" t="n">
        <x:v>0</x:v>
      </x:c>
    </x:row>
    <x:row r="24" ht="56" customHeight="1">
      <x:c r="A24" s="192" t="str">
        <x:v>accused</x:v>
      </x:c>
      <x:c r="B24" s="192" t="str">
        <x:v>n.</x:v>
      </x:c>
      <x:c r="C24" s="194" t="str">
        <x:v>обвинувачений</x:v>
      </x:c>
      <x:c r="D24" s="195" t="str">
        <x:v>Особа, яка обвинувачується у вчиненні правопорушення; фігурант кримінальної справи.</x:v>
      </x:c>
      <x:c r="E24" s="192" t="str">
        <x:v>Oxford C1</x:v>
      </x:c>
      <x:c r="F24" s="192" t="str">
        <x:v>Core</x:v>
      </x:c>
      <x:c r="G24" s="192" t="str">
        <x:v>Not Started</x:v>
      </x:c>
      <x:c r="H24" s="192" t="n">
        <x:v>0</x:v>
      </x:c>
    </x:row>
    <x:row r="25" ht="56" customHeight="1">
      <x:c r="A25" s="192" t="str">
        <x:v>acid</x:v>
      </x:c>
      <x:c r="B25" s="192" t="str">
        <x:v>adj.</x:v>
      </x:c>
      <x:c r="C25" s="194" t="str">
        <x:v>кислота</x:v>
      </x:c>
      <x:c r="D25" s="195" t="str">
        <x:v>Кислота або пов'язана з нею; кислий.</x:v>
      </x:c>
      <x:c r="E25" s="192" t="str">
        <x:v>Oxford C1</x:v>
      </x:c>
      <x:c r="F25" s="192" t="str">
        <x:v>Core</x:v>
      </x:c>
      <x:c r="G25" s="192" t="str">
        <x:v>Not Started</x:v>
      </x:c>
      <x:c r="H25" s="192" t="n">
        <x:v>0</x:v>
      </x:c>
    </x:row>
    <x:row r="26" ht="56" customHeight="1">
      <x:c r="A26" s="192" t="str">
        <x:v>acquisition</x:v>
      </x:c>
      <x:c r="B26" s="192" t="str">
        <x:v>n.</x:v>
      </x:c>
      <x:c r="C26" s="194" t="str">
        <x:v>придбання</x:v>
      </x:c>
      <x:c r="D26" s="195" t="str">
        <x:v>Акт або процес придбання.</x:v>
      </x:c>
      <x:c r="E26" s="192" t="str">
        <x:v>Oxford C1 + AWL 2</x:v>
      </x:c>
      <x:c r="F26" s="192" t="str">
        <x:v>High</x:v>
      </x:c>
      <x:c r="G26" s="192" t="str">
        <x:v>Not Started</x:v>
      </x:c>
      <x:c r="H26" s="192" t="n">
        <x:v>0</x:v>
      </x:c>
    </x:row>
    <x:row r="27" ht="56" customHeight="1">
      <x:c r="A27" s="192" t="str">
        <x:v>acre</x:v>
      </x:c>
      <x:c r="B27" s="192" t="str">
        <x:v>n.</x:v>
      </x:c>
      <x:c r="C27" s="194" t="str">
        <x:v>акр</x:v>
      </x:c>
      <x:c r="D27" s="195" t="str">
        <x:v>Англійська одиниця площі землі (символ: a. або ac.), яка спочатку позначала денну оранку за ярмо волів, тепер стандартизована як 4840 квадратних ярдів або 4046,86 квадратних метрів.</x:v>
      </x:c>
      <x:c r="E27" s="192" t="str">
        <x:v>Oxford C1</x:v>
      </x:c>
      <x:c r="F27" s="192" t="str">
        <x:v>Core</x:v>
      </x:c>
      <x:c r="G27" s="192" t="str">
        <x:v>Not Started</x:v>
      </x:c>
      <x:c r="H27" s="192" t="n">
        <x:v>0</x:v>
      </x:c>
    </x:row>
    <x:row r="28" ht="56" customHeight="1">
      <x:c r="A28" s="192" t="str">
        <x:v>activation</x:v>
      </x:c>
      <x:c r="B28" s="192" t="str">
        <x:v>n.</x:v>
      </x:c>
      <x:c r="C28" s="194" t="str">
        <x:v>активація</x:v>
      </x:c>
      <x:c r="D28" s="195" t="str">
        <x:v>Робити активними та ефективними; приведення в стан активності.</x:v>
      </x:c>
      <x:c r="E28" s="192" t="str">
        <x:v>Oxford C1</x:v>
      </x:c>
      <x:c r="F28" s="192" t="str">
        <x:v>Core</x:v>
      </x:c>
      <x:c r="G28" s="192" t="str">
        <x:v>Not Started</x:v>
      </x:c>
      <x:c r="H28" s="192" t="n">
        <x:v>0</x:v>
      </x:c>
    </x:row>
    <x:row r="29" ht="56" customHeight="1">
      <x:c r="A29" s="192" t="str">
        <x:v>activist</x:v>
      </x:c>
      <x:c r="B29" s="192" t="str">
        <x:v>n.</x:v>
      </x:c>
      <x:c r="C29" s="194" t="str">
        <x:v>активіст</x:v>
      </x:c>
      <x:c r="D29" s="195" t="str">
        <x:v>Той, хто є політично активним у ролі громадянина; особливо той, хто бореться за зміни.</x:v>
      </x:c>
      <x:c r="E29" s="192" t="str">
        <x:v>Oxford C1</x:v>
      </x:c>
      <x:c r="F29" s="192" t="str">
        <x:v>Core</x:v>
      </x:c>
      <x:c r="G29" s="192" t="str">
        <x:v>Not Started</x:v>
      </x:c>
      <x:c r="H29" s="192" t="n">
        <x:v>0</x:v>
      </x:c>
    </x:row>
    <x:row r="30" ht="56" customHeight="1">
      <x:c r="A30" s="192" t="str">
        <x:v>acute</x:v>
      </x:c>
      <x:c r="B30" s="192" t="str">
        <x:v>adj.</x:v>
      </x:c>
      <x:c r="C30" s="194" t="str">
        <x:v>гострий</x:v>
      </x:c>
      <x:c r="D30" s="195" t="str">
        <x:v>інтенсивний; чутливий; різкий.</x:v>
      </x:c>
      <x:c r="E30" s="192" t="str">
        <x:v>Oxford C1</x:v>
      </x:c>
      <x:c r="F30" s="192" t="str">
        <x:v>Core</x:v>
      </x:c>
      <x:c r="G30" s="192" t="str">
        <x:v>Not Started</x:v>
      </x:c>
      <x:c r="H30" s="192" t="n">
        <x:v>0</x:v>
      </x:c>
    </x:row>
    <x:row r="31" ht="56" customHeight="1">
      <x:c r="A31" s="192" t="str">
        <x:v>adaptation</x:v>
      </x:c>
      <x:c r="B31" s="192" t="str">
        <x:v>n.</x:v>
      </x:c>
      <x:c r="C31" s="194" t="str">
        <x:v>адаптація</x:v>
      </x:c>
      <x:c r="D31" s="195" t="str">
        <x:v>Процес адаптації чогось або пристосування до ситуації; коригування, модифікація.</x:v>
      </x:c>
      <x:c r="E31" s="192" t="str">
        <x:v>Oxford C1 + AWL 7</x:v>
      </x:c>
      <x:c r="F31" s="192" t="str">
        <x:v>High</x:v>
      </x:c>
      <x:c r="G31" s="192" t="str">
        <x:v>Not Started</x:v>
      </x:c>
      <x:c r="H31" s="192" t="n">
        <x:v>0</x:v>
      </x:c>
    </x:row>
    <x:row r="32" ht="56" customHeight="1">
      <x:c r="A32" s="192" t="str">
        <x:v>adhere</x:v>
      </x:c>
      <x:c r="B32" s="192" t="str">
        <x:v>v.</x:v>
      </x:c>
      <x:c r="C32" s="194" t="str">
        <x:v>дотримуватися</x:v>
      </x:c>
      <x:c r="D32" s="195" t="str">
        <x:v>Прилипати або розщеплюватися, як це робить клейка речовина; стати приєднаним або об'єднаним.</x:v>
      </x:c>
      <x:c r="E32" s="192" t="str">
        <x:v>Oxford C1</x:v>
      </x:c>
      <x:c r="F32" s="192" t="str">
        <x:v>Core</x:v>
      </x:c>
      <x:c r="G32" s="192" t="str">
        <x:v>Not Started</x:v>
      </x:c>
      <x:c r="H32" s="192" t="n">
        <x:v>0</x:v>
      </x:c>
    </x:row>
    <x:row r="33" ht="56" customHeight="1">
      <x:c r="A33" s="192" t="str">
        <x:v>adjacent</x:v>
      </x:c>
      <x:c r="B33" s="192" t="str">
        <x:v>adj.</x:v>
      </x:c>
      <x:c r="C33" s="194" t="str">
        <x:v>прилеглий</x:v>
      </x:c>
      <x:c r="D33" s="195" t="str">
        <x:v>Лежать поруч, поруч або поруч; сусідні; межує з.</x:v>
      </x:c>
      <x:c r="E33" s="192" t="str">
        <x:v>Oxford C1 + AWL 10</x:v>
      </x:c>
      <x:c r="F33" s="192" t="str">
        <x:v>High</x:v>
      </x:c>
      <x:c r="G33" s="192" t="str">
        <x:v>Not Started</x:v>
      </x:c>
      <x:c r="H33" s="192" t="n">
        <x:v>0</x:v>
      </x:c>
    </x:row>
    <x:row r="34" ht="56" customHeight="1">
      <x:c r="A34" s="192" t="str">
        <x:v>adjustment</x:v>
      </x:c>
      <x:c r="B34" s="192" t="str">
        <x:v>n.</x:v>
      </x:c>
      <x:c r="C34" s="194" t="str">
        <x:v>коригування</x:v>
      </x:c>
      <x:c r="D34" s="195" t="str">
        <x:v>Дія регулювання чогось</x:v>
      </x:c>
      <x:c r="E34" s="192" t="str">
        <x:v>Oxford C1 + AWL 5</x:v>
      </x:c>
      <x:c r="F34" s="192" t="str">
        <x:v>High</x:v>
      </x:c>
      <x:c r="G34" s="192" t="str">
        <x:v>Not Started</x:v>
      </x:c>
      <x:c r="H34" s="192" t="n">
        <x:v>0</x:v>
      </x:c>
    </x:row>
    <x:row r="35" ht="56" customHeight="1">
      <x:c r="A35" s="192" t="str">
        <x:v>administer</x:v>
      </x:c>
      <x:c r="B35" s="192" t="str">
        <x:v>v.</x:v>
      </x:c>
      <x:c r="C35" s="194" t="str">
        <x:v>адмініструвати</x:v>
      </x:c>
      <x:c r="D35" s="195" t="str">
        <x:v>Керувати або контролювати проведення, виконання або виконання; керувати або регулювати параметри проведення, виконання або виконання; працювати на адміністративній посаді.</x:v>
      </x:c>
      <x:c r="E35" s="192" t="str">
        <x:v>Oxford C1</x:v>
      </x:c>
      <x:c r="F35" s="192" t="str">
        <x:v>Core</x:v>
      </x:c>
      <x:c r="G35" s="192" t="str">
        <x:v>Not Started</x:v>
      </x:c>
      <x:c r="H35" s="192" t="n">
        <x:v>0</x:v>
      </x:c>
    </x:row>
    <x:row r="36" ht="56" customHeight="1">
      <x:c r="A36" s="192" t="str">
        <x:v>administrative</x:v>
      </x:c>
      <x:c r="B36" s="192" t="str">
        <x:v>adj.</x:v>
      </x:c>
      <x:c r="C36" s="194" t="str">
        <x:v>адміністративний</x:v>
      </x:c>
      <x:c r="D36" s="195" t="str">
        <x:v>Що стосується адміністрування або адміністрування.</x:v>
      </x:c>
      <x:c r="E36" s="192" t="str">
        <x:v>Oxford C1</x:v>
      </x:c>
      <x:c r="F36" s="192" t="str">
        <x:v>Core</x:v>
      </x:c>
      <x:c r="G36" s="192" t="str">
        <x:v>Not Started</x:v>
      </x:c>
      <x:c r="H36" s="192" t="n">
        <x:v>0</x:v>
      </x:c>
    </x:row>
    <x:row r="37" ht="56" customHeight="1">
      <x:c r="A37" s="192" t="str">
        <x:v>administrator</x:v>
      </x:c>
      <x:c r="B37" s="192" t="str">
        <x:v>n.</x:v>
      </x:c>
      <x:c r="C37" s="194" t="str">
        <x:v>адміністратор</x:v>
      </x:c>
      <x:c r="D37" s="195" t="str">
        <x:v>Той, хто веде справи; той, хто скеровує, керує, виконує або розпоряджається, чи то в цивільних, судових, політичних чи церковних справах; менеджер.</x:v>
      </x:c>
      <x:c r="E37" s="192" t="str">
        <x:v>Oxford C1</x:v>
      </x:c>
      <x:c r="F37" s="192" t="str">
        <x:v>Core</x:v>
      </x:c>
      <x:c r="G37" s="192" t="str">
        <x:v>Not Started</x:v>
      </x:c>
      <x:c r="H37" s="192" t="n">
        <x:v>0</x:v>
      </x:c>
    </x:row>
    <x:row r="38" ht="56" customHeight="1">
      <x:c r="A38" s="192" t="str">
        <x:v>admission</x:v>
      </x:c>
      <x:c r="B38" s="192" t="str">
        <x:v>n.</x:v>
      </x:c>
      <x:c r="C38" s="194" t="str">
        <x:v>прийом</x:v>
      </x:c>
      <x:c r="D38" s="195" t="str">
        <x:v>Дозвіл на вхід, або сам вхід; допуск; вхід; доступу</x:v>
      </x:c>
      <x:c r="E38" s="192" t="str">
        <x:v>Oxford C1</x:v>
      </x:c>
      <x:c r="F38" s="192" t="str">
        <x:v>High</x:v>
      </x:c>
      <x:c r="G38" s="192" t="str">
        <x:v>Not Started</x:v>
      </x:c>
      <x:c r="H38" s="192" t="n">
        <x:v>0</x:v>
      </x:c>
    </x:row>
    <x:row r="39" ht="56" customHeight="1">
      <x:c r="A39" s="192" t="str">
        <x:v>adolescent</x:v>
      </x:c>
      <x:c r="B39" s="192" t="str">
        <x:v>n.</x:v>
      </x:c>
      <x:c r="C39" s="194" t="str">
        <x:v>підліток</x:v>
      </x:c>
      <x:c r="D39" s="195" t="str">
        <x:v>Людина, яка перебуває в підлітковому віці; хтось, хто досяг статевої зрілості, але ще не дорослий.</x:v>
      </x:c>
      <x:c r="E39" s="192" t="str">
        <x:v>Oxford C1</x:v>
      </x:c>
      <x:c r="F39" s="192" t="str">
        <x:v>Core</x:v>
      </x:c>
      <x:c r="G39" s="192" t="str">
        <x:v>Not Started</x:v>
      </x:c>
      <x:c r="H39" s="192" t="n">
        <x:v>0</x:v>
      </x:c>
    </x:row>
    <x:row r="40" ht="56" customHeight="1">
      <x:c r="A40" s="192" t="str">
        <x:v>adoption</x:v>
      </x:c>
      <x:c r="B40" s="192" t="str">
        <x:v>n.</x:v>
      </x:c>
      <x:c r="C40" s="194" t="str">
        <x:v>усиновлення</x:v>
      </x:c>
      <x:c r="D40" s="195" t="str">
        <x:v>Стан усиновлення; прийняття дитини інших батьків як власної дитини.</x:v>
      </x:c>
      <x:c r="E40" s="192" t="str">
        <x:v>Oxford C1</x:v>
      </x:c>
      <x:c r="F40" s="192" t="str">
        <x:v>Core</x:v>
      </x:c>
      <x:c r="G40" s="192" t="str">
        <x:v>Not Started</x:v>
      </x:c>
      <x:c r="H40" s="192" t="n">
        <x:v>0</x:v>
      </x:c>
    </x:row>
    <x:row r="41" ht="56" customHeight="1">
      <x:c r="A41" s="192" t="str">
        <x:v>adverse</x:v>
      </x:c>
      <x:c r="B41" s="192" t="str">
        <x:v>adj.</x:v>
      </x:c>
      <x:c r="C41" s="194" t="str">
        <x:v>несприятливий</x:v>
      </x:c>
      <x:c r="D41" s="195" t="str">
        <x:v>несприятливий; антагоністичний за метою чи ефектом; ворожий; активна протидія власним інтересам чи бажанням; всупереч власному добробуту; діючи проти; працюють у протилежному напрямку.</x:v>
      </x:c>
      <x:c r="E41" s="192" t="str">
        <x:v>Oxford C1</x:v>
      </x:c>
      <x:c r="F41" s="192" t="str">
        <x:v>Core</x:v>
      </x:c>
      <x:c r="G41" s="192" t="str">
        <x:v>Not Started</x:v>
      </x:c>
      <x:c r="H41" s="192" t="n">
        <x:v>0</x:v>
      </x:c>
    </x:row>
    <x:row r="42" ht="56" customHeight="1">
      <x:c r="A42" s="192" t="str">
        <x:v>advocate</x:v>
      </x:c>
      <x:c r="B42" s="192" t="str">
        <x:v>n., v.</x:v>
      </x:c>
      <x:c r="C42" s="194" t="str">
        <x:v>адвокат</x:v>
      </x:c>
      <x:c r="D42" s="195" t="str">
        <x:v>Заступитися на користь; захищатися аргументовано, перед судом чи громадськістю; підтримувати, виправдовувати або публічно рекомендувати.</x:v>
      </x:c>
      <x:c r="E42" s="192" t="str">
        <x:v>Oxford C1 + AWL 7</x:v>
      </x:c>
      <x:c r="F42" s="192" t="str">
        <x:v>High</x:v>
      </x:c>
      <x:c r="G42" s="192" t="str">
        <x:v>Not Started</x:v>
      </x:c>
      <x:c r="H42" s="192" t="n">
        <x:v>0</x:v>
      </x:c>
    </x:row>
    <x:row r="43" ht="56" customHeight="1">
      <x:c r="A43" s="192" t="str">
        <x:v>aesthetic</x:v>
      </x:c>
      <x:c r="B43" s="192" t="str">
        <x:v>adj.</x:v>
      </x:c>
      <x:c r="C43" s="194" t="str">
        <x:v>естетичний</x:v>
      </x:c>
      <x:c r="D43" s="195" t="str">
        <x:v>Стурбований красою, художнім ефектом або зовнішнім виглядом.</x:v>
      </x:c>
      <x:c r="E43" s="192" t="str">
        <x:v>Oxford C1</x:v>
      </x:c>
      <x:c r="F43" s="192" t="str">
        <x:v>Core</x:v>
      </x:c>
      <x:c r="G43" s="192" t="str">
        <x:v>Not Started</x:v>
      </x:c>
      <x:c r="H43" s="192" t="n">
        <x:v>0</x:v>
      </x:c>
    </x:row>
    <x:row r="44" ht="56" customHeight="1">
      <x:c r="A44" s="192" t="str">
        <x:v>affection</x:v>
      </x:c>
      <x:c r="B44" s="192" t="str">
        <x:v>n.</x:v>
      </x:c>
      <x:c r="C44" s="194" t="str">
        <x:v>прихильність</x:v>
      </x:c>
      <x:c r="D44" s="195" t="str">
        <x:v>Почуття любові або сильної прихильності.</x:v>
      </x:c>
      <x:c r="E44" s="192" t="str">
        <x:v>Oxford C1</x:v>
      </x:c>
      <x:c r="F44" s="192" t="str">
        <x:v>Core</x:v>
      </x:c>
      <x:c r="G44" s="192" t="str">
        <x:v>Not Started</x:v>
      </x:c>
      <x:c r="H44" s="192" t="n">
        <x:v>0</x:v>
      </x:c>
    </x:row>
    <x:row r="45" ht="56" customHeight="1">
      <x:c r="A45" s="192" t="str">
        <x:v>aftermath</x:v>
      </x:c>
      <x:c r="B45" s="192" t="str">
        <x:v>n.</x:v>
      </x:c>
      <x:c r="C45" s="194" t="str">
        <x:v>наслідки (переважно негативні)</x:v>
      </x:c>
      <x:c r="D45" s="195" t="str">
        <x:v>Те, що відбувається після, те, що слідує, зазвичай має яскраво негативний відтінок у більшості контекстів, натякаючи на попередню катастрофу.</x:v>
      </x:c>
      <x:c r="E45" s="192" t="str">
        <x:v>Oxford C1</x:v>
      </x:c>
      <x:c r="F45" s="192" t="str">
        <x:v>Core</x:v>
      </x:c>
      <x:c r="G45" s="192" t="str">
        <x:v>Not Started</x:v>
      </x:c>
      <x:c r="H45" s="192" t="n">
        <x:v>0</x:v>
      </x:c>
    </x:row>
    <x:row r="46" ht="56" customHeight="1">
      <x:c r="A46" s="192" t="str">
        <x:v>aggression</x:v>
      </x:c>
      <x:c r="B46" s="192" t="str">
        <x:v>n.</x:v>
      </x:c>
      <x:c r="C46" s="194" t="str">
        <x:v>агресія</x:v>
      </x:c>
      <x:c r="D46" s="195" t="str">
        <x:v>Ворожа чи деструктивна поведінка чи дії.</x:v>
      </x:c>
      <x:c r="E46" s="192" t="str">
        <x:v>Oxford C1</x:v>
      </x:c>
      <x:c r="F46" s="192" t="str">
        <x:v>Core</x:v>
      </x:c>
      <x:c r="G46" s="192" t="str">
        <x:v>Not Started</x:v>
      </x:c>
      <x:c r="H46" s="192" t="n">
        <x:v>0</x:v>
      </x:c>
    </x:row>
    <x:row r="47" ht="56" customHeight="1">
      <x:c r="A47" s="192" t="str">
        <x:v>agricultural</x:v>
      </x:c>
      <x:c r="B47" s="192" t="str">
        <x:v>adj.</x:v>
      </x:c>
      <x:c r="C47" s="194" t="str">
        <x:v>сільськогосподарський</x:v>
      </x:c>
      <x:c r="D47" s="195" t="str">
        <x:v>Сільське господарство або пов'язане з ним.</x:v>
      </x:c>
      <x:c r="E47" s="192" t="str">
        <x:v>Oxford C1</x:v>
      </x:c>
      <x:c r="F47" s="192" t="str">
        <x:v>High</x:v>
      </x:c>
      <x:c r="G47" s="192" t="str">
        <x:v>Not Started</x:v>
      </x:c>
      <x:c r="H47" s="192" t="n">
        <x:v>0</x:v>
      </x:c>
    </x:row>
    <x:row r="48" ht="56" customHeight="1">
      <x:c r="A48" s="192" t="str">
        <x:v>aide</x:v>
      </x:c>
      <x:c r="B48" s="192" t="str">
        <x:v>n.</x:v>
      </x:c>
      <x:c r="C48" s="194" t="str">
        <x:v>помічник</x:v>
      </x:c>
      <x:c r="D48" s="195" t="str">
        <x:v>Помічник.</x:v>
      </x:c>
      <x:c r="E48" s="192" t="str">
        <x:v>Oxford C1</x:v>
      </x:c>
      <x:c r="F48" s="192" t="str">
        <x:v>Core</x:v>
      </x:c>
      <x:c r="G48" s="192" t="str">
        <x:v>Not Started</x:v>
      </x:c>
      <x:c r="H48" s="192" t="n">
        <x:v>0</x:v>
      </x:c>
    </x:row>
    <x:row r="49" ht="56" customHeight="1">
      <x:c r="A49" s="192" t="str">
        <x:v>albeit</x:v>
      </x:c>
      <x:c r="B49" s="192" t="str">
        <x:v>conj.</x:v>
      </x:c>
      <x:c r="C49" s="194" t="str">
        <x:v>хоча</x:v>
      </x:c>
      <x:c r="D49" s="195" t="str">
        <x:v>Сполучник зі значенням «хоча» або «незважаючи на те, що».</x:v>
      </x:c>
      <x:c r="E49" s="192" t="str">
        <x:v>Oxford C1 + AWL 10</x:v>
      </x:c>
      <x:c r="F49" s="192" t="str">
        <x:v>High</x:v>
      </x:c>
      <x:c r="G49" s="192" t="str">
        <x:v>Not Started</x:v>
      </x:c>
      <x:c r="H49" s="192" t="n">
        <x:v>0</x:v>
      </x:c>
    </x:row>
    <x:row r="50" ht="56" customHeight="1">
      <x:c r="A50" s="192" t="str">
        <x:v>alert</x:v>
      </x:c>
      <x:c r="B50" s="192" t="str">
        <x:v>v., n., adj.</x:v>
      </x:c>
      <x:c r="C50" s="194" t="str">
        <x:v>сповіщення</x:v>
      </x:c>
      <x:c r="D50" s="195" t="str">
        <x:v>Щоб попередити.</x:v>
      </x:c>
      <x:c r="E50" s="192" t="str">
        <x:v>Oxford C1</x:v>
      </x:c>
      <x:c r="F50" s="192" t="str">
        <x:v>Core</x:v>
      </x:c>
      <x:c r="G50" s="192" t="str">
        <x:v>Not Started</x:v>
      </x:c>
      <x:c r="H50" s="192" t="n">
        <x:v>0</x:v>
      </x:c>
    </x:row>
    <x:row r="51" ht="56" customHeight="1">
      <x:c r="A51" s="192" t="str">
        <x:v>alien</x:v>
      </x:c>
      <x:c r="B51" s="192" t="str">
        <x:v>adj.</x:v>
      </x:c>
      <x:c r="C51" s="194" t="str">
        <x:v>чужий</x:v>
      </x:c>
      <x:c r="D51" s="195" t="str">
        <x:v>Не належать до тієї самої країни, землі чи уряду, чи до їхніх громадян чи підданих; іноземні.</x:v>
      </x:c>
      <x:c r="E51" s="192" t="str">
        <x:v>Oxford C1</x:v>
      </x:c>
      <x:c r="F51" s="192" t="str">
        <x:v>Core</x:v>
      </x:c>
      <x:c r="G51" s="192" t="str">
        <x:v>Not Started</x:v>
      </x:c>
      <x:c r="H51" s="192" t="n">
        <x:v>0</x:v>
      </x:c>
    </x:row>
    <x:row r="52" ht="56" customHeight="1">
      <x:c r="A52" s="192" t="str">
        <x:v>align</x:v>
      </x:c>
      <x:c r="B52" s="192" t="str">
        <x:v>v.</x:v>
      </x:c>
      <x:c r="C52" s="194" t="str">
        <x:v>вирівняти</x:v>
      </x:c>
      <x:c r="D52" s="195" t="str">
        <x:v>Підлаштовуватися під лінію; діапазон або форму в лінію; привести у відповідність.</x:v>
      </x:c>
      <x:c r="E52" s="192" t="str">
        <x:v>Oxford C1</x:v>
      </x:c>
      <x:c r="F52" s="192" t="str">
        <x:v>Core</x:v>
      </x:c>
      <x:c r="G52" s="192" t="str">
        <x:v>Not Started</x:v>
      </x:c>
      <x:c r="H52" s="192" t="n">
        <x:v>0</x:v>
      </x:c>
    </x:row>
    <x:row r="53" ht="56" customHeight="1">
      <x:c r="A53" s="192" t="str">
        <x:v>alignment</x:v>
      </x:c>
      <x:c r="B53" s="192" t="str">
        <x:v>n.</x:v>
      </x:c>
      <x:c r="C53" s="194" t="str">
        <x:v>вирівнювання</x:v>
      </x:c>
      <x:c r="D53" s="195" t="str">
        <x:v>Розташування предметів у рядку.</x:v>
      </x:c>
      <x:c r="E53" s="192" t="str">
        <x:v>Oxford C1</x:v>
      </x:c>
      <x:c r="F53" s="192" t="str">
        <x:v>Core</x:v>
      </x:c>
      <x:c r="G53" s="192" t="str">
        <x:v>Not Started</x:v>
      </x:c>
      <x:c r="H53" s="192" t="n">
        <x:v>0</x:v>
      </x:c>
    </x:row>
    <x:row r="54" ht="56" customHeight="1">
      <x:c r="A54" s="192" t="str">
        <x:v>alike</x:v>
      </x:c>
      <x:c r="B54" s="192" t="str">
        <x:v>adv., adj.</x:v>
      </x:c>
      <x:c r="C54" s="194" t="str">
        <x:v>однаково</x:v>
      </x:c>
      <x:c r="D54" s="195" t="str">
        <x:v>Наявність схожості або схожості; подібний; без різниці.</x:v>
      </x:c>
      <x:c r="E54" s="192" t="str">
        <x:v>Oxford C1</x:v>
      </x:c>
      <x:c r="F54" s="192" t="str">
        <x:v>Core</x:v>
      </x:c>
      <x:c r="G54" s="192" t="str">
        <x:v>Not Started</x:v>
      </x:c>
      <x:c r="H54" s="192" t="n">
        <x:v>0</x:v>
      </x:c>
    </x:row>
    <x:row r="55" ht="56" customHeight="1">
      <x:c r="A55" s="192" t="str">
        <x:v>allegation</x:v>
      </x:c>
      <x:c r="B55" s="192" t="str">
        <x:v>n.</x:v>
      </x:c>
      <x:c r="C55" s="194" t="str">
        <x:v>твердження</x:v>
      </x:c>
      <x:c r="D55" s="195" t="str">
        <x:v>Твердження, особливо звинувачення, не обов’язково засноване на фактах.</x:v>
      </x:c>
      <x:c r="E55" s="192" t="str">
        <x:v>Oxford C1</x:v>
      </x:c>
      <x:c r="F55" s="192" t="str">
        <x:v>Core</x:v>
      </x:c>
      <x:c r="G55" s="192" t="str">
        <x:v>Not Started</x:v>
      </x:c>
      <x:c r="H55" s="192" t="n">
        <x:v>0</x:v>
      </x:c>
    </x:row>
    <x:row r="56" ht="56" customHeight="1">
      <x:c r="A56" s="192" t="str">
        <x:v>allege</x:v>
      </x:c>
      <x:c r="B56" s="192" t="str">
        <x:v>v.</x:v>
      </x:c>
      <x:c r="C56" s="194" t="str">
        <x:v>стверджувати</x:v>
      </x:c>
      <x:c r="D56" s="195" t="str">
        <x:v>Скласти претензію як обґрунтування чи доказ; робити твердження без доказів.</x:v>
      </x:c>
      <x:c r="E56" s="192" t="str">
        <x:v>Oxford C1</x:v>
      </x:c>
      <x:c r="F56" s="192" t="str">
        <x:v>Core</x:v>
      </x:c>
      <x:c r="G56" s="192" t="str">
        <x:v>Not Started</x:v>
      </x:c>
      <x:c r="H56" s="192" t="n">
        <x:v>0</x:v>
      </x:c>
    </x:row>
    <x:row r="57" ht="56" customHeight="1">
      <x:c r="A57" s="192" t="str">
        <x:v>allegedly</x:v>
      </x:c>
      <x:c r="B57" s="192" t="str">
        <x:v>adv.</x:v>
      </x:c>
      <x:c r="C57" s="194" t="str">
        <x:v>нібито</x:v>
      </x:c>
      <x:c r="D57" s="195" t="str">
        <x:v>За чиїмось твердженням.</x:v>
      </x:c>
      <x:c r="E57" s="192" t="str">
        <x:v>Oxford C1</x:v>
      </x:c>
      <x:c r="F57" s="192" t="str">
        <x:v>Core</x:v>
      </x:c>
      <x:c r="G57" s="192" t="str">
        <x:v>Not Started</x:v>
      </x:c>
      <x:c r="H57" s="192" t="n">
        <x:v>0</x:v>
      </x:c>
    </x:row>
    <x:row r="58" ht="56" customHeight="1">
      <x:c r="A58" s="192" t="str">
        <x:v>alliance</x:v>
      </x:c>
      <x:c r="B58" s="192" t="str">
        <x:v>n.</x:v>
      </x:c>
      <x:c r="C58" s="194" t="str">
        <x:v>альянс</x:v>
      </x:c>
      <x:c r="D58" s="195" t="str">
        <x:v>Союз або зв’язок інтересів між сім’ями, державами, партіями тощо, особливо між сім’ями за шлюбом і державами за договором, угодою чи союзом.</x:v>
      </x:c>
      <x:c r="E58" s="192" t="str">
        <x:v>Oxford C1</x:v>
      </x:c>
      <x:c r="F58" s="192" t="str">
        <x:v>Core</x:v>
      </x:c>
      <x:c r="G58" s="192" t="str">
        <x:v>Not Started</x:v>
      </x:c>
      <x:c r="H58" s="192" t="n">
        <x:v>0</x:v>
      </x:c>
    </x:row>
    <x:row r="59" ht="56" customHeight="1">
      <x:c r="A59" s="192" t="str">
        <x:v>allocate</x:v>
      </x:c>
      <x:c r="B59" s="192" t="str">
        <x:v>v.</x:v>
      </x:c>
      <x:c r="C59" s="194" t="str">
        <x:v>виділити</x:v>
      </x:c>
      <x:c r="D59" s="195" t="str">
        <x:v>Відкладати для певної мети.</x:v>
      </x:c>
      <x:c r="E59" s="192" t="str">
        <x:v>Oxford C1</x:v>
      </x:c>
      <x:c r="F59" s="192" t="str">
        <x:v>Core</x:v>
      </x:c>
      <x:c r="G59" s="192" t="str">
        <x:v>Not Started</x:v>
      </x:c>
      <x:c r="H59" s="192" t="n">
        <x:v>0</x:v>
      </x:c>
    </x:row>
    <x:row r="60" ht="56" customHeight="1">
      <x:c r="A60" s="192" t="str">
        <x:v>allocation</x:v>
      </x:c>
      <x:c r="B60" s="192" t="str">
        <x:v>n.</x:v>
      </x:c>
      <x:c r="C60" s="194" t="str">
        <x:v>виділення</x:v>
      </x:c>
      <x:c r="D60" s="195" t="str">
        <x:v>Процес або процедура розподілу речей, особливо грошей або інших ресурсів.</x:v>
      </x:c>
      <x:c r="E60" s="192" t="str">
        <x:v>Oxford C1 + AWL 6</x:v>
      </x:c>
      <x:c r="F60" s="192" t="str">
        <x:v>High</x:v>
      </x:c>
      <x:c r="G60" s="192" t="str">
        <x:v>Not Started</x:v>
      </x:c>
      <x:c r="H60" s="192" t="n">
        <x:v>0</x:v>
      </x:c>
    </x:row>
    <x:row r="61" ht="56" customHeight="1">
      <x:c r="A61" s="192" t="str">
        <x:v>allowance</x:v>
      </x:c>
      <x:c r="B61" s="192" t="str">
        <x:v>n.</x:v>
      </x:c>
      <x:c r="C61" s="194" t="str">
        <x:v>допомога</x:v>
      </x:c>
      <x:c r="D61" s="195" t="str">
        <x:v>Сума, частка або частка, яка виділяється або надається; сума, надана як відшкодування, винагорода або відповідно до будь-якої мети.</x:v>
      </x:c>
      <x:c r="E61" s="192" t="str">
        <x:v>Oxford C1</x:v>
      </x:c>
      <x:c r="F61" s="192" t="str">
        <x:v>Core</x:v>
      </x:c>
      <x:c r="G61" s="192" t="str">
        <x:v>Not Started</x:v>
      </x:c>
      <x:c r="H61" s="192" t="n">
        <x:v>0</x:v>
      </x:c>
    </x:row>
    <x:row r="62" ht="56" customHeight="1">
      <x:c r="A62" s="192" t="str">
        <x:v>ally</x:v>
      </x:c>
      <x:c r="B62" s="192" t="str">
        <x:v>n.</x:v>
      </x:c>
      <x:c r="C62" s="194" t="str">
        <x:v>союзник</x:v>
      </x:c>
      <x:c r="D62" s="195" t="str">
        <x:v>Людина, яка співпрацює або допомагає іншому; асоційований; друг.</x:v>
      </x:c>
      <x:c r="E62" s="192" t="str">
        <x:v>Oxford C1</x:v>
      </x:c>
      <x:c r="F62" s="192" t="str">
        <x:v>Core</x:v>
      </x:c>
      <x:c r="G62" s="192" t="str">
        <x:v>Not Started</x:v>
      </x:c>
      <x:c r="H62" s="192" t="n">
        <x:v>0</x:v>
      </x:c>
    </x:row>
    <x:row r="63" ht="56" customHeight="1">
      <x:c r="A63" s="192" t="str">
        <x:v>aluminium</x:v>
      </x:c>
      <x:c r="B63" s="192" t="str">
        <x:v>n.</x:v>
      </x:c>
      <x:c r="C63" s="194" t="str">
        <x:v>алюміній</x:v>
      </x:c>
      <x:c r="D63" s="195" t="str">
        <x:v>Легкий сріблястий метал, що добувається з бокситів, і хімічний елемент (символ Al) з атомним номером 13.</x:v>
      </x:c>
      <x:c r="E63" s="192" t="str">
        <x:v>Oxford C1</x:v>
      </x:c>
      <x:c r="F63" s="192" t="str">
        <x:v>Core</x:v>
      </x:c>
      <x:c r="G63" s="192" t="str">
        <x:v>Not Started</x:v>
      </x:c>
      <x:c r="H63" s="192" t="n">
        <x:v>0</x:v>
      </x:c>
    </x:row>
    <x:row r="64" ht="56" customHeight="1">
      <x:c r="A64" s="192" t="str">
        <x:v>amateur</x:v>
      </x:c>
      <x:c r="B64" s="192" t="str">
        <x:v>adj., n.</x:v>
      </x:c>
      <x:c r="C64" s="194" t="str">
        <x:v>любитель</x:v>
      </x:c>
      <x:c r="D64" s="195" t="str">
        <x:v>Людина, прив’язана до певної діяльності, навчання, науки чи мистецтва (наприклад, музики чи живопису), особливо та, яка розвиває будь-які дослідження, інтереси, смаки чи прихильності, не займаючись цим професійно.</x:v>
      </x:c>
      <x:c r="E64" s="192" t="str">
        <x:v>Oxford C1</x:v>
      </x:c>
      <x:c r="F64" s="192" t="str">
        <x:v>Core</x:v>
      </x:c>
      <x:c r="G64" s="192" t="str">
        <x:v>Not Started</x:v>
      </x:c>
      <x:c r="H64" s="192" t="n">
        <x:v>0</x:v>
      </x:c>
    </x:row>
    <x:row r="65" ht="56" customHeight="1">
      <x:c r="A65" s="192" t="str">
        <x:v>ambassador</x:v>
      </x:c>
      <x:c r="B65" s="192" t="str">
        <x:v>n.</x:v>
      </x:c>
      <x:c r="C65" s="194" t="str">
        <x:v>посол</x:v>
      </x:c>
      <x:c r="D65" s="195" t="str">
        <x:v>Дипломат найвищого рангу, посланий до іноземного двору, щоб представляти там свого суверена або країну. (Іноді його називають резиденцією посла)</x:v>
      </x:c>
      <x:c r="E65" s="192" t="str">
        <x:v>Oxford C1</x:v>
      </x:c>
      <x:c r="F65" s="192" t="str">
        <x:v>Core</x:v>
      </x:c>
      <x:c r="G65" s="192" t="str">
        <x:v>Not Started</x:v>
      </x:c>
      <x:c r="H65" s="192" t="n">
        <x:v>0</x:v>
      </x:c>
    </x:row>
    <x:row r="66" ht="56" customHeight="1">
      <x:c r="A66" s="192" t="str">
        <x:v>amend</x:v>
      </x:c>
      <x:c r="B66" s="192" t="str">
        <x:v>v.</x:v>
      </x:c>
      <x:c r="C66" s="194" t="str">
        <x:v>змінити</x:v>
      </x:c>
      <x:c r="D66" s="195" t="str">
        <x:v>Зробити краще; покращити.</x:v>
      </x:c>
      <x:c r="E66" s="192" t="str">
        <x:v>Oxford C1</x:v>
      </x:c>
      <x:c r="F66" s="192" t="str">
        <x:v>Core</x:v>
      </x:c>
      <x:c r="G66" s="192" t="str">
        <x:v>Not Started</x:v>
      </x:c>
      <x:c r="H66" s="192" t="n">
        <x:v>0</x:v>
      </x:c>
    </x:row>
    <x:row r="67" ht="56" customHeight="1">
      <x:c r="A67" s="192" t="str">
        <x:v>amendment</x:v>
      </x:c>
      <x:c r="B67" s="192" t="str">
        <x:v>n.</x:v>
      </x:c>
      <x:c r="C67" s="194" t="str">
        <x:v>поправка</x:v>
      </x:c>
      <x:c r="D67" s="195" t="str">
        <x:v>Доповнення та/або зміни до Конституції.</x:v>
      </x:c>
      <x:c r="E67" s="192" t="str">
        <x:v>Oxford C1 + AWL 5</x:v>
      </x:c>
      <x:c r="F67" s="192" t="str">
        <x:v>High</x:v>
      </x:c>
      <x:c r="G67" s="192" t="str">
        <x:v>Not Started</x:v>
      </x:c>
      <x:c r="H67" s="192" t="n">
        <x:v>0</x:v>
      </x:c>
    </x:row>
    <x:row r="68" ht="56" customHeight="1">
      <x:c r="A68" s="192" t="str">
        <x:v>amid</x:v>
      </x:c>
      <x:c r="B68" s="192" t="str">
        <x:v>prep.</x:v>
      </x:c>
      <x:c r="C68" s="194" t="str">
        <x:v>посеред</x:v>
      </x:c>
      <x:c r="D68" s="195" t="str">
        <x:v>Архаїчна форма аміду. [(органічна хімія) Будь-яка похідна оксокислоти, в якій гідроксильна група була замінена аміногрупою або заміщеною аміногрупою;</x:v>
      </x:c>
      <x:c r="E68" s="192" t="str">
        <x:v>Oxford C1</x:v>
      </x:c>
      <x:c r="F68" s="192" t="str">
        <x:v>Core</x:v>
      </x:c>
      <x:c r="G68" s="192" t="str">
        <x:v>Not Started</x:v>
      </x:c>
      <x:c r="H68" s="192" t="n">
        <x:v>0</x:v>
      </x:c>
    </x:row>
    <x:row r="69" ht="56" customHeight="1">
      <x:c r="A69" s="192" t="str">
        <x:v>analogy</x:v>
      </x:c>
      <x:c r="B69" s="192" t="str">
        <x:v>n.</x:v>
      </x:c>
      <x:c r="C69" s="194" t="str">
        <x:v>аналогія</x:v>
      </x:c>
      <x:c r="D69" s="195" t="str">
        <x:v>Відношення подібності або еквівалентності між двома ситуаціями, людьми чи об’єктами, особливо коли використовується як основа для пояснення чи екстраполяції.</x:v>
      </x:c>
      <x:c r="E69" s="192" t="str">
        <x:v>Oxford C1</x:v>
      </x:c>
      <x:c r="F69" s="192" t="str">
        <x:v>Core</x:v>
      </x:c>
      <x:c r="G69" s="192" t="str">
        <x:v>Not Started</x:v>
      </x:c>
      <x:c r="H69" s="192" t="n">
        <x:v>0</x:v>
      </x:c>
    </x:row>
    <x:row r="70" ht="56" customHeight="1">
      <x:c r="A70" s="192" t="str">
        <x:v>anchor</x:v>
      </x:c>
      <x:c r="B70" s="192" t="str">
        <x:v>n.</x:v>
      </x:c>
      <x:c r="C70" s="194" t="str">
        <x:v>якір</x:v>
      </x:c>
      <x:c r="D70" s="195" t="str">
        <x:v>Інструмент, який використовується для причалювання судна до дна моря чи річки, щоб протистояти руху.</x:v>
      </x:c>
      <x:c r="E70" s="192" t="str">
        <x:v>Oxford C1</x:v>
      </x:c>
      <x:c r="F70" s="192" t="str">
        <x:v>Core</x:v>
      </x:c>
      <x:c r="G70" s="192" t="str">
        <x:v>Not Started</x:v>
      </x:c>
      <x:c r="H70" s="192" t="n">
        <x:v>0</x:v>
      </x:c>
    </x:row>
    <x:row r="71" ht="56" customHeight="1">
      <x:c r="A71" s="192" t="str">
        <x:v>angel</x:v>
      </x:c>
      <x:c r="B71" s="192" t="str">
        <x:v>n.</x:v>
      </x:c>
      <x:c r="C71" s="194" t="str">
        <x:v>ангел</x:v>
      </x:c>
      <x:c r="D71" s="195" t="str">
        <x:v>Безтілесний і святий або напівбожественний посланець божества чи іншої божественної сутності, традиційно зображується як молода крилата фігура в розвіваються шатах.</x:v>
      </x:c>
      <x:c r="E71" s="192" t="str">
        <x:v>Oxford C1</x:v>
      </x:c>
      <x:c r="F71" s="192" t="str">
        <x:v>Core</x:v>
      </x:c>
      <x:c r="G71" s="192" t="str">
        <x:v>Not Started</x:v>
      </x:c>
      <x:c r="H71" s="192" t="n">
        <x:v>0</x:v>
      </x:c>
    </x:row>
    <x:row r="72" ht="56" customHeight="1">
      <x:c r="A72" s="192" t="str">
        <x:v>anonymous</x:v>
      </x:c>
      <x:c r="B72" s="192" t="str">
        <x:v>adj.</x:v>
      </x:c>
      <x:c r="C72" s="194" t="str">
        <x:v>анонім</x:v>
      </x:c>
      <x:c r="D72" s="195" t="str">
        <x:v>Без жодного визнання імені відповідальної особи.</x:v>
      </x:c>
      <x:c r="E72" s="192" t="str">
        <x:v>Oxford C1</x:v>
      </x:c>
      <x:c r="F72" s="192" t="str">
        <x:v>Core</x:v>
      </x:c>
      <x:c r="G72" s="192" t="str">
        <x:v>Not Started</x:v>
      </x:c>
      <x:c r="H72" s="192" t="n">
        <x:v>0</x:v>
      </x:c>
    </x:row>
    <x:row r="73" ht="56" customHeight="1">
      <x:c r="A73" s="192" t="str">
        <x:v>apparatus</x:v>
      </x:c>
      <x:c r="B73" s="192" t="str">
        <x:v>n.</x:v>
      </x:c>
      <x:c r="C73" s="194" t="str">
        <x:v>апарат</x:v>
      </x:c>
      <x:c r="D73" s="195" t="str">
        <x:v>Сукупність засобів, за допомогою яких створюється конкретне виробництво або виконується завдання.</x:v>
      </x:c>
      <x:c r="E73" s="192" t="str">
        <x:v>Oxford C1</x:v>
      </x:c>
      <x:c r="F73" s="192" t="str">
        <x:v>Core</x:v>
      </x:c>
      <x:c r="G73" s="192" t="str">
        <x:v>Not Started</x:v>
      </x:c>
      <x:c r="H73" s="192" t="n">
        <x:v>0</x:v>
      </x:c>
    </x:row>
    <x:row r="74" ht="56" customHeight="1">
      <x:c r="A74" s="192" t="str">
        <x:v>appealing</x:v>
      </x:c>
      <x:c r="B74" s="192" t="str">
        <x:v>adj.</x:v>
      </x:c>
      <x:c r="C74" s="194" t="str">
        <x:v>привабливий</x:v>
      </x:c>
      <x:c r="D74" s="195" t="str">
        <x:v>Наявність апеляції; привабливий.</x:v>
      </x:c>
      <x:c r="E74" s="192" t="str">
        <x:v>Oxford C1</x:v>
      </x:c>
      <x:c r="F74" s="192" t="str">
        <x:v>Core</x:v>
      </x:c>
      <x:c r="G74" s="192" t="str">
        <x:v>Not Started</x:v>
      </x:c>
      <x:c r="H74" s="192" t="n">
        <x:v>0</x:v>
      </x:c>
    </x:row>
    <x:row r="75" ht="56" customHeight="1">
      <x:c r="A75" s="192" t="str">
        <x:v>appetite</x:v>
      </x:c>
      <x:c r="B75" s="192" t="str">
        <x:v>n.</x:v>
      </x:c>
      <x:c r="C75" s="194" t="str">
        <x:v>апетит</x:v>
      </x:c>
      <x:c r="D75" s="195" t="str">
        <x:v>Бажання з'їсти їжу або випити напої.</x:v>
      </x:c>
      <x:c r="E75" s="192" t="str">
        <x:v>Oxford C1</x:v>
      </x:c>
      <x:c r="F75" s="192" t="str">
        <x:v>Core</x:v>
      </x:c>
      <x:c r="G75" s="192" t="str">
        <x:v>Not Started</x:v>
      </x:c>
      <x:c r="H75" s="192" t="n">
        <x:v>0</x:v>
      </x:c>
    </x:row>
    <x:row r="76" ht="56" customHeight="1">
      <x:c r="A76" s="192" t="str">
        <x:v>applaud</x:v>
      </x:c>
      <x:c r="B76" s="192" t="str">
        <x:v>v.</x:v>
      </x:c>
      <x:c r="C76" s="194" t="str">
        <x:v>аплодувати</x:v>
      </x:c>
      <x:c r="D76" s="195" t="str">
        <x:v>Виражати схвалення (чогось) плеском у долоні.</x:v>
      </x:c>
      <x:c r="E76" s="192" t="str">
        <x:v>Oxford C1</x:v>
      </x:c>
      <x:c r="F76" s="192" t="str">
        <x:v>Core</x:v>
      </x:c>
      <x:c r="G76" s="192" t="str">
        <x:v>Not Started</x:v>
      </x:c>
      <x:c r="H76" s="192" t="n">
        <x:v>0</x:v>
      </x:c>
    </x:row>
    <x:row r="77" ht="56" customHeight="1">
      <x:c r="A77" s="192" t="str">
        <x:v>applicable</x:v>
      </x:c>
      <x:c r="B77" s="192" t="str">
        <x:v>adj.</x:v>
      </x:c>
      <x:c r="C77" s="194" t="str">
        <x:v>застосовний</x:v>
      </x:c>
      <x:c r="D77" s="195" t="str">
        <x:v>Підходить для застосування, актуальна.</x:v>
      </x:c>
      <x:c r="E77" s="192" t="str">
        <x:v>Oxford C1</x:v>
      </x:c>
      <x:c r="F77" s="192" t="str">
        <x:v>Core</x:v>
      </x:c>
      <x:c r="G77" s="192" t="str">
        <x:v>Not Started</x:v>
      </x:c>
      <x:c r="H77" s="192" t="n">
        <x:v>0</x:v>
      </x:c>
    </x:row>
    <x:row r="78" ht="56" customHeight="1">
      <x:c r="A78" s="192" t="str">
        <x:v>appoint</x:v>
      </x:c>
      <x:c r="B78" s="192" t="str">
        <x:v>v.</x:v>
      </x:c>
      <x:c r="C78" s="194" t="str">
        <x:v>призначати</x:v>
      </x:c>
      <x:c r="D78" s="195" t="str">
        <x:v>Іменувати (когось на посаду чи роль).</x:v>
      </x:c>
      <x:c r="E78" s="192" t="str">
        <x:v>Oxford C1</x:v>
      </x:c>
      <x:c r="F78" s="192" t="str">
        <x:v>Core</x:v>
      </x:c>
      <x:c r="G78" s="192" t="str">
        <x:v>Not Started</x:v>
      </x:c>
      <x:c r="H78" s="192" t="n">
        <x:v>0</x:v>
      </x:c>
    </x:row>
    <x:row r="79" ht="56" customHeight="1">
      <x:c r="A79" s="192" t="str">
        <x:v>appreciation</x:v>
      </x:c>
      <x:c r="B79" s="192" t="str">
        <x:v>n.</x:v>
      </x:c>
      <x:c r="C79" s="194" t="str">
        <x:v>вдячність</x:v>
      </x:c>
      <x:c r="D79" s="195" t="str">
        <x:v>Справедлива оцінка якості, цінності, ваги тощо; визнання досконалості; вдячність і пошана.</x:v>
      </x:c>
      <x:c r="E79" s="192" t="str">
        <x:v>Oxford C1 + AWL 8</x:v>
      </x:c>
      <x:c r="F79" s="192" t="str">
        <x:v>High</x:v>
      </x:c>
      <x:c r="G79" s="192" t="str">
        <x:v>Not Started</x:v>
      </x:c>
      <x:c r="H79" s="192" t="n">
        <x:v>0</x:v>
      </x:c>
    </x:row>
    <x:row r="80" ht="56" customHeight="1">
      <x:c r="A80" s="192" t="str">
        <x:v>arbitrary</x:v>
      </x:c>
      <x:c r="B80" s="192" t="str">
        <x:v>adj.</x:v>
      </x:c>
      <x:c r="C80" s="194" t="str">
        <x:v>довільний</x:v>
      </x:c>
      <x:c r="D80" s="195" t="str">
        <x:v>На основі особистого розсуду чи судження; не ґрунтуючись на будь-якій об’єктивній відмінності, можливо, навіть зробленій навмання.</x:v>
      </x:c>
      <x:c r="E80" s="192" t="str">
        <x:v>Oxford C1 + AWL 8</x:v>
      </x:c>
      <x:c r="F80" s="192" t="str">
        <x:v>High</x:v>
      </x:c>
      <x:c r="G80" s="192" t="str">
        <x:v>Not Started</x:v>
      </x:c>
      <x:c r="H80" s="192" t="n">
        <x:v>0</x:v>
      </x:c>
    </x:row>
    <x:row r="81" ht="56" customHeight="1">
      <x:c r="A81" s="192" t="str">
        <x:v>architectural</x:v>
      </x:c>
      <x:c r="B81" s="192" t="str">
        <x:v>adj.</x:v>
      </x:c>
      <x:c r="C81" s="194" t="str">
        <x:v>архітектурний</x:v>
      </x:c>
      <x:c r="D81" s="195" t="str">
        <x:v>Що стосується архітектури.</x:v>
      </x:c>
      <x:c r="E81" s="192" t="str">
        <x:v>Oxford C1</x:v>
      </x:c>
      <x:c r="F81" s="192" t="str">
        <x:v>Core</x:v>
      </x:c>
      <x:c r="G81" s="192" t="str">
        <x:v>Not Started</x:v>
      </x:c>
      <x:c r="H81" s="192" t="n">
        <x:v>0</x:v>
      </x:c>
    </x:row>
    <x:row r="82" ht="56" customHeight="1">
      <x:c r="A82" s="192" t="str">
        <x:v>archive</x:v>
      </x:c>
      <x:c r="B82" s="192" t="str">
        <x:v>n.</x:v>
      </x:c>
      <x:c r="C82" s="194" t="str">
        <x:v>архів</x:v>
      </x:c>
      <x:c r="D82" s="195" t="str">
        <x:v>Місце для зберігання раннього, а часто й історичного матеріалу. Архів зазвичай містить документи (листи, записи, газети тощо) або інші типи носіїв, які зберігаються для історичного інтересу.</x:v>
      </x:c>
      <x:c r="E82" s="192" t="str">
        <x:v>Oxford C1</x:v>
      </x:c>
      <x:c r="F82" s="192" t="str">
        <x:v>Core</x:v>
      </x:c>
      <x:c r="G82" s="192" t="str">
        <x:v>Not Started</x:v>
      </x:c>
      <x:c r="H82" s="192" t="n">
        <x:v>0</x:v>
      </x:c>
    </x:row>
    <x:row r="83" ht="56" customHeight="1">
      <x:c r="A83" s="192" t="str">
        <x:v>arena</x:v>
      </x:c>
      <x:c r="B83" s="192" t="str">
        <x:v>n.</x:v>
      </x:c>
      <x:c r="C83" s="194" t="str">
        <x:v>арена</x:v>
      </x:c>
      <x:c r="D83" s="195" t="str">
        <x:v>Будівля, в якій розміщена така площа; зокрема, дуже велика, часто кругла будівля, часто увінчана куполом, призначена для проведення спортивних змагань у приміщенні або інших великих заходів, таких як концерти.</x:v>
      </x:c>
      <x:c r="E83" s="192" t="str">
        <x:v>Oxford C1</x:v>
      </x:c>
      <x:c r="F83" s="192" t="str">
        <x:v>Core</x:v>
      </x:c>
      <x:c r="G83" s="192" t="str">
        <x:v>Not Started</x:v>
      </x:c>
      <x:c r="H83" s="192" t="n">
        <x:v>0</x:v>
      </x:c>
    </x:row>
    <x:row r="84" ht="56" customHeight="1">
      <x:c r="A84" s="192" t="str">
        <x:v>arguably</x:v>
      </x:c>
      <x:c r="B84" s="192" t="str">
        <x:v>adv.</x:v>
      </x:c>
      <x:c r="C84" s="194" t="str">
        <x:v>можна стверджувати; ймовірно</x:v>
      </x:c>
      <x:c r="D84" s="195" t="str">
        <x:v>Як може бути підтверджено або доведено обґрунтованими логічними висновками, доказами та прецедентом, але без абсолютної впевненості.</x:v>
      </x:c>
      <x:c r="E84" s="192" t="str">
        <x:v>Oxford C1</x:v>
      </x:c>
      <x:c r="F84" s="192" t="str">
        <x:v>Core</x:v>
      </x:c>
      <x:c r="G84" s="192" t="str">
        <x:v>Not Started</x:v>
      </x:c>
      <x:c r="H84" s="192" t="n">
        <x:v>0</x:v>
      </x:c>
    </x:row>
    <x:row r="85" ht="56" customHeight="1">
      <x:c r="A85" s="192" t="str">
        <x:v>arm</x:v>
      </x:c>
      <x:c r="B85" s="192" t="str">
        <x:v>v.</x:v>
      </x:c>
      <x:c r="C85" s="194" t="str">
        <x:v>озброювати</x:v>
      </x:c>
      <x:c r="D85" s="195" t="str">
        <x:v>Для забезпечення бронею або (особливо пізніше) зброєю.</x:v>
      </x:c>
      <x:c r="E85" s="192" t="str">
        <x:v>Oxford C1</x:v>
      </x:c>
      <x:c r="F85" s="192" t="str">
        <x:v>Core</x:v>
      </x:c>
      <x:c r="G85" s="192" t="str">
        <x:v>Not Started</x:v>
      </x:c>
      <x:c r="H85" s="192" t="n">
        <x:v>0</x:v>
      </x:c>
    </x:row>
    <x:row r="86" ht="56" customHeight="1">
      <x:c r="A86" s="192" t="str">
        <x:v>array</x:v>
      </x:c>
      <x:c r="B86" s="192" t="str">
        <x:v>n.</x:v>
      </x:c>
      <x:c r="C86" s="194" t="str">
        <x:v>масив</x:v>
      </x:c>
      <x:c r="D86" s="195" t="str">
        <x:v>Будь-яка з різних структур даних, розроблена для зберігання кількох елементів одного типу; зокрема, структуру даних, яка зберігає ці елементи в суміжних місцях пам’яті, щоб їх можна було отримати за допомогою числових інде...</x:v>
      </x:c>
      <x:c r="E86" s="192" t="str">
        <x:v>Oxford C1</x:v>
      </x:c>
      <x:c r="F86" s="192" t="str">
        <x:v>Core</x:v>
      </x:c>
      <x:c r="G86" s="192" t="str">
        <x:v>Not Started</x:v>
      </x:c>
      <x:c r="H86" s="192" t="n">
        <x:v>0</x:v>
      </x:c>
    </x:row>
    <x:row r="87" ht="56" customHeight="1">
      <x:c r="A87" s="192" t="str">
        <x:v>articulate</x:v>
      </x:c>
      <x:c r="B87" s="192" t="str">
        <x:v>v.</x:v>
      </x:c>
      <x:c r="C87" s="194" t="str">
        <x:v>артикулювати</x:v>
      </x:c>
      <x:c r="D87" s="195" t="str">
        <x:v>Говорити чітко; виголошувати.</x:v>
      </x:c>
      <x:c r="E87" s="192" t="str">
        <x:v>Oxford C1</x:v>
      </x:c>
      <x:c r="F87" s="192" t="str">
        <x:v>Core</x:v>
      </x:c>
      <x:c r="G87" s="192" t="str">
        <x:v>Not Started</x:v>
      </x:c>
      <x:c r="H87" s="192" t="n">
        <x:v>0</x:v>
      </x:c>
    </x:row>
    <x:row r="88" ht="56" customHeight="1">
      <x:c r="A88" s="192" t="str">
        <x:v>ash</x:v>
      </x:c>
      <x:c r="B88" s="192" t="str">
        <x:v>n.</x:v>
      </x:c>
      <x:c r="C88" s="194" t="str">
        <x:v>попіл</x:v>
      </x:c>
      <x:c r="D88" s="195" t="str">
        <x:v>Суцільні залишки пожежі.</x:v>
      </x:c>
      <x:c r="E88" s="192" t="str">
        <x:v>Oxford C1</x:v>
      </x:c>
      <x:c r="F88" s="192" t="str">
        <x:v>Core</x:v>
      </x:c>
      <x:c r="G88" s="192" t="str">
        <x:v>Not Started</x:v>
      </x:c>
      <x:c r="H88" s="192" t="n">
        <x:v>0</x:v>
      </x:c>
    </x:row>
    <x:row r="89" ht="56" customHeight="1">
      <x:c r="A89" s="192" t="str">
        <x:v>aspiration</x:v>
      </x:c>
      <x:c r="B89" s="192" t="str">
        <x:v>n.</x:v>
      </x:c>
      <x:c r="C89" s="194" t="str">
        <x:v>прагнення</x:v>
      </x:c>
      <x:c r="D89" s="195" t="str">
        <x:v>Акт прагнення або палкого бажання; палке бажання або бажання, головним чином після того, що є піднесеним або духовним (із загальними додатками до і до).</x:v>
      </x:c>
      <x:c r="E89" s="192" t="str">
        <x:v>Oxford C1</x:v>
      </x:c>
      <x:c r="F89" s="192" t="str">
        <x:v>Core</x:v>
      </x:c>
      <x:c r="G89" s="192" t="str">
        <x:v>Not Started</x:v>
      </x:c>
      <x:c r="H89" s="192" t="n">
        <x:v>0</x:v>
      </x:c>
    </x:row>
    <x:row r="90" ht="56" customHeight="1">
      <x:c r="A90" s="192" t="str">
        <x:v>aspire</x:v>
      </x:c>
      <x:c r="B90" s="192" t="str">
        <x:v>v.</x:v>
      </x:c>
      <x:c r="C90" s="194" t="str">
        <x:v>прагнути</x:v>
      </x:c>
      <x:c r="D90" s="195" t="str">
        <x:v>Мати сильне бажання або амбіції досягти чогось.</x:v>
      </x:c>
      <x:c r="E90" s="192" t="str">
        <x:v>Oxford C1</x:v>
      </x:c>
      <x:c r="F90" s="192" t="str">
        <x:v>Core</x:v>
      </x:c>
      <x:c r="G90" s="192" t="str">
        <x:v>Not Started</x:v>
      </x:c>
      <x:c r="H90" s="192" t="n">
        <x:v>0</x:v>
      </x:c>
    </x:row>
    <x:row r="91" ht="56" customHeight="1">
      <x:c r="A91" s="192" t="str">
        <x:v>assassination</x:v>
      </x:c>
      <x:c r="B91" s="192" t="str">
        <x:v>n.</x:v>
      </x:c>
      <x:c r="C91" s="194" t="str">
        <x:v>вбивство</x:v>
      </x:c>
      <x:c r="D91" s="195" t="str">
        <x:v>Вбивство людини, особливо з політичних мотивів або заради особистої вигоди.</x:v>
      </x:c>
      <x:c r="E91" s="192" t="str">
        <x:v>Oxford C1</x:v>
      </x:c>
      <x:c r="F91" s="192" t="str">
        <x:v>Core</x:v>
      </x:c>
      <x:c r="G91" s="192" t="str">
        <x:v>Not Started</x:v>
      </x:c>
      <x:c r="H91" s="192" t="n">
        <x:v>0</x:v>
      </x:c>
    </x:row>
    <x:row r="92" ht="56" customHeight="1">
      <x:c r="A92" s="192" t="str">
        <x:v>assault</x:v>
      </x:c>
      <x:c r="B92" s="192" t="str">
        <x:v>n., v.</x:v>
      </x:c>
      <x:c r="C92" s="194" t="str">
        <x:v>напад</x:v>
      </x:c>
      <x:c r="D92" s="195" t="str">
        <x:v>Нападати, фізично чи фігурально; атакувати.</x:v>
      </x:c>
      <x:c r="E92" s="192" t="str">
        <x:v>Oxford C1</x:v>
      </x:c>
      <x:c r="F92" s="192" t="str">
        <x:v>Core</x:v>
      </x:c>
      <x:c r="G92" s="192" t="str">
        <x:v>Not Started</x:v>
      </x:c>
      <x:c r="H92" s="192" t="n">
        <x:v>0</x:v>
      </x:c>
    </x:row>
    <x:row r="93" ht="56" customHeight="1">
      <x:c r="A93" s="192" t="str">
        <x:v>assemble</x:v>
      </x:c>
      <x:c r="B93" s="192" t="str">
        <x:v>v.</x:v>
      </x:c>
      <x:c r="C93" s="194" t="str">
        <x:v>зібрати</x:v>
      </x:c>
      <x:c r="D93" s="195" t="str">
        <x:v>Збирати разом.</x:v>
      </x:c>
      <x:c r="E93" s="192" t="str">
        <x:v>Oxford C1</x:v>
      </x:c>
      <x:c r="F93" s="192" t="str">
        <x:v>Core</x:v>
      </x:c>
      <x:c r="G93" s="192" t="str">
        <x:v>Not Started</x:v>
      </x:c>
      <x:c r="H93" s="192" t="n">
        <x:v>0</x:v>
      </x:c>
    </x:row>
    <x:row r="94" ht="56" customHeight="1">
      <x:c r="A94" s="192" t="str">
        <x:v>assembly</x:v>
      </x:c>
      <x:c r="B94" s="192" t="str">
        <x:v>n.</x:v>
      </x:c>
      <x:c r="C94" s="194" t="str">
        <x:v>збірка</x:v>
      </x:c>
      <x:c r="D94" s="195" t="str">
        <x:v>Згромадження людей в одному місці з певною метою.</x:v>
      </x:c>
      <x:c r="E94" s="192" t="str">
        <x:v>Oxford C1 + AWL 10</x:v>
      </x:c>
      <x:c r="F94" s="192" t="str">
        <x:v>High</x:v>
      </x:c>
      <x:c r="G94" s="192" t="str">
        <x:v>Not Started</x:v>
      </x:c>
      <x:c r="H94" s="192" t="n">
        <x:v>0</x:v>
      </x:c>
    </x:row>
    <x:row r="95" ht="56" customHeight="1">
      <x:c r="A95" s="192" t="str">
        <x:v>assert</x:v>
      </x:c>
      <x:c r="B95" s="192" t="str">
        <x:v>v.</x:v>
      </x:c>
      <x:c r="C95" s="194" t="str">
        <x:v>стверджувати</x:v>
      </x:c>
      <x:c r="D95" s="195" t="str">
        <x:v>Заявляти з упевненістю або просто і рішуче; стверджувати позитивно.</x:v>
      </x:c>
      <x:c r="E95" s="192" t="str">
        <x:v>Oxford C1</x:v>
      </x:c>
      <x:c r="F95" s="192" t="str">
        <x:v>Core</x:v>
      </x:c>
      <x:c r="G95" s="192" t="str">
        <x:v>Not Started</x:v>
      </x:c>
      <x:c r="H95" s="192" t="n">
        <x:v>0</x:v>
      </x:c>
    </x:row>
    <x:row r="96" ht="56" customHeight="1">
      <x:c r="A96" s="192" t="str">
        <x:v>assertion</x:v>
      </x:c>
      <x:c r="B96" s="192" t="str">
        <x:v>n.</x:v>
      </x:c>
      <x:c r="C96" s="194" t="str">
        <x:v>твердження</x:v>
      </x:c>
      <x:c r="D96" s="195" t="str">
        <x:v>Акт ствердження; позитивна декларація або авермент.</x:v>
      </x:c>
      <x:c r="E96" s="192" t="str">
        <x:v>Oxford C1</x:v>
      </x:c>
      <x:c r="F96" s="192" t="str">
        <x:v>Core</x:v>
      </x:c>
      <x:c r="G96" s="192" t="str">
        <x:v>Not Started</x:v>
      </x:c>
      <x:c r="H96" s="192" t="n">
        <x:v>0</x:v>
      </x:c>
    </x:row>
    <x:row r="97" ht="56" customHeight="1">
      <x:c r="A97" s="192" t="str">
        <x:v>assurance</x:v>
      </x:c>
      <x:c r="B97" s="192" t="str">
        <x:v>n.</x:v>
      </x:c>
      <x:c r="C97" s="194" t="str">
        <x:v>запевнення</x:v>
      </x:c>
      <x:c r="D97" s="195" t="str">
        <x:v>Акт запевнення; заява, яка має викликати повну довіру; щось, створене для того, щоб надати комусь впевненості.</x:v>
      </x:c>
      <x:c r="E97" s="192" t="str">
        <x:v>Oxford C1 + AWL 9</x:v>
      </x:c>
      <x:c r="F97" s="192" t="str">
        <x:v>High</x:v>
      </x:c>
      <x:c r="G97" s="192" t="str">
        <x:v>Not Started</x:v>
      </x:c>
      <x:c r="H97" s="192" t="n">
        <x:v>0</x:v>
      </x:c>
    </x:row>
    <x:row r="98" ht="56" customHeight="1">
      <x:c r="A98" s="192" t="str">
        <x:v>asylum</x:v>
      </x:c>
      <x:c r="B98" s="192" t="str">
        <x:v>n.</x:v>
      </x:c>
      <x:c r="C98" s="194" t="str">
        <x:v>притулок</x:v>
      </x:c>
      <x:c r="D98" s="195" t="str">
        <x:v>Місце безпеки або притулок.</x:v>
      </x:c>
      <x:c r="E98" s="192" t="str">
        <x:v>Oxford C1</x:v>
      </x:c>
      <x:c r="F98" s="192" t="str">
        <x:v>Core</x:v>
      </x:c>
      <x:c r="G98" s="192" t="str">
        <x:v>Not Started</x:v>
      </x:c>
      <x:c r="H98" s="192" t="n">
        <x:v>0</x:v>
      </x:c>
    </x:row>
    <x:row r="99" ht="56" customHeight="1">
      <x:c r="A99" s="192" t="str">
        <x:v>atrocity</x:v>
      </x:c>
      <x:c r="B99" s="192" t="str">
        <x:v>n.</x:v>
      </x:c>
      <x:c r="C99" s="194" t="str">
        <x:v>злодіяння</x:v>
      </x:c>
      <x:c r="D99" s="195" t="str">
        <x:v>Надзвичайно жорстокий вчинок; жахливий акт несправедливості.</x:v>
      </x:c>
      <x:c r="E99" s="192" t="str">
        <x:v>Oxford C1</x:v>
      </x:c>
      <x:c r="F99" s="192" t="str">
        <x:v>Core</x:v>
      </x:c>
      <x:c r="G99" s="192" t="str">
        <x:v>Not Started</x:v>
      </x:c>
      <x:c r="H99" s="192" t="n">
        <x:v>0</x:v>
      </x:c>
    </x:row>
    <x:row r="100" ht="56" customHeight="1">
      <x:c r="A100" s="192" t="str">
        <x:v>attain</x:v>
      </x:c>
      <x:c r="B100" s="192" t="str">
        <x:v>v.</x:v>
      </x:c>
      <x:c r="C100" s="194" t="str">
        <x:v>досягти</x:v>
      </x:c>
      <x:c r="D100" s="195" t="str">
        <x:v>Отримати (об'єкт або бажаний результат).</x:v>
      </x:c>
      <x:c r="E100" s="192" t="str">
        <x:v>Oxford C1</x:v>
      </x:c>
      <x:c r="F100" s="192" t="str">
        <x:v>Core</x:v>
      </x:c>
      <x:c r="G100" s="192" t="str">
        <x:v>Not Started</x:v>
      </x:c>
      <x:c r="H100" s="192" t="n">
        <x:v>0</x:v>
      </x:c>
    </x:row>
    <x:row r="101" ht="56" customHeight="1">
      <x:c r="A101" s="192" t="str">
        <x:v>attendance</x:v>
      </x:c>
      <x:c r="B101" s="192" t="str">
        <x:v>n.</x:v>
      </x:c>
      <x:c r="C101" s="194" t="str">
        <x:v>присутність</x:v>
      </x:c>
      <x:c r="D101" s="195" t="str">
        <x:v>Акт відвідування; стан присутності; наявність.</x:v>
      </x:c>
      <x:c r="E101" s="192" t="str">
        <x:v>Oxford C1</x:v>
      </x:c>
      <x:c r="F101" s="192" t="str">
        <x:v>Core</x:v>
      </x:c>
      <x:c r="G101" s="192" t="str">
        <x:v>Not Started</x:v>
      </x:c>
      <x:c r="H101" s="192" t="n">
        <x:v>0</x:v>
      </x:c>
    </x:row>
    <x:row r="102" ht="56" customHeight="1">
      <x:c r="A102" s="192" t="str">
        <x:v>attorney</x:v>
      </x:c>
      <x:c r="B102" s="192" t="str">
        <x:v>n.</x:v>
      </x:c>
      <x:c r="C102" s="194" t="str">
        <x:v>адвокат</x:v>
      </x:c>
      <x:c r="D102" s="195" t="str">
        <x:v>юрист; той, хто консультує або представляє інших у юридичних питаннях як професія.</x:v>
      </x:c>
      <x:c r="E102" s="192" t="str">
        <x:v>Oxford C1</x:v>
      </x:c>
      <x:c r="F102" s="192" t="str">
        <x:v>Core</x:v>
      </x:c>
      <x:c r="G102" s="192" t="str">
        <x:v>Not Started</x:v>
      </x:c>
      <x:c r="H102" s="192" t="n">
        <x:v>0</x:v>
      </x:c>
    </x:row>
    <x:row r="103" ht="56" customHeight="1">
      <x:c r="A103" s="192" t="str">
        <x:v>attribute</x:v>
      </x:c>
      <x:c r="B103" s="192" t="str">
        <x:v>v., n.</x:v>
      </x:c>
      <x:c r="C103" s="194" t="str">
        <x:v>атрибут</x:v>
      </x:c>
      <x:c r="D103" s="195" t="str">
        <x:v>Пов'язувати право власності чи авторство на (щось) з кимось.</x:v>
      </x:c>
      <x:c r="E103" s="192" t="str">
        <x:v>Oxford C1</x:v>
      </x:c>
      <x:c r="F103" s="192" t="str">
        <x:v>Core</x:v>
      </x:c>
      <x:c r="G103" s="192" t="str">
        <x:v>Not Started</x:v>
      </x:c>
      <x:c r="H103" s="192" t="n">
        <x:v>0</x:v>
      </x:c>
    </x:row>
    <x:row r="104" ht="56" customHeight="1">
      <x:c r="A104" s="192" t="str">
        <x:v>audit</x:v>
      </x:c>
      <x:c r="B104" s="192" t="str">
        <x:v>n.</x:v>
      </x:c>
      <x:c r="C104" s="194" t="str">
        <x:v>аудит</x:v>
      </x:c>
      <x:c r="D104" s="195" t="str">
        <x:v>Незалежний огляд і експертиза записів і заходів для оцінки адекватності засобів контролю системи, забезпечення відповідності встановленим політикам і операційним процедурам, а також рекомендації щодо необхідних змін...</x:v>
      </x:c>
      <x:c r="E104" s="192" t="str">
        <x:v>Oxford C1</x:v>
      </x:c>
      <x:c r="F104" s="192" t="str">
        <x:v>Core</x:v>
      </x:c>
      <x:c r="G104" s="192" t="str">
        <x:v>Not Started</x:v>
      </x:c>
      <x:c r="H104" s="192" t="n">
        <x:v>0</x:v>
      </x:c>
    </x:row>
    <x:row r="105" ht="56" customHeight="1">
      <x:c r="A105" s="192" t="str">
        <x:v>authentic</x:v>
      </x:c>
      <x:c r="B105" s="192" t="str">
        <x:v>adj.</x:v>
      </x:c>
      <x:c r="C105" s="194" t="str">
        <x:v>справжній</x:v>
      </x:c>
      <x:c r="D105" s="195" t="str">
        <x:v>Того ж походження, що заявлено; справжній.</x:v>
      </x:c>
      <x:c r="E105" s="192" t="str">
        <x:v>Oxford C1</x:v>
      </x:c>
      <x:c r="F105" s="192" t="str">
        <x:v>Core</x:v>
      </x:c>
      <x:c r="G105" s="192" t="str">
        <x:v>Not Started</x:v>
      </x:c>
      <x:c r="H105" s="192" t="n">
        <x:v>0</x:v>
      </x:c>
    </x:row>
    <x:row r="106" ht="56" customHeight="1">
      <x:c r="A106" s="192" t="str">
        <x:v>authorize</x:v>
      </x:c>
      <x:c r="B106" s="192" t="str">
        <x:v>v.</x:v>
      </x:c>
      <x:c r="C106" s="194" t="str">
        <x:v>авторизувати</x:v>
      </x:c>
      <x:c r="D106" s="195" t="str">
        <x:v>Надати (комусь) дозвіл або повноваження, необхідні для виконання (щось); дозволяти; санкціонувати або погодитися.</x:v>
      </x:c>
      <x:c r="E106" s="192" t="str">
        <x:v>Oxford C1</x:v>
      </x:c>
      <x:c r="F106" s="192" t="str">
        <x:v>Core</x:v>
      </x:c>
      <x:c r="G106" s="192" t="str">
        <x:v>Not Started</x:v>
      </x:c>
      <x:c r="H106" s="192" t="n">
        <x:v>0</x:v>
      </x:c>
    </x:row>
    <x:row r="107" ht="56" customHeight="1">
      <x:c r="A107" s="192" t="str">
        <x:v>auto</x:v>
      </x:c>
      <x:c r="B107" s="192" t="str">
        <x:v>n.</x:v>
      </x:c>
      <x:c r="C107" s="194" t="str">
        <x:v>авто</x:v>
      </x:c>
      <x:c r="D107" s="195" t="str">
        <x:v>Автомобіль з автоматичною коробкою передач.</x:v>
      </x:c>
      <x:c r="E107" s="192" t="str">
        <x:v>Oxford C1</x:v>
      </x:c>
      <x:c r="F107" s="192" t="str">
        <x:v>Core</x:v>
      </x:c>
      <x:c r="G107" s="192" t="str">
        <x:v>Not Started</x:v>
      </x:c>
      <x:c r="H107" s="192" t="n">
        <x:v>0</x:v>
      </x:c>
    </x:row>
    <x:row r="108" ht="56" customHeight="1">
      <x:c r="A108" s="192" t="str">
        <x:v>autonomy</x:v>
      </x:c>
      <x:c r="B108" s="192" t="str">
        <x:v>n.</x:v>
      </x:c>
      <x:c r="C108" s="194" t="str">
        <x:v>автономія</x:v>
      </x:c>
      <x:c r="D108" s="195" t="str">
        <x:v>Право або умова самоврядування; свобода діяти або функціонувати незалежно.</x:v>
      </x:c>
      <x:c r="E108" s="192" t="str">
        <x:v>Oxford C1</x:v>
      </x:c>
      <x:c r="F108" s="192" t="str">
        <x:v>Core</x:v>
      </x:c>
      <x:c r="G108" s="192" t="str">
        <x:v>Not Started</x:v>
      </x:c>
      <x:c r="H108" s="192" t="n">
        <x:v>0</x:v>
      </x:c>
    </x:row>
    <x:row r="109" ht="56" customHeight="1">
      <x:c r="A109" s="192" t="str">
        <x:v>availability</x:v>
      </x:c>
      <x:c r="B109" s="192" t="str">
        <x:v>n.</x:v>
      </x:c>
      <x:c r="C109" s="194" t="str">
        <x:v>наявність</x:v>
      </x:c>
      <x:c r="D109" s="195" t="str">
        <x:v>Якість бути доступним.</x:v>
      </x:c>
      <x:c r="E109" s="192" t="str">
        <x:v>Oxford C1</x:v>
      </x:c>
      <x:c r="F109" s="192" t="str">
        <x:v>Core</x:v>
      </x:c>
      <x:c r="G109" s="192" t="str">
        <x:v>Not Started</x:v>
      </x:c>
      <x:c r="H109" s="192" t="n">
        <x:v>0</x:v>
      </x:c>
    </x:row>
    <x:row r="110" ht="56" customHeight="1">
      <x:c r="A110" s="192" t="str">
        <x:v>await</x:v>
      </x:c>
      <x:c r="B110" s="192" t="str">
        <x:v>v.</x:v>
      </x:c>
      <x:c r="C110" s="194" t="str">
        <x:v>чекати</x:v>
      </x:c>
      <x:c r="D110" s="195" t="str">
        <x:v>Чекати.</x:v>
      </x:c>
      <x:c r="E110" s="192" t="str">
        <x:v>Oxford C1</x:v>
      </x:c>
      <x:c r="F110" s="192" t="str">
        <x:v>Core</x:v>
      </x:c>
      <x:c r="G110" s="192" t="str">
        <x:v>Not Started</x:v>
      </x:c>
      <x:c r="H110" s="192" t="n">
        <x:v>0</x:v>
      </x:c>
    </x:row>
    <x:row r="111" ht="56" customHeight="1">
      <x:c r="A111" s="192" t="str">
        <x:v>backdrop</x:v>
      </x:c>
      <x:c r="B111" s="192" t="str">
        <x:v>n.</x:v>
      </x:c>
      <x:c r="C111" s="194" t="str">
        <x:v>фон</x:v>
      </x:c>
      <x:c r="D111" s="195" t="str">
        <x:v>Обстановка або фон розіграної вистави.</x:v>
      </x:c>
      <x:c r="E111" s="192" t="str">
        <x:v>Oxford C1</x:v>
      </x:c>
      <x:c r="F111" s="192" t="str">
        <x:v>Core</x:v>
      </x:c>
      <x:c r="G111" s="192" t="str">
        <x:v>Not Started</x:v>
      </x:c>
      <x:c r="H111" s="192" t="n">
        <x:v>0</x:v>
      </x:c>
    </x:row>
    <x:row r="112" ht="56" customHeight="1">
      <x:c r="A112" s="192" t="str">
        <x:v>backing</x:v>
      </x:c>
      <x:c r="B112" s="192" t="str">
        <x:v>n.</x:v>
      </x:c>
      <x:c r="C112" s="194" t="str">
        <x:v>підкладка</x:v>
      </x:c>
      <x:c r="D112" s="195" t="str">
        <x:v>Підтримка, особливо фінансова.</x:v>
      </x:c>
      <x:c r="E112" s="192" t="str">
        <x:v>Oxford C1</x:v>
      </x:c>
      <x:c r="F112" s="192" t="str">
        <x:v>Core</x:v>
      </x:c>
      <x:c r="G112" s="192" t="str">
        <x:v>Not Started</x:v>
      </x:c>
      <x:c r="H112" s="192" t="n">
        <x:v>0</x:v>
      </x:c>
    </x:row>
    <x:row r="113" ht="56" customHeight="1">
      <x:c r="A113" s="192" t="str">
        <x:v>backup</x:v>
      </x:c>
      <x:c r="B113" s="192" t="str">
        <x:v>n.</x:v>
      </x:c>
      <x:c r="C113" s="194" t="str">
        <x:v>резервний</x:v>
      </x:c>
      <x:c r="D113" s="195" t="str">
        <x:v>Копія файлу або запису, що зберігається окремо від оригіналу, яку можна використати для відновлення оригіналу, якщо він пошкоджений або знищений.</x:v>
      </x:c>
      <x:c r="E113" s="192" t="str">
        <x:v>Oxford C1</x:v>
      </x:c>
      <x:c r="F113" s="192" t="str">
        <x:v>Core</x:v>
      </x:c>
      <x:c r="G113" s="192" t="str">
        <x:v>Not Started</x:v>
      </x:c>
      <x:c r="H113" s="192" t="n">
        <x:v>0</x:v>
      </x:c>
    </x:row>
    <x:row r="114" ht="56" customHeight="1">
      <x:c r="A114" s="192" t="str">
        <x:v>bail</x:v>
      </x:c>
      <x:c r="B114" s="192" t="str">
        <x:v>n.</x:v>
      </x:c>
      <x:c r="C114" s="194" t="str">
        <x:v>застава</x:v>
      </x:c>
      <x:c r="D114" s="195" t="str">
        <x:v>Забезпечення, як правило, грошова сума, яку обмінюють на звільнення заарештованої особи як гарантію явки цієї особи на суд.</x:v>
      </x:c>
      <x:c r="E114" s="192" t="str">
        <x:v>Oxford C1</x:v>
      </x:c>
      <x:c r="F114" s="192" t="str">
        <x:v>Core</x:v>
      </x:c>
      <x:c r="G114" s="192" t="str">
        <x:v>Not Started</x:v>
      </x:c>
      <x:c r="H114" s="192" t="n">
        <x:v>0</x:v>
      </x:c>
    </x:row>
    <x:row r="115" ht="56" customHeight="1">
      <x:c r="A115" s="192" t="str">
        <x:v>ballot</x:v>
      </x:c>
      <x:c r="B115" s="192" t="str">
        <x:v>n.</x:v>
      </x:c>
      <x:c r="C115" s="194" t="str">
        <x:v>бюлетень</x:v>
      </x:c>
      <x:c r="D115" s="195" t="str">
        <x:v>Процес голосування, особливо таємного; раунд голосування.</x:v>
      </x:c>
      <x:c r="E115" s="192" t="str">
        <x:v>Oxford C1</x:v>
      </x:c>
      <x:c r="F115" s="192" t="str">
        <x:v>Core</x:v>
      </x:c>
      <x:c r="G115" s="192" t="str">
        <x:v>Not Started</x:v>
      </x:c>
      <x:c r="H115" s="192" t="n">
        <x:v>0</x:v>
      </x:c>
    </x:row>
    <x:row r="116" ht="56" customHeight="1">
      <x:c r="A116" s="192" t="str">
        <x:v>banner</x:v>
      </x:c>
      <x:c r="B116" s="192" t="str">
        <x:v>n.</x:v>
      </x:c>
      <x:c r="C116" s="194" t="str">
        <x:v>банер</x:v>
      </x:c>
      <x:c r="D116" s="195" t="str">
        <x:v>Будь-який великий знак, особливо з м’якого матеріалу або тканини.</x:v>
      </x:c>
      <x:c r="E116" s="192" t="str">
        <x:v>Oxford C1</x:v>
      </x:c>
      <x:c r="F116" s="192" t="str">
        <x:v>Core</x:v>
      </x:c>
      <x:c r="G116" s="192" t="str">
        <x:v>Not Started</x:v>
      </x:c>
      <x:c r="H116" s="192" t="n">
        <x:v>0</x:v>
      </x:c>
    </x:row>
    <x:row r="117" ht="56" customHeight="1">
      <x:c r="A117" s="192" t="str">
        <x:v>bare</x:v>
      </x:c>
      <x:c r="B117" s="192" t="str">
        <x:v>adj.</x:v>
      </x:c>
      <x:c r="C117" s="194" t="str">
        <x:v>голий</x:v>
      </x:c>
      <x:c r="D117" s="195" t="str">
        <x:v>Голий, непокритий.</x:v>
      </x:c>
      <x:c r="E117" s="192" t="str">
        <x:v>Oxford C1</x:v>
      </x:c>
      <x:c r="F117" s="192" t="str">
        <x:v>Core</x:v>
      </x:c>
      <x:c r="G117" s="192" t="str">
        <x:v>Not Started</x:v>
      </x:c>
      <x:c r="H117" s="192" t="n">
        <x:v>0</x:v>
      </x:c>
    </x:row>
    <x:row r="118" ht="56" customHeight="1">
      <x:c r="A118" s="192" t="str">
        <x:v>barrel</x:v>
      </x:c>
      <x:c r="B118" s="192" t="str">
        <x:v>n.</x:v>
      </x:c>
      <x:c r="C118" s="194" t="str">
        <x:v>бочка</x:v>
      </x:c>
      <x:c r="D118" s="195" t="str">
        <x:v>Кругла (циліндрична) посудина, така як бочка, більша за довжину, ніж завширшки, і опукла в середині, зроблена з держаків, зв’язаних обручами, і має плоскі кінці (голови).</x:v>
      </x:c>
      <x:c r="E118" s="192" t="str">
        <x:v>Oxford C1</x:v>
      </x:c>
      <x:c r="F118" s="192" t="str">
        <x:v>Core</x:v>
      </x:c>
      <x:c r="G118" s="192" t="str">
        <x:v>Not Started</x:v>
      </x:c>
      <x:c r="H118" s="192" t="n">
        <x:v>0</x:v>
      </x:c>
    </x:row>
    <x:row r="119" ht="56" customHeight="1">
      <x:c r="A119" s="192" t="str">
        <x:v>bass1</x:v>
      </x:c>
      <x:c r="B119" s="192" t="str">
        <x:v>n.</x:v>
      </x:c>
      <x:c r="C119" s="194" t="str">
        <x:v>бас (низький звук; басовий інструмент)</x:v>
      </x:c>
      <x:c r="D119" s="195" t="str">
        <x:v>Низький за висотою звук або музичний інструмент чи голос із низьким регістром.</x:v>
      </x:c>
      <x:c r="E119" s="192" t="str">
        <x:v>Oxford C1</x:v>
      </x:c>
      <x:c r="F119" s="192" t="str">
        <x:v>Core</x:v>
      </x:c>
      <x:c r="G119" s="192" t="str">
        <x:v>Not Started</x:v>
      </x:c>
      <x:c r="H119" s="192" t="n">
        <x:v>0</x:v>
      </x:c>
    </x:row>
    <x:row r="120" ht="56" customHeight="1">
      <x:c r="A120" s="192" t="str">
        <x:v>bat</x:v>
      </x:c>
      <x:c r="B120" s="192" t="str">
        <x:v>v.</x:v>
      </x:c>
      <x:c r="C120" s="194" t="str">
        <x:v>кажан</x:v>
      </x:c>
      <x:c r="D120" s="195" t="str">
        <x:v>Бити битою або (переносно) наче битою.</x:v>
      </x:c>
      <x:c r="E120" s="192" t="str">
        <x:v>Oxford C1</x:v>
      </x:c>
      <x:c r="F120" s="192" t="str">
        <x:v>Core</x:v>
      </x:c>
      <x:c r="G120" s="192" t="str">
        <x:v>Not Started</x:v>
      </x:c>
      <x:c r="H120" s="192" t="n">
        <x:v>0</x:v>
      </x:c>
    </x:row>
    <x:row r="121" ht="56" customHeight="1">
      <x:c r="A121" s="192" t="str">
        <x:v>battlefield</x:v>
      </x:c>
      <x:c r="B121" s="192" t="str">
        <x:v>n.</x:v>
      </x:c>
      <x:c r="C121" s="194" t="str">
        <x:v>поле бою</x:v>
      </x:c>
      <x:c r="D121" s="195" t="str">
        <x:v>Область, де ведеться наземна битва, яка не обов’язково може бути полем.</x:v>
      </x:c>
      <x:c r="E121" s="192" t="str">
        <x:v>Oxford C1</x:v>
      </x:c>
      <x:c r="F121" s="192" t="str">
        <x:v>Core</x:v>
      </x:c>
      <x:c r="G121" s="192" t="str">
        <x:v>Not Started</x:v>
      </x:c>
      <x:c r="H121" s="192" t="n">
        <x:v>0</x:v>
      </x:c>
    </x:row>
    <x:row r="122" ht="56" customHeight="1">
      <x:c r="A122" s="192" t="str">
        <x:v>bay</x:v>
      </x:c>
      <x:c r="B122" s="192" t="str">
        <x:v>n.</x:v>
      </x:c>
      <x:c r="C122" s="194" t="str">
        <x:v>затока</x:v>
      </x:c>
      <x:c r="D122" s="195" t="str">
        <x:v>Тіло води (особливо море), яке міститься увігнутою береговою лінією.</x:v>
      </x:c>
      <x:c r="E122" s="192" t="str">
        <x:v>Oxford C1</x:v>
      </x:c>
      <x:c r="F122" s="192" t="str">
        <x:v>Core</x:v>
      </x:c>
      <x:c r="G122" s="192" t="str">
        <x:v>Not Started</x:v>
      </x:c>
      <x:c r="H122" s="192" t="n">
        <x:v>0</x:v>
      </x:c>
    </x:row>
    <x:row r="123" ht="56" customHeight="1">
      <x:c r="A123" s="192" t="str">
        <x:v>beam</x:v>
      </x:c>
      <x:c r="B123" s="192" t="str">
        <x:v>n.</x:v>
      </x:c>
      <x:c r="C123" s="194" t="str">
        <x:v>балка</x:v>
      </x:c>
      <x:c r="D123" s="195" t="str">
        <x:v>Широка посмішка.</x:v>
      </x:c>
      <x:c r="E123" s="192" t="str">
        <x:v>Oxford C1</x:v>
      </x:c>
      <x:c r="F123" s="192" t="str">
        <x:v>Core</x:v>
      </x:c>
      <x:c r="G123" s="192" t="str">
        <x:v>Not Started</x:v>
      </x:c>
      <x:c r="H123" s="192" t="n">
        <x:v>0</x:v>
      </x:c>
    </x:row>
    <x:row r="124" ht="56" customHeight="1">
      <x:c r="A124" s="192" t="str">
        <x:v>beast</x:v>
      </x:c>
      <x:c r="B124" s="192" t="str">
        <x:v>n.</x:v>
      </x:c>
      <x:c r="C124" s="194" t="str">
        <x:v>звір</x:v>
      </x:c>
      <x:c r="D124" s="195" t="str">
        <x:v>Тварина, особливо велика або небезпечна наземна хребетна.</x:v>
      </x:c>
      <x:c r="E124" s="192" t="str">
        <x:v>Oxford C1</x:v>
      </x:c>
      <x:c r="F124" s="192" t="str">
        <x:v>Core</x:v>
      </x:c>
      <x:c r="G124" s="192" t="str">
        <x:v>Not Started</x:v>
      </x:c>
      <x:c r="H124" s="192" t="n">
        <x:v>0</x:v>
      </x:c>
    </x:row>
    <x:row r="125" ht="56" customHeight="1">
      <x:c r="A125" s="192" t="str">
        <x:v>behalf</x:v>
      </x:c>
      <x:c r="B125" s="192" t="str">
        <x:v>n.</x:v>
      </x:c>
      <x:c r="C125" s="194" t="str">
        <x:v>від імені</x:v>
      </x:c>
      <x:c r="D125" s="195" t="str">
        <x:v>Інтерес, користь або добробут когось або чогось.</x:v>
      </x:c>
      <x:c r="E125" s="192" t="str">
        <x:v>Oxford C1 + AWL 9</x:v>
      </x:c>
      <x:c r="F125" s="192" t="str">
        <x:v>High</x:v>
      </x:c>
      <x:c r="G125" s="192" t="str">
        <x:v>Not Started</x:v>
      </x:c>
      <x:c r="H125" s="192" t="n">
        <x:v>0</x:v>
      </x:c>
    </x:row>
    <x:row r="126" ht="56" customHeight="1">
      <x:c r="A126" s="192" t="str">
        <x:v>beloved</x:v>
      </x:c>
      <x:c r="B126" s="192" t="str">
        <x:v>adj.</x:v>
      </x:c>
      <x:c r="C126" s="194" t="str">
        <x:v>коханий</x:v>
      </x:c>
      <x:c r="D126" s="195" t="str">
        <x:v>Дуже любив, ніжно любив.</x:v>
      </x:c>
      <x:c r="E126" s="192" t="str">
        <x:v>Oxford C1</x:v>
      </x:c>
      <x:c r="F126" s="192" t="str">
        <x:v>Core</x:v>
      </x:c>
      <x:c r="G126" s="192" t="str">
        <x:v>Not Started</x:v>
      </x:c>
      <x:c r="H126" s="192" t="n">
        <x:v>0</x:v>
      </x:c>
    </x:row>
    <x:row r="127" ht="56" customHeight="1">
      <x:c r="A127" s="192" t="str">
        <x:v>bench</x:v>
      </x:c>
      <x:c r="B127" s="192" t="str">
        <x:v>n.</x:v>
      </x:c>
      <x:c r="C127" s="194" t="str">
        <x:v>лава</x:v>
      </x:c>
      <x:c r="D127" s="195" t="str">
        <x:v>Довге сидіння зі спинкою або без неї, наприклад, у парках і школах.</x:v>
      </x:c>
      <x:c r="E127" s="192" t="str">
        <x:v>Oxford C1</x:v>
      </x:c>
      <x:c r="F127" s="192" t="str">
        <x:v>Core</x:v>
      </x:c>
      <x:c r="G127" s="192" t="str">
        <x:v>Not Started</x:v>
      </x:c>
      <x:c r="H127" s="192" t="n">
        <x:v>0</x:v>
      </x:c>
    </x:row>
    <x:row r="128" ht="56" customHeight="1">
      <x:c r="A128" s="192" t="str">
        <x:v>benchmark</x:v>
      </x:c>
      <x:c r="B128" s="192" t="str">
        <x:v>n.</x:v>
      </x:c>
      <x:c r="C128" s="194" t="str">
        <x:v>орієнтир</x:v>
      </x:c>
      <x:c r="D128" s="195" t="str">
        <x:v>Стандарт, за яким щось оцінюється або вимірюється.</x:v>
      </x:c>
      <x:c r="E128" s="192" t="str">
        <x:v>Oxford C1</x:v>
      </x:c>
      <x:c r="F128" s="192" t="str">
        <x:v>Core</x:v>
      </x:c>
      <x:c r="G128" s="192" t="str">
        <x:v>Not Started</x:v>
      </x:c>
      <x:c r="H128" s="192" t="n">
        <x:v>0</x:v>
      </x:c>
    </x:row>
    <x:row r="129" ht="56" customHeight="1">
      <x:c r="A129" s="192" t="str">
        <x:v>beneath</x:v>
      </x:c>
      <x:c r="B129" s="192" t="str">
        <x:v>prep.</x:v>
      </x:c>
      <x:c r="C129" s="194" t="str">
        <x:v>під</x:v>
      </x:c>
      <x:c r="D129" s="195" t="str">
        <x:v>Знизу або знизу.</x:v>
      </x:c>
      <x:c r="E129" s="192" t="str">
        <x:v>Oxford C1</x:v>
      </x:c>
      <x:c r="F129" s="192" t="str">
        <x:v>Core</x:v>
      </x:c>
      <x:c r="G129" s="192" t="str">
        <x:v>Not Started</x:v>
      </x:c>
      <x:c r="H129" s="192" t="n">
        <x:v>0</x:v>
      </x:c>
    </x:row>
    <x:row r="130" ht="56" customHeight="1">
      <x:c r="A130" s="192" t="str">
        <x:v>beneficiary</x:v>
      </x:c>
      <x:c r="B130" s="192" t="str">
        <x:v>n.</x:v>
      </x:c>
      <x:c r="C130" s="194" t="str">
        <x:v>бенефіціар</x:v>
      </x:c>
      <x:c r="D130" s="195" t="str">
        <x:v>Той, хто користується або отримує перевагу.</x:v>
      </x:c>
      <x:c r="E130" s="192" t="str">
        <x:v>Oxford C1</x:v>
      </x:c>
      <x:c r="F130" s="192" t="str">
        <x:v>Core</x:v>
      </x:c>
      <x:c r="G130" s="192" t="str">
        <x:v>Not Started</x:v>
      </x:c>
      <x:c r="H130" s="192" t="n">
        <x:v>0</x:v>
      </x:c>
    </x:row>
    <x:row r="131" ht="56" customHeight="1">
      <x:c r="A131" s="192" t="str">
        <x:v>betray</x:v>
      </x:c>
      <x:c r="B131" s="192" t="str">
        <x:v>v.</x:v>
      </x:c>
      <x:c r="C131" s="194" t="str">
        <x:v>зраджувати</x:v>
      </x:c>
      <x:c r="D131" s="195" t="str">
        <x:v>Порушити довіру або виявити приховану інформацію, почуття чи справжній характер.</x:v>
      </x:c>
      <x:c r="E131" s="192" t="str">
        <x:v>Oxford C1</x:v>
      </x:c>
      <x:c r="F131" s="192" t="str">
        <x:v>Core</x:v>
      </x:c>
      <x:c r="G131" s="192" t="str">
        <x:v>Not Started</x:v>
      </x:c>
      <x:c r="H131" s="192" t="n">
        <x:v>0</x:v>
      </x:c>
    </x:row>
    <x:row r="132" ht="56" customHeight="1">
      <x:c r="A132" s="192" t="str">
        <x:v>bind</x:v>
      </x:c>
      <x:c r="B132" s="192" t="str">
        <x:v>v.</x:v>
      </x:c>
      <x:c r="C132" s="194" t="str">
        <x:v>пов'язувати</x:v>
      </x:c>
      <x:c r="D132" s="195" t="str">
        <x:v>Зав'язувати; обмежити будь-якою зав'язкою.</x:v>
      </x:c>
      <x:c r="E132" s="192" t="str">
        <x:v>Oxford C1</x:v>
      </x:c>
      <x:c r="F132" s="192" t="str">
        <x:v>Core</x:v>
      </x:c>
      <x:c r="G132" s="192" t="str">
        <x:v>Not Started</x:v>
      </x:c>
      <x:c r="H132" s="192" t="n">
        <x:v>0</x:v>
      </x:c>
    </x:row>
    <x:row r="133" ht="56" customHeight="1">
      <x:c r="A133" s="192" t="str">
        <x:v>biography</x:v>
      </x:c>
      <x:c r="B133" s="192" t="str">
        <x:v>n.</x:v>
      </x:c>
      <x:c r="C133" s="194" t="str">
        <x:v>біографія</x:v>
      </x:c>
      <x:c r="D133" s="195" t="str">
        <x:v>Історія життя людини, особливо опублікованої.</x:v>
      </x:c>
      <x:c r="E133" s="192" t="str">
        <x:v>Oxford C1</x:v>
      </x:c>
      <x:c r="F133" s="192" t="str">
        <x:v>Core</x:v>
      </x:c>
      <x:c r="G133" s="192" t="str">
        <x:v>Not Started</x:v>
      </x:c>
      <x:c r="H133" s="192" t="n">
        <x:v>0</x:v>
      </x:c>
    </x:row>
    <x:row r="134" ht="56" customHeight="1">
      <x:c r="A134" s="192" t="str">
        <x:v>bishop</x:v>
      </x:c>
      <x:c r="B134" s="192" t="str">
        <x:v>n.</x:v>
      </x:c>
      <x:c r="C134" s="194" t="str">
        <x:v>єпископ</x:v>
      </x:c>
      <x:c r="D134" s="195" t="str">
        <x:v>Наглядач конгрегацій: будь-який такий наглядач, загалом кажучи, або (у східному православ’ї, католицизмі, англіканстві тощо) офіційна особа в церковній ієрархії (активно чи номінально), яка керує єпархією, су...</x:v>
      </x:c>
      <x:c r="E134" s="192" t="str">
        <x:v>Oxford C1</x:v>
      </x:c>
      <x:c r="F134" s="192" t="str">
        <x:v>Core</x:v>
      </x:c>
      <x:c r="G134" s="192" t="str">
        <x:v>Not Started</x:v>
      </x:c>
      <x:c r="H134" s="192" t="n">
        <x:v>0</x:v>
      </x:c>
    </x:row>
    <x:row r="135" ht="56" customHeight="1">
      <x:c r="A135" s="192" t="str">
        <x:v>bizarre</x:v>
      </x:c>
      <x:c r="B135" s="192" t="str">
        <x:v>adj.</x:v>
      </x:c>
      <x:c r="C135" s="194" t="str">
        <x:v>дивний</x:v>
      </x:c>
      <x:c r="D135" s="195" t="str">
        <x:v>Дивно нетрадиційно; дуже незвичний і відрізняється від звичайного досвіду, часто в екстравагантний, фантастичний та/або помітний спосіб.</x:v>
      </x:c>
      <x:c r="E135" s="192" t="str">
        <x:v>Oxford C1</x:v>
      </x:c>
      <x:c r="F135" s="192" t="str">
        <x:v>Core</x:v>
      </x:c>
      <x:c r="G135" s="192" t="str">
        <x:v>Not Started</x:v>
      </x:c>
      <x:c r="H135" s="192" t="n">
        <x:v>0</x:v>
      </x:c>
    </x:row>
    <x:row r="136" ht="56" customHeight="1">
      <x:c r="A136" s="192" t="str">
        <x:v>blade</x:v>
      </x:c>
      <x:c r="B136" s="192" t="str">
        <x:v>n.</x:v>
      </x:c>
      <x:c r="C136" s="194" t="str">
        <x:v>лезо</x:v>
      </x:c>
      <x:c r="D136" s="195" t="str">
        <x:v>Частина ножа, меча, бритви чи іншого інструменту (як правило, з гострим краєм), яким вона ріже.</x:v>
      </x:c>
      <x:c r="E136" s="192" t="str">
        <x:v>Oxford C1</x:v>
      </x:c>
      <x:c r="F136" s="192" t="str">
        <x:v>Core</x:v>
      </x:c>
      <x:c r="G136" s="192" t="str">
        <x:v>Not Started</x:v>
      </x:c>
      <x:c r="H136" s="192" t="n">
        <x:v>0</x:v>
      </x:c>
    </x:row>
    <x:row r="137" ht="56" customHeight="1">
      <x:c r="A137" s="192" t="str">
        <x:v>blast</x:v>
      </x:c>
      <x:c r="B137" s="192" t="str">
        <x:v>n., v.</x:v>
      </x:c>
      <x:c r="C137" s="194" t="str">
        <x:v>вибух</x:v>
      </x:c>
      <x:c r="D137" s="195" t="str">
        <x:v>Справити на нього враження, видавши гучний звук або шум.</x:v>
      </x:c>
      <x:c r="E137" s="192" t="str">
        <x:v>Oxford C1</x:v>
      </x:c>
      <x:c r="F137" s="192" t="str">
        <x:v>Core</x:v>
      </x:c>
      <x:c r="G137" s="192" t="str">
        <x:v>Not Started</x:v>
      </x:c>
      <x:c r="H137" s="192" t="n">
        <x:v>0</x:v>
      </x:c>
    </x:row>
    <x:row r="138" ht="56" customHeight="1">
      <x:c r="A138" s="192" t="str">
        <x:v>bleed</x:v>
      </x:c>
      <x:c r="B138" s="192" t="str">
        <x:v>v.</x:v>
      </x:c>
      <x:c r="C138" s="194" t="str">
        <x:v>кровоточити</x:v>
      </x:c>
      <x:c r="D138" s="195" t="str">
        <x:v>Пролити кров через ушкоджену кровоносну судину.</x:v>
      </x:c>
      <x:c r="E138" s="192" t="str">
        <x:v>Oxford C1</x:v>
      </x:c>
      <x:c r="F138" s="192" t="str">
        <x:v>Core</x:v>
      </x:c>
      <x:c r="G138" s="192" t="str">
        <x:v>Not Started</x:v>
      </x:c>
      <x:c r="H138" s="192" t="n">
        <x:v>0</x:v>
      </x:c>
    </x:row>
    <x:row r="139" ht="56" customHeight="1">
      <x:c r="A139" s="192" t="str">
        <x:v>blend</x:v>
      </x:c>
      <x:c r="B139" s="192" t="str">
        <x:v>v., n.</x:v>
      </x:c>
      <x:c r="C139" s="194" t="str">
        <x:v>суміш</x:v>
      </x:c>
      <x:c r="D139" s="195" t="str">
        <x:v>змішуватися; змішувати; інтимно об'єднати; непомітно переходити або затіняти один в одного.</x:v>
      </x:c>
      <x:c r="E139" s="192" t="str">
        <x:v>Oxford C1</x:v>
      </x:c>
      <x:c r="F139" s="192" t="str">
        <x:v>Core</x:v>
      </x:c>
      <x:c r="G139" s="192" t="str">
        <x:v>Not Started</x:v>
      </x:c>
      <x:c r="H139" s="192" t="n">
        <x:v>0</x:v>
      </x:c>
    </x:row>
    <x:row r="140" ht="56" customHeight="1">
      <x:c r="A140" s="192" t="str">
        <x:v>bless</x:v>
      </x:c>
      <x:c r="B140" s="192" t="str">
        <x:v>v.</x:v>
      </x:c>
      <x:c r="C140" s="194" t="str">
        <x:v>благословляти</x:v>
      </x:c>
      <x:c r="D140" s="195" t="str">
        <x:v>Викликати божественну прихильність.</x:v>
      </x:c>
      <x:c r="E140" s="192" t="str">
        <x:v>Oxford C1</x:v>
      </x:c>
      <x:c r="F140" s="192" t="str">
        <x:v>Core</x:v>
      </x:c>
      <x:c r="G140" s="192" t="str">
        <x:v>Not Started</x:v>
      </x:c>
      <x:c r="H140" s="192" t="n">
        <x:v>0</x:v>
      </x:c>
    </x:row>
    <x:row r="141" ht="56" customHeight="1">
      <x:c r="A141" s="192" t="str">
        <x:v>blessing</x:v>
      </x:c>
      <x:c r="B141" s="192" t="str">
        <x:v>n.</x:v>
      </x:c>
      <x:c r="C141" s="194" t="str">
        <x:v>благословення</x:v>
      </x:c>
      <x:c r="D141" s="195" t="str">
        <x:v>щастить.</x:v>
      </x:c>
      <x:c r="E141" s="192" t="str">
        <x:v>Oxford C1</x:v>
      </x:c>
      <x:c r="F141" s="192" t="str">
        <x:v>Core</x:v>
      </x:c>
      <x:c r="G141" s="192" t="str">
        <x:v>Not Started</x:v>
      </x:c>
      <x:c r="H141" s="192" t="n">
        <x:v>0</x:v>
      </x:c>
    </x:row>
    <x:row r="142" ht="56" customHeight="1">
      <x:c r="A142" s="192" t="str">
        <x:v>boast</x:v>
      </x:c>
      <x:c r="B142" s="192" t="str">
        <x:v>v.</x:v>
      </x:c>
      <x:c r="C142" s="194" t="str">
        <x:v>хвалитися</x:v>
      </x:c>
      <x:c r="D142" s="195" t="str">
        <x:v>Вихвалятися; голосно говорити на хвалу собі.</x:v>
      </x:c>
      <x:c r="E142" s="192" t="str">
        <x:v>Oxford C1</x:v>
      </x:c>
      <x:c r="F142" s="192" t="str">
        <x:v>Core</x:v>
      </x:c>
      <x:c r="G142" s="192" t="str">
        <x:v>Not Started</x:v>
      </x:c>
      <x:c r="H142" s="192" t="n">
        <x:v>0</x:v>
      </x:c>
    </x:row>
    <x:row r="143" ht="56" customHeight="1">
      <x:c r="A143" s="192" t="str">
        <x:v>bonus</x:v>
      </x:c>
      <x:c r="B143" s="192" t="str">
        <x:v>n.</x:v>
      </x:c>
      <x:c r="C143" s="194" t="str">
        <x:v>бонус</x:v>
      </x:c>
      <x:c r="D143" s="195" t="str">
        <x:v>Щось додаткове, що добре; додаткова перевага.</x:v>
      </x:c>
      <x:c r="E143" s="192" t="str">
        <x:v>Oxford C1</x:v>
      </x:c>
      <x:c r="F143" s="192" t="str">
        <x:v>Core</x:v>
      </x:c>
      <x:c r="G143" s="192" t="str">
        <x:v>Not Started</x:v>
      </x:c>
      <x:c r="H143" s="192" t="n">
        <x:v>0</x:v>
      </x:c>
    </x:row>
    <x:row r="144" ht="56" customHeight="1">
      <x:c r="A144" s="192" t="str">
        <x:v>boom</x:v>
      </x:c>
      <x:c r="B144" s="192" t="str">
        <x:v>n.</x:v>
      </x:c>
      <x:c r="C144" s="194" t="str">
        <x:v>бум</x:v>
      </x:c>
      <x:c r="D144" s="195" t="str">
        <x:v>Низький резонансний звук, наприклад вибух.</x:v>
      </x:c>
      <x:c r="E144" s="192" t="str">
        <x:v>Oxford C1</x:v>
      </x:c>
      <x:c r="F144" s="192" t="str">
        <x:v>Core</x:v>
      </x:c>
      <x:c r="G144" s="192" t="str">
        <x:v>Not Started</x:v>
      </x:c>
      <x:c r="H144" s="192" t="n">
        <x:v>0</x:v>
      </x:c>
    </x:row>
    <x:row r="145" ht="56" customHeight="1">
      <x:c r="A145" s="192" t="str">
        <x:v>bounce</x:v>
      </x:c>
      <x:c r="B145" s="192" t="str">
        <x:v>v.</x:v>
      </x:c>
      <x:c r="C145" s="194" t="str">
        <x:v>підстрибувати</x:v>
      </x:c>
      <x:c r="D145" s="195" t="str">
        <x:v>Змінити напрямок руху після наїзду на перешкоду.</x:v>
      </x:c>
      <x:c r="E145" s="192" t="str">
        <x:v>Oxford C1</x:v>
      </x:c>
      <x:c r="F145" s="192" t="str">
        <x:v>Core</x:v>
      </x:c>
      <x:c r="G145" s="192" t="str">
        <x:v>Not Started</x:v>
      </x:c>
      <x:c r="H145" s="192" t="n">
        <x:v>0</x:v>
      </x:c>
    </x:row>
    <x:row r="146" ht="56" customHeight="1">
      <x:c r="A146" s="192" t="str">
        <x:v>boundary</x:v>
      </x:c>
      <x:c r="B146" s="192" t="str">
        <x:v>n.</x:v>
      </x:c>
      <x:c r="C146" s="194" t="str">
        <x:v>межа</x:v>
      </x:c>
      <x:c r="D146" s="195" t="str">
        <x:v>Лінія розмежування або розташування між двома областями.</x:v>
      </x:c>
      <x:c r="E146" s="192" t="str">
        <x:v>Oxford C1</x:v>
      </x:c>
      <x:c r="F146" s="192" t="str">
        <x:v>Core</x:v>
      </x:c>
      <x:c r="G146" s="192" t="str">
        <x:v>Not Started</x:v>
      </x:c>
      <x:c r="H146" s="192" t="n">
        <x:v>0</x:v>
      </x:c>
    </x:row>
    <x:row r="147" ht="56" customHeight="1">
      <x:c r="A147" s="192" t="str">
        <x:v>bow1</x:v>
      </x:c>
      <x:c r="B147" s="192" t="str">
        <x:v>v., n.</x:v>
      </x:c>
      <x:c r="C147" s="194" t="str">
        <x:v>нахилятися; уклін</x:v>
      </x:c>
      <x:c r="D147" s="195" t="str">
        <x:v>Нахиляти голову або верхню частину тіла на знак поваги; також сам такий уклін.</x:v>
      </x:c>
      <x:c r="E147" s="192" t="str">
        <x:v>Oxford C1</x:v>
      </x:c>
      <x:c r="F147" s="192" t="str">
        <x:v>Core</x:v>
      </x:c>
      <x:c r="G147" s="192" t="str">
        <x:v>Not Started</x:v>
      </x:c>
      <x:c r="H147" s="192" t="n">
        <x:v>0</x:v>
      </x:c>
    </x:row>
    <x:row r="148" ht="56" customHeight="1">
      <x:c r="A148" s="192" t="str">
        <x:v>breach</x:v>
      </x:c>
      <x:c r="B148" s="192" t="str">
        <x:v>n., v.</x:v>
      </x:c>
      <x:c r="C148" s="194" t="str">
        <x:v>порушення</x:v>
      </x:c>
      <x:c r="D148" s="195" t="str">
        <x:v>Порушувати або ламати.</x:v>
      </x:c>
      <x:c r="E148" s="192" t="str">
        <x:v>Oxford C1</x:v>
      </x:c>
      <x:c r="F148" s="192" t="str">
        <x:v>Core</x:v>
      </x:c>
      <x:c r="G148" s="192" t="str">
        <x:v>Not Started</x:v>
      </x:c>
      <x:c r="H148" s="192" t="n">
        <x:v>0</x:v>
      </x:c>
    </x:row>
    <x:row r="149" ht="56" customHeight="1">
      <x:c r="A149" s="192" t="str">
        <x:v>breakdown</x:v>
      </x:c>
      <x:c r="B149" s="192" t="str">
        <x:v>n.</x:v>
      </x:c>
      <x:c r="C149" s="194" t="str">
        <x:v>поломка</x:v>
      </x:c>
      <x:c r="D149" s="195" t="str">
        <x:v>Несправність, особливо механічна за своєю природою.</x:v>
      </x:c>
      <x:c r="E149" s="192" t="str">
        <x:v>Oxford C1</x:v>
      </x:c>
      <x:c r="F149" s="192" t="str">
        <x:v>Core</x:v>
      </x:c>
      <x:c r="G149" s="192" t="str">
        <x:v>Not Started</x:v>
      </x:c>
      <x:c r="H149" s="192" t="n">
        <x:v>0</x:v>
      </x:c>
    </x:row>
    <x:row r="150" ht="56" customHeight="1">
      <x:c r="A150" s="192" t="str">
        <x:v>breakthrough</x:v>
      </x:c>
      <x:c r="B150" s="192" t="str">
        <x:v>n.</x:v>
      </x:c>
      <x:c r="C150" s="194" t="str">
        <x:v>прорив</x:v>
      </x:c>
      <x:c r="D150" s="195" t="str">
        <x:v>Будь-який серйозний прогрес; наприклад, велика інновація чи відкриття, яке долає значну перешкоду.</x:v>
      </x:c>
      <x:c r="E150" s="192" t="str">
        <x:v>Oxford C1</x:v>
      </x:c>
      <x:c r="F150" s="192" t="str">
        <x:v>Core</x:v>
      </x:c>
      <x:c r="G150" s="192" t="str">
        <x:v>Not Started</x:v>
      </x:c>
      <x:c r="H150" s="192" t="n">
        <x:v>0</x:v>
      </x:c>
    </x:row>
    <x:row r="151" ht="56" customHeight="1">
      <x:c r="A151" s="192" t="str">
        <x:v>breed</x:v>
      </x:c>
      <x:c r="B151" s="192" t="str">
        <x:v>v., n.</x:v>
      </x:c>
      <x:c r="C151" s="194" t="str">
        <x:v>порода</x:v>
      </x:c>
      <x:c r="D151" s="195" t="str">
        <x:v>Отримувати потомство статевим шляхом; народжувати молодняк.</x:v>
      </x:c>
      <x:c r="E151" s="192" t="str">
        <x:v>Oxford C1</x:v>
      </x:c>
      <x:c r="F151" s="192" t="str">
        <x:v>Core</x:v>
      </x:c>
      <x:c r="G151" s="192" t="str">
        <x:v>Not Started</x:v>
      </x:c>
      <x:c r="H151" s="192" t="n">
        <x:v>0</x:v>
      </x:c>
    </x:row>
    <x:row r="152" ht="56" customHeight="1">
      <x:c r="A152" s="192" t="str">
        <x:v>broadband</x:v>
      </x:c>
      <x:c r="B152" s="192" t="str">
        <x:v>n.</x:v>
      </x:c>
      <x:c r="C152" s="194" t="str">
        <x:v>широкосмуговий</x:v>
      </x:c>
      <x:c r="D152" s="195" t="str">
        <x:v>З’єднання з Інтернетом, надане через наявну службу з використанням альтернативних частот сигналу, наприклад ADSL або кабельного модему.</x:v>
      </x:c>
      <x:c r="E152" s="192" t="str">
        <x:v>Oxford C1</x:v>
      </x:c>
      <x:c r="F152" s="192" t="str">
        <x:v>High</x:v>
      </x:c>
      <x:c r="G152" s="192" t="str">
        <x:v>Not Started</x:v>
      </x:c>
      <x:c r="H152" s="192" t="n">
        <x:v>0</x:v>
      </x:c>
    </x:row>
    <x:row r="153" ht="56" customHeight="1">
      <x:c r="A153" s="192" t="str">
        <x:v>browser</x:v>
      </x:c>
      <x:c r="B153" s="192" t="str">
        <x:v>n.</x:v>
      </x:c>
      <x:c r="C153" s="194" t="str">
        <x:v>браузер</x:v>
      </x:c>
      <x:c r="D153" s="195" t="str">
        <x:v>Будь-який інший тип інформаційного браузера.</x:v>
      </x:c>
      <x:c r="E153" s="192" t="str">
        <x:v>Oxford C1</x:v>
      </x:c>
      <x:c r="F153" s="192" t="str">
        <x:v>High</x:v>
      </x:c>
      <x:c r="G153" s="192" t="str">
        <x:v>Not Started</x:v>
      </x:c>
      <x:c r="H153" s="192" t="n">
        <x:v>0</x:v>
      </x:c>
    </x:row>
    <x:row r="154" ht="56" customHeight="1">
      <x:c r="A154" s="192" t="str">
        <x:v>brutal</x:v>
      </x:c>
      <x:c r="B154" s="192" t="str">
        <x:v>adj.</x:v>
      </x:c>
      <x:c r="C154" s="194" t="str">
        <x:v>брутальний</x:v>
      </x:c>
      <x:c r="D154" s="195" t="str">
        <x:v>Жорстокий, жорстокий, нещадний або жорстокий, часто в нерозумній манері.</x:v>
      </x:c>
      <x:c r="E154" s="192" t="str">
        <x:v>Oxford C1</x:v>
      </x:c>
      <x:c r="F154" s="192" t="str">
        <x:v>Core</x:v>
      </x:c>
      <x:c r="G154" s="192" t="str">
        <x:v>Not Started</x:v>
      </x:c>
      <x:c r="H154" s="192" t="n">
        <x:v>0</x:v>
      </x:c>
    </x:row>
    <x:row r="155" ht="56" customHeight="1">
      <x:c r="A155" s="192" t="str">
        <x:v>buck</x:v>
      </x:c>
      <x:c r="B155" s="192" t="str">
        <x:v>n.</x:v>
      </x:c>
      <x:c r="C155" s="194" t="str">
        <x:v>бакс</x:v>
      </x:c>
      <x:c r="D155" s="195" t="str">
        <x:v>Самець оленя, антилопи, вівці, козла, кролика, зайця, іноді самець інших тварин, таких як хом’як, тхір, лососевий, шад і кенгуру.</x:v>
      </x:c>
      <x:c r="E155" s="192" t="str">
        <x:v>Oxford C1</x:v>
      </x:c>
      <x:c r="F155" s="192" t="str">
        <x:v>Core</x:v>
      </x:c>
      <x:c r="G155" s="192" t="str">
        <x:v>Not Started</x:v>
      </x:c>
      <x:c r="H155" s="192" t="n">
        <x:v>0</x:v>
      </x:c>
    </x:row>
    <x:row r="156" ht="56" customHeight="1">
      <x:c r="A156" s="192" t="str">
        <x:v>buddy</x:v>
      </x:c>
      <x:c r="B156" s="192" t="str">
        <x:v>n.</x:v>
      </x:c>
      <x:c r="C156" s="194" t="str">
        <x:v>приятель</x:v>
      </x:c>
      <x:c r="D156" s="195" t="str">
        <x:v>Друг або випадковий знайомий.</x:v>
      </x:c>
      <x:c r="E156" s="192" t="str">
        <x:v>Oxford C1</x:v>
      </x:c>
      <x:c r="F156" s="192" t="str">
        <x:v>Core</x:v>
      </x:c>
      <x:c r="G156" s="192" t="str">
        <x:v>Not Started</x:v>
      </x:c>
      <x:c r="H156" s="192" t="n">
        <x:v>0</x:v>
      </x:c>
    </x:row>
    <x:row r="157" ht="56" customHeight="1">
      <x:c r="A157" s="192" t="str">
        <x:v>buffer</x:v>
      </x:c>
      <x:c r="B157" s="192" t="str">
        <x:v>n.</x:v>
      </x:c>
      <x:c r="C157" s="194" t="str">
        <x:v>буфер</x:v>
      </x:c>
      <x:c r="D157" s="195" t="str">
        <x:v>Частина пам’яті, виділена для тимчасового зберігання даних, часто перед їх надсиланням на зовнішній пристрій або під час отримання із зовнішнього пристрою.</x:v>
      </x:c>
      <x:c r="E157" s="192" t="str">
        <x:v>Oxford C1</x:v>
      </x:c>
      <x:c r="F157" s="192" t="str">
        <x:v>Core</x:v>
      </x:c>
      <x:c r="G157" s="192" t="str">
        <x:v>Not Started</x:v>
      </x:c>
      <x:c r="H157" s="192" t="n">
        <x:v>0</x:v>
      </x:c>
    </x:row>
    <x:row r="158" ht="56" customHeight="1">
      <x:c r="A158" s="192" t="str">
        <x:v>bulk</x:v>
      </x:c>
      <x:c r="B158" s="192" t="str">
        <x:v>n.</x:v>
      </x:c>
      <x:c r="C158" s="194" t="str">
        <x:v>маса</x:v>
      </x:c>
      <x:c r="D158" s="195" t="str">
        <x:v>Основна частина чогось.</x:v>
      </x:c>
      <x:c r="E158" s="192" t="str">
        <x:v>Oxford C1 + AWL 9</x:v>
      </x:c>
      <x:c r="F158" s="192" t="str">
        <x:v>High</x:v>
      </x:c>
      <x:c r="G158" s="192" t="str">
        <x:v>Not Started</x:v>
      </x:c>
      <x:c r="H158" s="192" t="n">
        <x:v>0</x:v>
      </x:c>
    </x:row>
    <x:row r="159" ht="56" customHeight="1">
      <x:c r="A159" s="192" t="str">
        <x:v>burden</x:v>
      </x:c>
      <x:c r="B159" s="192" t="str">
        <x:v>n.</x:v>
      </x:c>
      <x:c r="C159" s="194" t="str">
        <x:v>тягар</x:v>
      </x:c>
      <x:c r="D159" s="195" t="str">
        <x:v>Важкий вантаж.</x:v>
      </x:c>
      <x:c r="E159" s="192" t="str">
        <x:v>Oxford C1</x:v>
      </x:c>
      <x:c r="F159" s="192" t="str">
        <x:v>Core</x:v>
      </x:c>
      <x:c r="G159" s="192" t="str">
        <x:v>Not Started</x:v>
      </x:c>
      <x:c r="H159" s="192" t="n">
        <x:v>0</x:v>
      </x:c>
    </x:row>
    <x:row r="160" ht="56" customHeight="1">
      <x:c r="A160" s="192" t="str">
        <x:v>bureaucracy</x:v>
      </x:c>
      <x:c r="B160" s="192" t="str">
        <x:v>n.</x:v>
      </x:c>
      <x:c r="C160" s="194" t="str">
        <x:v>бюрократія</x:v>
      </x:c>
      <x:c r="D160" s="195" t="str">
        <x:v>Уряд через бюро або їхніх адміністраторів чи службовців.</x:v>
      </x:c>
      <x:c r="E160" s="192" t="str">
        <x:v>Oxford C1</x:v>
      </x:c>
      <x:c r="F160" s="192" t="str">
        <x:v>Core</x:v>
      </x:c>
      <x:c r="G160" s="192" t="str">
        <x:v>Not Started</x:v>
      </x:c>
      <x:c r="H160" s="192" t="n">
        <x:v>0</x:v>
      </x:c>
    </x:row>
    <x:row r="161" ht="56" customHeight="1">
      <x:c r="A161" s="192" t="str">
        <x:v>burial</x:v>
      </x:c>
      <x:c r="B161" s="192" t="str">
        <x:v>n.</x:v>
      </x:c>
      <x:c r="C161" s="194" t="str">
        <x:v>поховання</x:v>
      </x:c>
      <x:c r="D161" s="195" t="str">
        <x:v>Акт поховання; поховання; поміщення останків у землю.</x:v>
      </x:c>
      <x:c r="E161" s="192" t="str">
        <x:v>Oxford C1</x:v>
      </x:c>
      <x:c r="F161" s="192" t="str">
        <x:v>Core</x:v>
      </x:c>
      <x:c r="G161" s="192" t="str">
        <x:v>Not Started</x:v>
      </x:c>
      <x:c r="H161" s="192" t="n">
        <x:v>0</x:v>
      </x:c>
    </x:row>
    <x:row r="162" ht="56" customHeight="1">
      <x:c r="A162" s="192" t="str">
        <x:v>burst</x:v>
      </x:c>
      <x:c r="B162" s="192" t="str">
        <x:v>v.</x:v>
      </x:c>
      <x:c r="C162" s="194" t="str">
        <x:v>лопнути</x:v>
      </x:c>
      <x:c r="D162" s="195" t="str">
        <x:v>Зламати від внутрішнього тиску.</x:v>
      </x:c>
      <x:c r="E162" s="192" t="str">
        <x:v>Oxford C1</x:v>
      </x:c>
      <x:c r="F162" s="192" t="str">
        <x:v>Core</x:v>
      </x:c>
      <x:c r="G162" s="192" t="str">
        <x:v>Not Started</x:v>
      </x:c>
      <x:c r="H162" s="192" t="n">
        <x:v>0</x:v>
      </x:c>
    </x:row>
    <x:row r="163" ht="56" customHeight="1">
      <x:c r="A163" s="192" t="str">
        <x:v>cabinet</x:v>
      </x:c>
      <x:c r="B163" s="192" t="str">
        <x:v>n.</x:v>
      </x:c>
      <x:c r="C163" s="194" t="str">
        <x:v>кабінет</x:v>
      </x:c>
      <x:c r="D163" s="195" t="str">
        <x:v>Група радників уряду чи бізнес-структури.</x:v>
      </x:c>
      <x:c r="E163" s="192" t="str">
        <x:v>Oxford C1</x:v>
      </x:c>
      <x:c r="F163" s="192" t="str">
        <x:v>Core</x:v>
      </x:c>
      <x:c r="G163" s="192" t="str">
        <x:v>Not Started</x:v>
      </x:c>
      <x:c r="H163" s="192" t="n">
        <x:v>0</x:v>
      </x:c>
    </x:row>
    <x:row r="164" ht="56" customHeight="1">
      <x:c r="A164" s="192" t="str">
        <x:v>calculation</x:v>
      </x:c>
      <x:c r="B164" s="192" t="str">
        <x:v>n.</x:v>
      </x:c>
      <x:c r="C164" s="194" t="str">
        <x:v>розрахунок</x:v>
      </x:c>
      <x:c r="D164" s="195" t="str">
        <x:v>Акт або процес обчислення.</x:v>
      </x:c>
      <x:c r="E164" s="192" t="str">
        <x:v>Oxford C1</x:v>
      </x:c>
      <x:c r="F164" s="192" t="str">
        <x:v>Core</x:v>
      </x:c>
      <x:c r="G164" s="192" t="str">
        <x:v>Not Started</x:v>
      </x:c>
      <x:c r="H164" s="192" t="n">
        <x:v>0</x:v>
      </x:c>
    </x:row>
    <x:row r="165" ht="56" customHeight="1">
      <x:c r="A165" s="192" t="str">
        <x:v>canvas</x:v>
      </x:c>
      <x:c r="B165" s="192" t="str">
        <x:v>n.</x:v>
      </x:c>
      <x:c r="C165" s="194" t="str">
        <x:v>полотно</x:v>
      </x:c>
      <x:c r="D165" s="195" t="str">
        <x:v>Тип грубої тканини, витканої з конопель, використовується для виготовлення вітрил і наметів або як поверхня для картин.</x:v>
      </x:c>
      <x:c r="E165" s="192" t="str">
        <x:v>Oxford C1</x:v>
      </x:c>
      <x:c r="F165" s="192" t="str">
        <x:v>Core</x:v>
      </x:c>
      <x:c r="G165" s="192" t="str">
        <x:v>Not Started</x:v>
      </x:c>
      <x:c r="H165" s="192" t="n">
        <x:v>0</x:v>
      </x:c>
    </x:row>
    <x:row r="166" ht="56" customHeight="1">
      <x:c r="A166" s="192" t="str">
        <x:v>capability</x:v>
      </x:c>
      <x:c r="B166" s="192" t="str">
        <x:v>n.</x:v>
      </x:c>
      <x:c r="C166" s="194" t="str">
        <x:v>здатність</x:v>
      </x:c>
      <x:c r="D166" s="195" t="str">
        <x:v>Сила або здатність генерувати результат.</x:v>
      </x:c>
      <x:c r="E166" s="192" t="str">
        <x:v>Oxford C1</x:v>
      </x:c>
      <x:c r="F166" s="192" t="str">
        <x:v>Core</x:v>
      </x:c>
      <x:c r="G166" s="192" t="str">
        <x:v>Not Started</x:v>
      </x:c>
      <x:c r="H166" s="192" t="n">
        <x:v>0</x:v>
      </x:c>
    </x:row>
    <x:row r="167" ht="56" customHeight="1">
      <x:c r="A167" s="192" t="str">
        <x:v>capitalism</x:v>
      </x:c>
      <x:c r="B167" s="192" t="str">
        <x:v>n.</x:v>
      </x:c>
      <x:c r="C167" s="194" t="str">
        <x:v>капіталізм</x:v>
      </x:c>
      <x:c r="D167" s="195" t="str">
        <x:v>Економічна система, заснована на приватній власності на засоби виробництва та їх експлуатації з метою отримання прибутку.</x:v>
      </x:c>
      <x:c r="E167" s="192" t="str">
        <x:v>Oxford C1</x:v>
      </x:c>
      <x:c r="F167" s="192" t="str">
        <x:v>High</x:v>
      </x:c>
      <x:c r="G167" s="192" t="str">
        <x:v>Not Started</x:v>
      </x:c>
      <x:c r="H167" s="192" t="n">
        <x:v>0</x:v>
      </x:c>
    </x:row>
    <x:row r="168" ht="56" customHeight="1">
      <x:c r="A168" s="192" t="str">
        <x:v>capitalist</x:v>
      </x:c>
      <x:c r="B168" s="192" t="str">
        <x:v>adj.</x:v>
      </x:c>
      <x:c r="C168" s="194" t="str">
        <x:v>капіталіст</x:v>
      </x:c>
      <x:c r="D168" s="195" t="str">
        <x:v>Про капіталізм або пов’язаний з ним.</x:v>
      </x:c>
      <x:c r="E168" s="192" t="str">
        <x:v>Oxford C1</x:v>
      </x:c>
      <x:c r="F168" s="192" t="str">
        <x:v>High</x:v>
      </x:c>
      <x:c r="G168" s="192" t="str">
        <x:v>Not Started</x:v>
      </x:c>
      <x:c r="H168" s="192" t="n">
        <x:v>0</x:v>
      </x:c>
    </x:row>
    <x:row r="169" ht="56" customHeight="1">
      <x:c r="A169" s="192" t="str">
        <x:v>cargo</x:v>
      </x:c>
      <x:c r="B169" s="192" t="str">
        <x:v>n.</x:v>
      </x:c>
      <x:c r="C169" s="194" t="str">
        <x:v>вантаж</x:v>
      </x:c>
      <x:c r="D169" s="195" t="str">
        <x:v>Вантаж, що перевозиться кораблем, літаком або автомобілем.</x:v>
      </x:c>
      <x:c r="E169" s="192" t="str">
        <x:v>Oxford C1</x:v>
      </x:c>
      <x:c r="F169" s="192" t="str">
        <x:v>Core</x:v>
      </x:c>
      <x:c r="G169" s="192" t="str">
        <x:v>Not Started</x:v>
      </x:c>
      <x:c r="H169" s="192" t="n">
        <x:v>0</x:v>
      </x:c>
    </x:row>
    <x:row r="170" ht="56" customHeight="1">
      <x:c r="A170" s="192" t="str">
        <x:v>carriage</x:v>
      </x:c>
      <x:c r="B170" s="192" t="str">
        <x:v>n.</x:v>
      </x:c>
      <x:c r="C170" s="194" t="str">
        <x:v>карета</x:v>
      </x:c>
      <x:c r="D170" s="195" t="str">
        <x:v>Акт передачі; перенесення.</x:v>
      </x:c>
      <x:c r="E170" s="192" t="str">
        <x:v>Oxford C1</x:v>
      </x:c>
      <x:c r="F170" s="192" t="str">
        <x:v>Core</x:v>
      </x:c>
      <x:c r="G170" s="192" t="str">
        <x:v>Not Started</x:v>
      </x:c>
      <x:c r="H170" s="192" t="n">
        <x:v>0</x:v>
      </x:c>
    </x:row>
    <x:row r="171" ht="56" customHeight="1">
      <x:c r="A171" s="192" t="str">
        <x:v>carve</x:v>
      </x:c>
      <x:c r="B171" s="192" t="str">
        <x:v>v.</x:v>
      </x:c>
      <x:c r="C171" s="194" t="str">
        <x:v>вирізати</x:v>
      </x:c>
      <x:c r="D171" s="195" t="str">
        <x:v>Нарізати м'ясо для подачі.</x:v>
      </x:c>
      <x:c r="E171" s="192" t="str">
        <x:v>Oxford C1</x:v>
      </x:c>
      <x:c r="F171" s="192" t="str">
        <x:v>Core</x:v>
      </x:c>
      <x:c r="G171" s="192" t="str">
        <x:v>Not Started</x:v>
      </x:c>
      <x:c r="H171" s="192" t="n">
        <x:v>0</x:v>
      </x:c>
    </x:row>
    <x:row r="172" ht="56" customHeight="1">
      <x:c r="A172" s="192" t="str">
        <x:v>casino</x:v>
      </x:c>
      <x:c r="B172" s="192" t="str">
        <x:v>n.</x:v>
      </x:c>
      <x:c r="C172" s="194" t="str">
        <x:v>казино</x:v>
      </x:c>
      <x:c r="D172" s="195" t="str">
        <x:v>Громадська будівля або зал для азартних ігор.</x:v>
      </x:c>
      <x:c r="E172" s="192" t="str">
        <x:v>Oxford C1</x:v>
      </x:c>
      <x:c r="F172" s="192" t="str">
        <x:v>Core</x:v>
      </x:c>
      <x:c r="G172" s="192" t="str">
        <x:v>Not Started</x:v>
      </x:c>
      <x:c r="H172" s="192" t="n">
        <x:v>0</x:v>
      </x:c>
    </x:row>
    <x:row r="173" ht="56" customHeight="1">
      <x:c r="A173" s="192" t="str">
        <x:v>casualty</x:v>
      </x:c>
      <x:c r="B173" s="192" t="str">
        <x:v>n.</x:v>
      </x:c>
      <x:c r="C173" s="194" t="str">
        <x:v>потерпілий</x:v>
      </x:c>
      <x:c r="D173" s="195" t="str">
        <x:v>Особа, яка отримала травми або була вбита внаслідок нещасного випадку чи насильства.</x:v>
      </x:c>
      <x:c r="E173" s="192" t="str">
        <x:v>Oxford C1</x:v>
      </x:c>
      <x:c r="F173" s="192" t="str">
        <x:v>Core</x:v>
      </x:c>
      <x:c r="G173" s="192" t="str">
        <x:v>Not Started</x:v>
      </x:c>
      <x:c r="H173" s="192" t="n">
        <x:v>0</x:v>
      </x:c>
    </x:row>
    <x:row r="174" ht="56" customHeight="1">
      <x:c r="A174" s="192" t="str">
        <x:v>catalogue</x:v>
      </x:c>
      <x:c r="B174" s="192" t="str">
        <x:v>n.</x:v>
      </x:c>
      <x:c r="C174" s="194" t="str">
        <x:v>каталог</x:v>
      </x:c>
      <x:c r="D174" s="195" t="str">
        <x:v>Повний (як правило, алфавітний або хронологічний) список елементів.</x:v>
      </x:c>
      <x:c r="E174" s="192" t="str">
        <x:v>Oxford C1</x:v>
      </x:c>
      <x:c r="F174" s="192" t="str">
        <x:v>Core</x:v>
      </x:c>
      <x:c r="G174" s="192" t="str">
        <x:v>Not Started</x:v>
      </x:c>
      <x:c r="H174" s="192" t="n">
        <x:v>0</x:v>
      </x:c>
    </x:row>
    <x:row r="175" ht="56" customHeight="1">
      <x:c r="A175" s="192" t="str">
        <x:v>cater</x:v>
      </x:c>
      <x:c r="B175" s="192" t="str">
        <x:v>v.</x:v>
      </x:c>
      <x:c r="C175" s="194" t="str">
        <x:v>обслуговувати</x:v>
      </x:c>
      <x:c r="D175" s="195" t="str">
        <x:v>Забезпечити їжею, особливо для особливого випадку, як професійну послугу.</x:v>
      </x:c>
      <x:c r="E175" s="192" t="str">
        <x:v>Oxford C1</x:v>
      </x:c>
      <x:c r="F175" s="192" t="str">
        <x:v>Core</x:v>
      </x:c>
      <x:c r="G175" s="192" t="str">
        <x:v>Not Started</x:v>
      </x:c>
      <x:c r="H175" s="192" t="n">
        <x:v>0</x:v>
      </x:c>
    </x:row>
    <x:row r="176" ht="56" customHeight="1">
      <x:c r="A176" s="192" t="str">
        <x:v>cattle</x:v>
      </x:c>
      <x:c r="B176" s="192" t="str">
        <x:v>n.</x:v>
      </x:c>
      <x:c r="C176" s="194" t="str">
        <x:v>худоба</x:v>
      </x:c>
      <x:c r="D176" s="195" t="str">
        <x:v>Домашня тварина виду Bos taurus (корови, бики, бички, воли тощо) та інші копитні ссавці роду Bos.</x:v>
      </x:c>
      <x:c r="E176" s="192" t="str">
        <x:v>Oxford C1</x:v>
      </x:c>
      <x:c r="F176" s="192" t="str">
        <x:v>Core</x:v>
      </x:c>
      <x:c r="G176" s="192" t="str">
        <x:v>Not Started</x:v>
      </x:c>
      <x:c r="H176" s="192" t="n">
        <x:v>0</x:v>
      </x:c>
    </x:row>
    <x:row r="177" ht="56" customHeight="1">
      <x:c r="A177" s="192" t="str">
        <x:v>caution</x:v>
      </x:c>
      <x:c r="B177" s="192" t="str">
        <x:v>n.</x:v>
      </x:c>
      <x:c r="C177" s="194" t="str">
        <x:v>обережність</x:v>
      </x:c>
      <x:c r="D177" s="195" t="str">
        <x:v>Розсудливість, коли ви стикаєтеся з небезпекою або очікуєте зіткнутися з небезпекою; обережність, щоб уникнути ризику чи шкоди.</x:v>
      </x:c>
      <x:c r="E177" s="192" t="str">
        <x:v>Oxford C1</x:v>
      </x:c>
      <x:c r="F177" s="192" t="str">
        <x:v>Core</x:v>
      </x:c>
      <x:c r="G177" s="192" t="str">
        <x:v>Not Started</x:v>
      </x:c>
      <x:c r="H177" s="192" t="n">
        <x:v>0</x:v>
      </x:c>
    </x:row>
    <x:row r="178" ht="56" customHeight="1">
      <x:c r="A178" s="192" t="str">
        <x:v>cautious</x:v>
      </x:c>
      <x:c r="B178" s="192" t="str">
        <x:v>adj.</x:v>
      </x:c>
      <x:c r="C178" s="194" t="str">
        <x:v>обережний</x:v>
      </x:c>
      <x:c r="D178" s="195" t="str">
        <x:v>Використання або застосування обережності; обережний; орієнтовний</x:v>
      </x:c>
      <x:c r="E178" s="192" t="str">
        <x:v>Oxford C1</x:v>
      </x:c>
      <x:c r="F178" s="192" t="str">
        <x:v>Core</x:v>
      </x:c>
      <x:c r="G178" s="192" t="str">
        <x:v>Not Started</x:v>
      </x:c>
      <x:c r="H178" s="192" t="n">
        <x:v>0</x:v>
      </x:c>
    </x:row>
    <x:row r="179" ht="56" customHeight="1">
      <x:c r="A179" s="192" t="str">
        <x:v>cease</x:v>
      </x:c>
      <x:c r="B179" s="192" t="str">
        <x:v>v.</x:v>
      </x:c>
      <x:c r="C179" s="194" t="str">
        <x:v>припинити</x:v>
      </x:c>
      <x:c r="D179" s="195" t="str">
        <x:v>Щоб зупинитися.</x:v>
      </x:c>
      <x:c r="E179" s="192" t="str">
        <x:v>Oxford C1</x:v>
      </x:c>
      <x:c r="F179" s="192" t="str">
        <x:v>Core</x:v>
      </x:c>
      <x:c r="G179" s="192" t="str">
        <x:v>Not Started</x:v>
      </x:c>
      <x:c r="H179" s="192" t="n">
        <x:v>0</x:v>
      </x:c>
    </x:row>
    <x:row r="180" ht="56" customHeight="1">
      <x:c r="A180" s="192" t="str">
        <x:v>cemetery</x:v>
      </x:c>
      <x:c r="B180" s="192" t="str">
        <x:v>n.</x:v>
      </x:c>
      <x:c r="C180" s="194" t="str">
        <x:v>кладовище</x:v>
      </x:c>
      <x:c r="D180" s="195" t="str">
        <x:v>Місце, де ховають померлих; цвинтар або меморіальний парк.</x:v>
      </x:c>
      <x:c r="E180" s="192" t="str">
        <x:v>Oxford C1</x:v>
      </x:c>
      <x:c r="F180" s="192" t="str">
        <x:v>Core</x:v>
      </x:c>
      <x:c r="G180" s="192" t="str">
        <x:v>Not Started</x:v>
      </x:c>
      <x:c r="H180" s="192" t="n">
        <x:v>0</x:v>
      </x:c>
    </x:row>
    <x:row r="181" ht="56" customHeight="1">
      <x:c r="A181" s="192" t="str">
        <x:v>chamber</x:v>
      </x:c>
      <x:c r="B181" s="192" t="str">
        <x:v>n.</x:v>
      </x:c>
      <x:c r="C181" s="194" t="str">
        <x:v>камера</x:v>
      </x:c>
      <x:c r="D181" s="195" t="str">
        <x:v>Кімната або набір кімнат, зокрема:</x:v>
      </x:c>
      <x:c r="E181" s="192" t="str">
        <x:v>Oxford C1</x:v>
      </x:c>
      <x:c r="F181" s="192" t="str">
        <x:v>Core</x:v>
      </x:c>
      <x:c r="G181" s="192" t="str">
        <x:v>Not Started</x:v>
      </x:c>
      <x:c r="H181" s="192" t="n">
        <x:v>0</x:v>
      </x:c>
    </x:row>
    <x:row r="182" ht="56" customHeight="1">
      <x:c r="A182" s="192" t="str">
        <x:v>chaos</x:v>
      </x:c>
      <x:c r="B182" s="192" t="str">
        <x:v>n.</x:v>
      </x:c>
      <x:c r="C182" s="194" t="str">
        <x:v>хаос</x:v>
      </x:c>
      <x:c r="D182" s="195" t="str">
        <x:v>Будь-який стан розладу; плутана або аморфна суміш або конгломерат.</x:v>
      </x:c>
      <x:c r="E182" s="192" t="str">
        <x:v>Oxford C1</x:v>
      </x:c>
      <x:c r="F182" s="192" t="str">
        <x:v>Core</x:v>
      </x:c>
      <x:c r="G182" s="192" t="str">
        <x:v>Not Started</x:v>
      </x:c>
      <x:c r="H182" s="192" t="n">
        <x:v>0</x:v>
      </x:c>
    </x:row>
    <x:row r="183" ht="56" customHeight="1">
      <x:c r="A183" s="192" t="str">
        <x:v>characterize</x:v>
      </x:c>
      <x:c r="B183" s="192" t="str">
        <x:v>v.</x:v>
      </x:c>
      <x:c r="C183" s="194" t="str">
        <x:v>характеризувати</x:v>
      </x:c>
      <x:c r="D183" s="195" t="str">
        <x:v>Бути типовим для.</x:v>
      </x:c>
      <x:c r="E183" s="192" t="str">
        <x:v>Oxford C1</x:v>
      </x:c>
      <x:c r="F183" s="192" t="str">
        <x:v>Core</x:v>
      </x:c>
      <x:c r="G183" s="192" t="str">
        <x:v>Not Started</x:v>
      </x:c>
      <x:c r="H183" s="192" t="n">
        <x:v>0</x:v>
      </x:c>
    </x:row>
    <x:row r="184" ht="56" customHeight="1">
      <x:c r="A184" s="192" t="str">
        <x:v>charm</x:v>
      </x:c>
      <x:c r="B184" s="192" t="str">
        <x:v>n.</x:v>
      </x:c>
      <x:c r="C184" s="194" t="str">
        <x:v>чарівність</x:v>
      </x:c>
      <x:c r="D184" s="195" t="str">
        <x:v>Здатність переконувати, радувати або викликати захоплення.</x:v>
      </x:c>
      <x:c r="E184" s="192" t="str">
        <x:v>Oxford C1</x:v>
      </x:c>
      <x:c r="F184" s="192" t="str">
        <x:v>Core</x:v>
      </x:c>
      <x:c r="G184" s="192" t="str">
        <x:v>Not Started</x:v>
      </x:c>
      <x:c r="H184" s="192" t="n">
        <x:v>0</x:v>
      </x:c>
    </x:row>
    <x:row r="185" ht="56" customHeight="1">
      <x:c r="A185" s="192" t="str">
        <x:v>charter</x:v>
      </x:c>
      <x:c r="B185" s="192" t="str">
        <x:v>n.</x:v>
      </x:c>
      <x:c r="C185" s="194" t="str">
        <x:v>статут</x:v>
      </x:c>
      <x:c r="D185" s="195" t="str">
        <x:v>Документ, виданий певною владою, що створює державну чи приватну установу та визначає її цілі та привілеї.</x:v>
      </x:c>
      <x:c r="E185" s="192" t="str">
        <x:v>Oxford C1</x:v>
      </x:c>
      <x:c r="F185" s="192" t="str">
        <x:v>Core</x:v>
      </x:c>
      <x:c r="G185" s="192" t="str">
        <x:v>Not Started</x:v>
      </x:c>
      <x:c r="H185" s="192" t="n">
        <x:v>0</x:v>
      </x:c>
    </x:row>
    <x:row r="186" ht="56" customHeight="1">
      <x:c r="A186" s="192" t="str">
        <x:v>chronic</x:v>
      </x:c>
      <x:c r="B186" s="192" t="str">
        <x:v>adj.</x:v>
      </x:c>
      <x:c r="C186" s="194" t="str">
        <x:v>хронічний</x:v>
      </x:c>
      <x:c r="D186" s="195" t="str">
        <x:v>Про проблему, яка триває протягом тривалого періоду часу.</x:v>
      </x:c>
      <x:c r="E186" s="192" t="str">
        <x:v>Oxford C1</x:v>
      </x:c>
      <x:c r="F186" s="192" t="str">
        <x:v>High</x:v>
      </x:c>
      <x:c r="G186" s="192" t="str">
        <x:v>Not Started</x:v>
      </x:c>
      <x:c r="H186" s="192" t="n">
        <x:v>0</x:v>
      </x:c>
    </x:row>
    <x:row r="187" ht="56" customHeight="1">
      <x:c r="A187" s="192" t="str">
        <x:v>chunk</x:v>
      </x:c>
      <x:c r="B187" s="192" t="str">
        <x:v>n.</x:v>
      </x:c>
      <x:c r="C187" s="194" t="str">
        <x:v>шматок</x:v>
      </x:c>
      <x:c r="D187" s="195" t="str">
        <x:v>Велика або значна частина чогось.</x:v>
      </x:c>
      <x:c r="E187" s="192" t="str">
        <x:v>Oxford C1</x:v>
      </x:c>
      <x:c r="F187" s="192" t="str">
        <x:v>Core</x:v>
      </x:c>
      <x:c r="G187" s="192" t="str">
        <x:v>Not Started</x:v>
      </x:c>
      <x:c r="H187" s="192" t="n">
        <x:v>0</x:v>
      </x:c>
    </x:row>
    <x:row r="188" ht="56" customHeight="1">
      <x:c r="A188" s="192" t="str">
        <x:v>circulate</x:v>
      </x:c>
      <x:c r="B188" s="192" t="str">
        <x:v>v.</x:v>
      </x:c>
      <x:c r="C188" s="194" t="str">
        <x:v>циркулювати</x:v>
      </x:c>
      <x:c r="D188" s="195" t="str">
        <x:v>поширювати або поширювати</x:v>
      </x:c>
      <x:c r="E188" s="192" t="str">
        <x:v>Oxford C1</x:v>
      </x:c>
      <x:c r="F188" s="192" t="str">
        <x:v>Core</x:v>
      </x:c>
      <x:c r="G188" s="192" t="str">
        <x:v>Not Started</x:v>
      </x:c>
      <x:c r="H188" s="192" t="n">
        <x:v>0</x:v>
      </x:c>
    </x:row>
    <x:row r="189" ht="56" customHeight="1">
      <x:c r="A189" s="192" t="str">
        <x:v>circulation</x:v>
      </x:c>
      <x:c r="B189" s="192" t="str">
        <x:v>n.</x:v>
      </x:c>
      <x:c r="C189" s="194" t="str">
        <x:v>обіг</x:v>
      </x:c>
      <x:c r="D189" s="195" t="str">
        <x:v>Акт переходу з місця на місце або від людини до людини; вільна дифузія; спосіб передавання.</x:v>
      </x:c>
      <x:c r="E189" s="192" t="str">
        <x:v>Oxford C1</x:v>
      </x:c>
      <x:c r="F189" s="192" t="str">
        <x:v>Core</x:v>
      </x:c>
      <x:c r="G189" s="192" t="str">
        <x:v>Not Started</x:v>
      </x:c>
      <x:c r="H189" s="192" t="n">
        <x:v>0</x:v>
      </x:c>
    </x:row>
    <x:row r="190" ht="56" customHeight="1">
      <x:c r="A190" s="192" t="str">
        <x:v>citizenship</x:v>
      </x:c>
      <x:c r="B190" s="192" t="str">
        <x:v>n.</x:v>
      </x:c>
      <x:c r="C190" s="194" t="str">
        <x:v>громадянство</x:v>
      </x:c>
      <x:c r="D190" s="195" t="str">
        <x:v>Стан громадянства; статус громадянина.</x:v>
      </x:c>
      <x:c r="E190" s="192" t="str">
        <x:v>Oxford C1</x:v>
      </x:c>
      <x:c r="F190" s="192" t="str">
        <x:v>High</x:v>
      </x:c>
      <x:c r="G190" s="192" t="str">
        <x:v>Not Started</x:v>
      </x:c>
      <x:c r="H190" s="192" t="n">
        <x:v>0</x:v>
      </x:c>
    </x:row>
    <x:row r="191" ht="56" customHeight="1">
      <x:c r="A191" s="192" t="str">
        <x:v>civic</x:v>
      </x:c>
      <x:c r="B191" s="192" t="str">
        <x:v>adj.</x:v>
      </x:c>
      <x:c r="C191" s="194" t="str">
        <x:v>громадянський</x:v>
      </x:c>
      <x:c r="D191" s="195" t="str">
        <x:v>Про або щодо громадянина, або про добросовісне громадянство та його права та обов'язки.</x:v>
      </x:c>
      <x:c r="E191" s="192" t="str">
        <x:v>Oxford C1</x:v>
      </x:c>
      <x:c r="F191" s="192" t="str">
        <x:v>Core</x:v>
      </x:c>
      <x:c r="G191" s="192" t="str">
        <x:v>Not Started</x:v>
      </x:c>
      <x:c r="H191" s="192" t="n">
        <x:v>0</x:v>
      </x:c>
    </x:row>
    <x:row r="192" ht="56" customHeight="1">
      <x:c r="A192" s="192" t="str">
        <x:v>civilian</x:v>
      </x:c>
      <x:c r="B192" s="192" t="str">
        <x:v>n., adj.</x:v>
      </x:c>
      <x:c r="C192" s="194" t="str">
        <x:v>цивільний</x:v>
      </x:c>
      <x:c r="D192" s="195" t="str">
        <x:v>Людина, яка займається цивільним життям, особливо та, яка не є активним членом збройних сил.</x:v>
      </x:c>
      <x:c r="E192" s="192" t="str">
        <x:v>Oxford C1</x:v>
      </x:c>
      <x:c r="F192" s="192" t="str">
        <x:v>Core</x:v>
      </x:c>
      <x:c r="G192" s="192" t="str">
        <x:v>Not Started</x:v>
      </x:c>
      <x:c r="H192" s="192" t="n">
        <x:v>0</x:v>
      </x:c>
    </x:row>
    <x:row r="193" ht="56" customHeight="1">
      <x:c r="A193" s="192" t="str">
        <x:v>clarity</x:v>
      </x:c>
      <x:c r="B193" s="192" t="str">
        <x:v>n.</x:v>
      </x:c>
      <x:c r="C193" s="194" t="str">
        <x:v>ясність</x:v>
      </x:c>
      <x:c r="D193" s="195" t="str">
        <x:v>Стан або міра ясності, чи то в зовнішньому вигляді, в думці чи стилі; ясність.</x:v>
      </x:c>
      <x:c r="E193" s="192" t="str">
        <x:v>Oxford C1 + AWL 8</x:v>
      </x:c>
      <x:c r="F193" s="192" t="str">
        <x:v>High</x:v>
      </x:c>
      <x:c r="G193" s="192" t="str">
        <x:v>Not Started</x:v>
      </x:c>
      <x:c r="H193" s="192" t="n">
        <x:v>0</x:v>
      </x:c>
    </x:row>
    <x:row r="194" ht="56" customHeight="1">
      <x:c r="A194" s="192" t="str">
        <x:v>clash</x:v>
      </x:c>
      <x:c r="B194" s="192" t="str">
        <x:v>n.</x:v>
      </x:c>
      <x:c r="C194" s="194" t="str">
        <x:v>зіткнення</x:v>
      </x:c>
      <x:c r="D194" s="195" t="str">
        <x:v>опозиція; протиріччя; наприклад, між різними або суперечливими інтересами, поглядами, цілями тощо.</x:v>
      </x:c>
      <x:c r="E194" s="192" t="str">
        <x:v>Oxford C1</x:v>
      </x:c>
      <x:c r="F194" s="192" t="str">
        <x:v>Core</x:v>
      </x:c>
      <x:c r="G194" s="192" t="str">
        <x:v>Not Started</x:v>
      </x:c>
      <x:c r="H194" s="192" t="n">
        <x:v>0</x:v>
      </x:c>
    </x:row>
    <x:row r="195" ht="56" customHeight="1">
      <x:c r="A195" s="192" t="str">
        <x:v>classification</x:v>
      </x:c>
      <x:c r="B195" s="192" t="str">
        <x:v>n.</x:v>
      </x:c>
      <x:c r="C195" s="194" t="str">
        <x:v>класифікація</x:v>
      </x:c>
      <x:c r="D195" s="195" t="str">
        <x:v>Акт формування в клас або класи; розподіл на групи, як класи, порядки, родини тощо, відповідно до деяких спільних відносин або атрибутів.</x:v>
      </x:c>
      <x:c r="E195" s="192" t="str">
        <x:v>Oxford C1</x:v>
      </x:c>
      <x:c r="F195" s="192" t="str">
        <x:v>Core</x:v>
      </x:c>
      <x:c r="G195" s="192" t="str">
        <x:v>Not Started</x:v>
      </x:c>
      <x:c r="H195" s="192" t="n">
        <x:v>0</x:v>
      </x:c>
    </x:row>
    <x:row r="196" ht="56" customHeight="1">
      <x:c r="A196" s="192" t="str">
        <x:v>cling</x:v>
      </x:c>
      <x:c r="B196" s="192" t="str">
        <x:v>v.</x:v>
      </x:c>
      <x:c r="C196" s="194" t="str">
        <x:v>чіплятися</x:v>
      </x:c>
      <x:c r="D196" s="195" t="str">
        <x:v>Тримати дуже міцно, щоб не впасти.</x:v>
      </x:c>
      <x:c r="E196" s="192" t="str">
        <x:v>Oxford C1</x:v>
      </x:c>
      <x:c r="F196" s="192" t="str">
        <x:v>Core</x:v>
      </x:c>
      <x:c r="G196" s="192" t="str">
        <x:v>Not Started</x:v>
      </x:c>
      <x:c r="H196" s="192" t="n">
        <x:v>0</x:v>
      </x:c>
    </x:row>
    <x:row r="197" ht="56" customHeight="1">
      <x:c r="A197" s="192" t="str">
        <x:v>clinical</x:v>
      </x:c>
      <x:c r="B197" s="192" t="str">
        <x:v>adj.</x:v>
      </x:c>
      <x:c r="C197" s="194" t="str">
        <x:v>клінічний</x:v>
      </x:c>
      <x:c r="D197" s="195" t="str">
        <x:v>Робота з практичним лікуванням пацієнтів на практиці в пункті догляду; на відміну від інших закладів охорони здоров’я (див. клінічну медицину, щоб отримати додаткові пояснення).</x:v>
      </x:c>
      <x:c r="E197" s="192" t="str">
        <x:v>Oxford C1</x:v>
      </x:c>
      <x:c r="F197" s="192" t="str">
        <x:v>High</x:v>
      </x:c>
      <x:c r="G197" s="192" t="str">
        <x:v>Not Started</x:v>
      </x:c>
      <x:c r="H197" s="192" t="n">
        <x:v>0</x:v>
      </x:c>
    </x:row>
    <x:row r="198" ht="56" customHeight="1">
      <x:c r="A198" s="192" t="str">
        <x:v>closure</x:v>
      </x:c>
      <x:c r="B198" s="192" t="str">
        <x:v>n.</x:v>
      </x:c>
      <x:c r="C198" s="194" t="str">
        <x:v>закриття</x:v>
      </x:c>
      <x:c r="D198" s="195" t="str">
        <x:v>Подія або подія, що означає кінець.</x:v>
      </x:c>
      <x:c r="E198" s="192" t="str">
        <x:v>Oxford C1</x:v>
      </x:c>
      <x:c r="F198" s="192" t="str">
        <x:v>Core</x:v>
      </x:c>
      <x:c r="G198" s="192" t="str">
        <x:v>Not Started</x:v>
      </x:c>
      <x:c r="H198" s="192" t="n">
        <x:v>0</x:v>
      </x:c>
    </x:row>
    <x:row r="199" ht="56" customHeight="1">
      <x:c r="A199" s="192" t="str">
        <x:v>cluster</x:v>
      </x:c>
      <x:c r="B199" s="192" t="str">
        <x:v>n.</x:v>
      </x:c>
      <x:c r="C199" s="194" t="str">
        <x:v>кластер</x:v>
      </x:c>
      <x:c r="D199" s="195" t="str">
        <x:v>Група або група з кількох окремих предметів, розташованих близько один до одного.</x:v>
      </x:c>
      <x:c r="E199" s="192" t="str">
        <x:v>Oxford C1</x:v>
      </x:c>
      <x:c r="F199" s="192" t="str">
        <x:v>Core</x:v>
      </x:c>
      <x:c r="G199" s="192" t="str">
        <x:v>Not Started</x:v>
      </x:c>
      <x:c r="H199" s="192" t="n">
        <x:v>0</x:v>
      </x:c>
    </x:row>
    <x:row r="200" ht="56" customHeight="1">
      <x:c r="A200" s="192" t="str">
        <x:v>coalition</x:v>
      </x:c>
      <x:c r="B200" s="192" t="str">
        <x:v>n.</x:v>
      </x:c>
      <x:c r="C200" s="194" t="str">
        <x:v>коаліція</x:v>
      </x:c>
      <x:c r="D200" s="195" t="str">
        <x:v>Тимчасова група або спілка організацій, яка зазвичай створюється для певної переваги.</x:v>
      </x:c>
      <x:c r="E200" s="192" t="str">
        <x:v>Oxford C1</x:v>
      </x:c>
      <x:c r="F200" s="192" t="str">
        <x:v>Core</x:v>
      </x:c>
      <x:c r="G200" s="192" t="str">
        <x:v>Not Started</x:v>
      </x:c>
      <x:c r="H200" s="192" t="n">
        <x:v>0</x:v>
      </x:c>
    </x:row>
    <x:row r="201" ht="56" customHeight="1">
      <x:c r="A201" s="192" t="str">
        <x:v>coastal</x:v>
      </x:c>
      <x:c r="B201" s="192" t="str">
        <x:v>adj.</x:v>
      </x:c>
      <x:c r="C201" s="194" t="str">
        <x:v>прибережний</x:v>
      </x:c>
      <x:c r="D201" s="195" t="str">
        <x:v>Що стосується узбережжя; на узбережжі або поблизу нього; довгобережжя.</x:v>
      </x:c>
      <x:c r="E201" s="192" t="str">
        <x:v>Oxford C1</x:v>
      </x:c>
      <x:c r="F201" s="192" t="str">
        <x:v>Core</x:v>
      </x:c>
      <x:c r="G201" s="192" t="str">
        <x:v>Not Started</x:v>
      </x:c>
      <x:c r="H201" s="192" t="n">
        <x:v>0</x:v>
      </x:c>
    </x:row>
    <x:row r="202" ht="56" customHeight="1">
      <x:c r="A202" s="192" t="str">
        <x:v>cocktail</x:v>
      </x:c>
      <x:c r="B202" s="192" t="str">
        <x:v>n.</x:v>
      </x:c>
      <x:c r="C202" s="194" t="str">
        <x:v>коктейль</x:v>
      </x:c>
      <x:c r="D202" s="195" t="str">
        <x:v>Змішаний алкогольний напій.</x:v>
      </x:c>
      <x:c r="E202" s="192" t="str">
        <x:v>Oxford C1</x:v>
      </x:c>
      <x:c r="F202" s="192" t="str">
        <x:v>Core</x:v>
      </x:c>
      <x:c r="G202" s="192" t="str">
        <x:v>Not Started</x:v>
      </x:c>
      <x:c r="H202" s="192" t="n">
        <x:v>0</x:v>
      </x:c>
    </x:row>
    <x:row r="203" ht="56" customHeight="1">
      <x:c r="A203" s="192" t="str">
        <x:v>cognitive</x:v>
      </x:c>
      <x:c r="B203" s="192" t="str">
        <x:v>adj.</x:v>
      </x:c>
      <x:c r="C203" s="194" t="str">
        <x:v>когнітивний</x:v>
      </x:c>
      <x:c r="D203" s="195" t="str">
        <x:v>Відноситься до тієї частини розумових функцій, яка має справу з логікою, на відміну від афективної, яка має справу з емоціями.</x:v>
      </x:c>
      <x:c r="E203" s="192" t="str">
        <x:v>Oxford C1</x:v>
      </x:c>
      <x:c r="F203" s="192" t="str">
        <x:v>Core</x:v>
      </x:c>
      <x:c r="G203" s="192" t="str">
        <x:v>Not Started</x:v>
      </x:c>
      <x:c r="H203" s="192" t="n">
        <x:v>0</x:v>
      </x:c>
    </x:row>
    <x:row r="204" ht="56" customHeight="1">
      <x:c r="A204" s="192" t="str">
        <x:v>coincide</x:v>
      </x:c>
      <x:c r="B204" s="192" t="str">
        <x:v>v.</x:v>
      </x:c>
      <x:c r="C204" s="194" t="str">
        <x:v>збігатися</x:v>
      </x:c>
      <x:c r="D204" s="195" t="str">
        <x:v>Відбутися одночасно.</x:v>
      </x:c>
      <x:c r="E204" s="192" t="str">
        <x:v>Oxford C1 + AWL 9</x:v>
      </x:c>
      <x:c r="F204" s="192" t="str">
        <x:v>High</x:v>
      </x:c>
      <x:c r="G204" s="192" t="str">
        <x:v>Not Started</x:v>
      </x:c>
      <x:c r="H204" s="192" t="n">
        <x:v>0</x:v>
      </x:c>
    </x:row>
    <x:row r="205" ht="56" customHeight="1">
      <x:c r="A205" s="192" t="str">
        <x:v>collaborate</x:v>
      </x:c>
      <x:c r="B205" s="192" t="str">
        <x:v>v.</x:v>
      </x:c>
      <x:c r="C205" s="194" t="str">
        <x:v>співпрацювати</x:v>
      </x:c>
      <x:c r="D205" s="195" t="str">
        <x:v>Працювати разом з іншими для досягнення спільної мети.</x:v>
      </x:c>
      <x:c r="E205" s="192" t="str">
        <x:v>Oxford C1</x:v>
      </x:c>
      <x:c r="F205" s="192" t="str">
        <x:v>Core</x:v>
      </x:c>
      <x:c r="G205" s="192" t="str">
        <x:v>Not Started</x:v>
      </x:c>
      <x:c r="H205" s="192" t="n">
        <x:v>0</x:v>
      </x:c>
    </x:row>
    <x:row r="206" ht="56" customHeight="1">
      <x:c r="A206" s="192" t="str">
        <x:v>collaboration</x:v>
      </x:c>
      <x:c r="B206" s="192" t="str">
        <x:v>n.</x:v>
      </x:c>
      <x:c r="C206" s="194" t="str">
        <x:v>співпраця</x:v>
      </x:c>
      <x:c r="D206" s="195" t="str">
        <x:v>Акт про співпрацю.</x:v>
      </x:c>
      <x:c r="E206" s="192" t="str">
        <x:v>Oxford C1</x:v>
      </x:c>
      <x:c r="F206" s="192" t="str">
        <x:v>Core</x:v>
      </x:c>
      <x:c r="G206" s="192" t="str">
        <x:v>Not Started</x:v>
      </x:c>
      <x:c r="H206" s="192" t="n">
        <x:v>0</x:v>
      </x:c>
    </x:row>
    <x:row r="207" ht="56" customHeight="1">
      <x:c r="A207" s="192" t="str">
        <x:v>collective</x:v>
      </x:c>
      <x:c r="B207" s="192" t="str">
        <x:v>adj.</x:v>
      </x:c>
      <x:c r="C207" s="194" t="str">
        <x:v>колективний</x:v>
      </x:c>
      <x:c r="D207" s="195" t="str">
        <x:v>Утворюється збиранням або збором; зібрані в масу, суму або тіло.</x:v>
      </x:c>
      <x:c r="E207" s="192" t="str">
        <x:v>Oxford C1</x:v>
      </x:c>
      <x:c r="F207" s="192" t="str">
        <x:v>Core</x:v>
      </x:c>
      <x:c r="G207" s="192" t="str">
        <x:v>Not Started</x:v>
      </x:c>
      <x:c r="H207" s="192" t="n">
        <x:v>0</x:v>
      </x:c>
    </x:row>
    <x:row r="208" ht="56" customHeight="1">
      <x:c r="A208" s="192" t="str">
        <x:v>collision</x:v>
      </x:c>
      <x:c r="B208" s="192" t="str">
        <x:v>n.</x:v>
      </x:c>
      <x:c r="C208" s="194" t="str">
        <x:v>зіткнення</x:v>
      </x:c>
      <x:c r="D208" s="195" t="str">
        <x:v>Будь-яка подія, під час якої два або більше тіл діють один на одного за відносно короткий час. При зіткненні фізичний контакт двох тіл не є необхідним.</x:v>
      </x:c>
      <x:c r="E208" s="192" t="str">
        <x:v>Oxford C1</x:v>
      </x:c>
      <x:c r="F208" s="192" t="str">
        <x:v>Core</x:v>
      </x:c>
      <x:c r="G208" s="192" t="str">
        <x:v>Not Started</x:v>
      </x:c>
      <x:c r="H208" s="192" t="n">
        <x:v>0</x:v>
      </x:c>
    </x:row>
    <x:row r="209" ht="56" customHeight="1">
      <x:c r="A209" s="192" t="str">
        <x:v>colonial</x:v>
      </x:c>
      <x:c r="B209" s="192" t="str">
        <x:v>adj.</x:v>
      </x:c>
      <x:c r="C209" s="194" t="str">
        <x:v>колоніальний</x:v>
      </x:c>
      <x:c r="D209" s="195" t="str">
        <x:v>З колонії або відноситься до неї.</x:v>
      </x:c>
      <x:c r="E209" s="192" t="str">
        <x:v>Oxford C1</x:v>
      </x:c>
      <x:c r="F209" s="192" t="str">
        <x:v>Core</x:v>
      </x:c>
      <x:c r="G209" s="192" t="str">
        <x:v>Not Started</x:v>
      </x:c>
      <x:c r="H209" s="192" t="n">
        <x:v>0</x:v>
      </x:c>
    </x:row>
    <x:row r="210" ht="56" customHeight="1">
      <x:c r="A210" s="192" t="str">
        <x:v>columnist</x:v>
      </x:c>
      <x:c r="B210" s="192" t="str">
        <x:v>n.</x:v>
      </x:c>
      <x:c r="C210" s="194" t="str">
        <x:v>колумніст</x:v>
      </x:c>
      <x:c r="D210" s="195" t="str">
        <x:v>Регулярний автор колонки, наприклад, у журналі чи газеті.</x:v>
      </x:c>
      <x:c r="E210" s="192" t="str">
        <x:v>Oxford C1</x:v>
      </x:c>
      <x:c r="F210" s="192" t="str">
        <x:v>Core</x:v>
      </x:c>
      <x:c r="G210" s="192" t="str">
        <x:v>Not Started</x:v>
      </x:c>
      <x:c r="H210" s="192" t="n">
        <x:v>0</x:v>
      </x:c>
    </x:row>
    <x:row r="211" ht="56" customHeight="1">
      <x:c r="A211" s="192" t="str">
        <x:v>combat</x:v>
      </x:c>
      <x:c r="B211" s="192" t="str">
        <x:v>n., v.</x:v>
      </x:c>
      <x:c r="C211" s="194" t="str">
        <x:v>бойовий</x:v>
      </x:c>
      <x:c r="D211" s="195" t="str">
        <x:v>Воювати; боротися проти.</x:v>
      </x:c>
      <x:c r="E211" s="192" t="str">
        <x:v>Oxford C1</x:v>
      </x:c>
      <x:c r="F211" s="192" t="str">
        <x:v>Core</x:v>
      </x:c>
      <x:c r="G211" s="192" t="str">
        <x:v>Not Started</x:v>
      </x:c>
      <x:c r="H211" s="192" t="n">
        <x:v>0</x:v>
      </x:c>
    </x:row>
    <x:row r="212" ht="56" customHeight="1">
      <x:c r="A212" s="192" t="str">
        <x:v>commence</x:v>
      </x:c>
      <x:c r="B212" s="192" t="str">
        <x:v>v.</x:v>
      </x:c>
      <x:c r="C212" s="194" t="str">
        <x:v>почати</x:v>
      </x:c>
      <x:c r="D212" s="195" t="str">
        <x:v>Щоб почати, почніть.</x:v>
      </x:c>
      <x:c r="E212" s="192" t="str">
        <x:v>Oxford C1</x:v>
      </x:c>
      <x:c r="F212" s="192" t="str">
        <x:v>Core</x:v>
      </x:c>
      <x:c r="G212" s="192" t="str">
        <x:v>Not Started</x:v>
      </x:c>
      <x:c r="H212" s="192" t="n">
        <x:v>0</x:v>
      </x:c>
    </x:row>
    <x:row r="213" ht="56" customHeight="1">
      <x:c r="A213" s="192" t="str">
        <x:v>commentary</x:v>
      </x:c>
      <x:c r="B213" s="192" t="str">
        <x:v>n.</x:v>
      </x:c>
      <x:c r="C213" s="194" t="str">
        <x:v>коментар</x:v>
      </x:c>
      <x:c r="D213" s="195" t="str">
        <x:v>Усна розповідь про подію, зокрема трансляцію по телебаченню чи радіо, як тільки вона відбувається.</x:v>
      </x:c>
      <x:c r="E213" s="192" t="str">
        <x:v>Oxford C1</x:v>
      </x:c>
      <x:c r="F213" s="192" t="str">
        <x:v>Core</x:v>
      </x:c>
      <x:c r="G213" s="192" t="str">
        <x:v>Not Started</x:v>
      </x:c>
      <x:c r="H213" s="192" t="n">
        <x:v>0</x:v>
      </x:c>
    </x:row>
    <x:row r="214" ht="56" customHeight="1">
      <x:c r="A214" s="192" t="str">
        <x:v>commentator</x:v>
      </x:c>
      <x:c r="B214" s="192" t="str">
        <x:v>n.</x:v>
      </x:c>
      <x:c r="C214" s="194" t="str">
        <x:v>коментатор</x:v>
      </x:c>
      <x:c r="D214" s="195" t="str">
        <x:v>Особа, яка надає миттєвий опис публічної події, зокрема спортивної, для аудиторії ЗМІ.</x:v>
      </x:c>
      <x:c r="E214" s="192" t="str">
        <x:v>Oxford C1</x:v>
      </x:c>
      <x:c r="F214" s="192" t="str">
        <x:v>Core</x:v>
      </x:c>
      <x:c r="G214" s="192" t="str">
        <x:v>Not Started</x:v>
      </x:c>
      <x:c r="H214" s="192" t="n">
        <x:v>0</x:v>
      </x:c>
    </x:row>
    <x:row r="215" ht="56" customHeight="1">
      <x:c r="A215" s="192" t="str">
        <x:v>commerce</x:v>
      </x:c>
      <x:c r="B215" s="192" t="str">
        <x:v>n.</x:v>
      </x:c>
      <x:c r="C215" s="194" t="str">
        <x:v>комерція</x:v>
      </x:c>
      <x:c r="D215" s="195" t="str">
        <x:v>Обмін або купівля-продаж товарів; особливо великомасштабний обмін товарами між різними місцями чи спільнотами; розширена торгівля або рух.</x:v>
      </x:c>
      <x:c r="E215" s="192" t="str">
        <x:v>Oxford C1</x:v>
      </x:c>
      <x:c r="F215" s="192" t="str">
        <x:v>High</x:v>
      </x:c>
      <x:c r="G215" s="192" t="str">
        <x:v>Not Started</x:v>
      </x:c>
      <x:c r="H215" s="192" t="n">
        <x:v>0</x:v>
      </x:c>
    </x:row>
    <x:row r="216" ht="56" customHeight="1">
      <x:c r="A216" s="192" t="str">
        <x:v>commissioner</x:v>
      </x:c>
      <x:c r="B216" s="192" t="str">
        <x:v>n.</x:v>
      </x:c>
      <x:c r="C216" s="194" t="str">
        <x:v>комісар</x:v>
      </x:c>
      <x:c r="D216" s="195" t="str">
        <x:v>Посадовець, відповідальний за урядове відомство, особливо поліцію.</x:v>
      </x:c>
      <x:c r="E216" s="192" t="str">
        <x:v>Oxford C1</x:v>
      </x:c>
      <x:c r="F216" s="192" t="str">
        <x:v>Core</x:v>
      </x:c>
      <x:c r="G216" s="192" t="str">
        <x:v>Not Started</x:v>
      </x:c>
      <x:c r="H216" s="192" t="n">
        <x:v>0</x:v>
      </x:c>
    </x:row>
    <x:row r="217" ht="56" customHeight="1">
      <x:c r="A217" s="192" t="str">
        <x:v>commodity</x:v>
      </x:c>
      <x:c r="B217" s="192" t="str">
        <x:v>n.</x:v>
      </x:c>
      <x:c r="C217" s="194" t="str">
        <x:v>товар</x:v>
      </x:c>
      <x:c r="D217" s="195" t="str">
        <x:v>Будь-що рухоме (товар), що купується та продається.</x:v>
      </x:c>
      <x:c r="E217" s="192" t="str">
        <x:v>Oxford C1 + AWL 8</x:v>
      </x:c>
      <x:c r="F217" s="192" t="str">
        <x:v>High</x:v>
      </x:c>
      <x:c r="G217" s="192" t="str">
        <x:v>Not Started</x:v>
      </x:c>
      <x:c r="H217" s="192" t="n">
        <x:v>0</x:v>
      </x:c>
    </x:row>
    <x:row r="218" ht="56" customHeight="1">
      <x:c r="A218" s="192" t="str">
        <x:v>communist</x:v>
      </x:c>
      <x:c r="B218" s="192" t="str">
        <x:v>adj.</x:v>
      </x:c>
      <x:c r="C218" s="194" t="str">
        <x:v>комуніст</x:v>
      </x:c>
      <x:c r="D218" s="195" t="str">
        <x:v>Відносно, підтримка чи пропаганда комунізму.</x:v>
      </x:c>
      <x:c r="E218" s="192" t="str">
        <x:v>Oxford C1</x:v>
      </x:c>
      <x:c r="F218" s="192" t="str">
        <x:v>Core</x:v>
      </x:c>
      <x:c r="G218" s="192" t="str">
        <x:v>Not Started</x:v>
      </x:c>
      <x:c r="H218" s="192" t="n">
        <x:v>0</x:v>
      </x:c>
    </x:row>
    <x:row r="219" ht="56" customHeight="1">
      <x:c r="A219" s="192" t="str">
        <x:v>companion</x:v>
      </x:c>
      <x:c r="B219" s="192" t="str">
        <x:v>n.</x:v>
      </x:c>
      <x:c r="C219" s="194" t="str">
        <x:v>компаньйон</x:v>
      </x:c>
      <x:c r="D219" s="195" t="str">
        <x:v>Друг, знайомий або партнер; хтось, з ким проводять час або супроводжують</x:v>
      </x:c>
      <x:c r="E219" s="192" t="str">
        <x:v>Oxford C1</x:v>
      </x:c>
      <x:c r="F219" s="192" t="str">
        <x:v>Core</x:v>
      </x:c>
      <x:c r="G219" s="192" t="str">
        <x:v>Not Started</x:v>
      </x:c>
      <x:c r="H219" s="192" t="n">
        <x:v>0</x:v>
      </x:c>
    </x:row>
    <x:row r="220" ht="56" customHeight="1">
      <x:c r="A220" s="192" t="str">
        <x:v>comparable</x:v>
      </x:c>
      <x:c r="B220" s="192" t="str">
        <x:v>adj.</x:v>
      </x:c>
      <x:c r="C220" s="194" t="str">
        <x:v>порівняльний</x:v>
      </x:c>
      <x:c r="D220" s="195" t="str">
        <x:v>Здатний порівнюватися (з).</x:v>
      </x:c>
      <x:c r="E220" s="192" t="str">
        <x:v>Oxford C1</x:v>
      </x:c>
      <x:c r="F220" s="192" t="str">
        <x:v>Core</x:v>
      </x:c>
      <x:c r="G220" s="192" t="str">
        <x:v>Not Started</x:v>
      </x:c>
      <x:c r="H220" s="192" t="n">
        <x:v>0</x:v>
      </x:c>
    </x:row>
    <x:row r="221" ht="56" customHeight="1">
      <x:c r="A221" s="192" t="str">
        <x:v>compassion</x:v>
      </x:c>
      <x:c r="B221" s="192" t="str">
        <x:v>n.</x:v>
      </x:c>
      <x:c r="C221" s="194" t="str">
        <x:v>співчуття</x:v>
      </x:c>
      <x:c r="D221" s="195" t="str">
        <x:v>Глибоке усвідомлення страждань інших людей настільки, що вони мотивовані полегшити такі стани.</x:v>
      </x:c>
      <x:c r="E221" s="192" t="str">
        <x:v>Oxford C1</x:v>
      </x:c>
      <x:c r="F221" s="192" t="str">
        <x:v>Core</x:v>
      </x:c>
      <x:c r="G221" s="192" t="str">
        <x:v>Not Started</x:v>
      </x:c>
      <x:c r="H221" s="192" t="n">
        <x:v>0</x:v>
      </x:c>
    </x:row>
    <x:row r="222" ht="56" customHeight="1">
      <x:c r="A222" s="192" t="str">
        <x:v>compel</x:v>
      </x:c>
      <x:c r="B222" s="192" t="str">
        <x:v>v.</x:v>
      </x:c>
      <x:c r="C222" s="194" t="str">
        <x:v>змушувати</x:v>
      </x:c>
      <x:c r="D222" s="195" t="str">
        <x:v>Змушувати, обмежувати або примушувати.</x:v>
      </x:c>
      <x:c r="E222" s="192" t="str">
        <x:v>Oxford C1</x:v>
      </x:c>
      <x:c r="F222" s="192" t="str">
        <x:v>Core</x:v>
      </x:c>
      <x:c r="G222" s="192" t="str">
        <x:v>Not Started</x:v>
      </x:c>
      <x:c r="H222" s="192" t="n">
        <x:v>0</x:v>
      </x:c>
    </x:row>
    <x:row r="223" ht="56" customHeight="1">
      <x:c r="A223" s="192" t="str">
        <x:v>compelling</x:v>
      </x:c>
      <x:c r="B223" s="192" t="str">
        <x:v>adj.</x:v>
      </x:c>
      <x:c r="C223" s="194" t="str">
        <x:v>переконливий</x:v>
      </x:c>
      <x:c r="D223" s="195" t="str">
        <x:v>дуже цікаво; здатний захопити та утримати увагу</x:v>
      </x:c>
      <x:c r="E223" s="192" t="str">
        <x:v>Oxford C1</x:v>
      </x:c>
      <x:c r="F223" s="192" t="str">
        <x:v>Core</x:v>
      </x:c>
      <x:c r="G223" s="192" t="str">
        <x:v>Not Started</x:v>
      </x:c>
      <x:c r="H223" s="192" t="n">
        <x:v>0</x:v>
      </x:c>
    </x:row>
    <x:row r="224" ht="56" customHeight="1">
      <x:c r="A224" s="192" t="str">
        <x:v>compensate</x:v>
      </x:c>
      <x:c r="B224" s="192" t="str">
        <x:v>v.</x:v>
      </x:c>
      <x:c r="C224" s="194" t="str">
        <x:v>компенсувати</x:v>
      </x:c>
      <x:c r="D224" s="195" t="str">
        <x:v>Платити або винагороджувати когось в обмін на виконану роботу чи іншу винагороду.</x:v>
      </x:c>
      <x:c r="E224" s="192" t="str">
        <x:v>Oxford C1</x:v>
      </x:c>
      <x:c r="F224" s="192" t="str">
        <x:v>Core</x:v>
      </x:c>
      <x:c r="G224" s="192" t="str">
        <x:v>Not Started</x:v>
      </x:c>
      <x:c r="H224" s="192" t="n">
        <x:v>0</x:v>
      </x:c>
    </x:row>
    <x:row r="225" ht="56" customHeight="1">
      <x:c r="A225" s="192" t="str">
        <x:v>compensation</x:v>
      </x:c>
      <x:c r="B225" s="192" t="str">
        <x:v>n.</x:v>
      </x:c>
      <x:c r="C225" s="194" t="str">
        <x:v>компенсація</x:v>
      </x:c>
      <x:c r="D225" s="195" t="str">
        <x:v>Акт або принцип компенсації.</x:v>
      </x:c>
      <x:c r="E225" s="192" t="str">
        <x:v>Oxford C1 + AWL 3</x:v>
      </x:c>
      <x:c r="F225" s="192" t="str">
        <x:v>High</x:v>
      </x:c>
      <x:c r="G225" s="192" t="str">
        <x:v>Not Started</x:v>
      </x:c>
      <x:c r="H225" s="192" t="n">
        <x:v>0</x:v>
      </x:c>
    </x:row>
    <x:row r="226" ht="56" customHeight="1">
      <x:c r="A226" s="192" t="str">
        <x:v>competence</x:v>
      </x:c>
      <x:c r="B226" s="192" t="str">
        <x:v>n.</x:v>
      </x:c>
      <x:c r="C226" s="194" t="str">
        <x:v>компетентність</x:v>
      </x:c>
      <x:c r="D226" s="195" t="str">
        <x:v>Якість або стан компетентності, тобто здатності або придатності для виконання загальної ролі.</x:v>
      </x:c>
      <x:c r="E226" s="192" t="str">
        <x:v>Oxford C1</x:v>
      </x:c>
      <x:c r="F226" s="192" t="str">
        <x:v>Core</x:v>
      </x:c>
      <x:c r="G226" s="192" t="str">
        <x:v>Not Started</x:v>
      </x:c>
      <x:c r="H226" s="192" t="n">
        <x:v>0</x:v>
      </x:c>
    </x:row>
    <x:row r="227" ht="56" customHeight="1">
      <x:c r="A227" s="192" t="str">
        <x:v>competent</x:v>
      </x:c>
      <x:c r="B227" s="192" t="str">
        <x:v>adj.</x:v>
      </x:c>
      <x:c r="C227" s="194" t="str">
        <x:v>компетентний</x:v>
      </x:c>
      <x:c r="D227" s="195" t="str">
        <x:v>Наявність достатніх навичок, знань, здібностей або кваліфікації.</x:v>
      </x:c>
      <x:c r="E227" s="192" t="str">
        <x:v>Oxford C1</x:v>
      </x:c>
      <x:c r="F227" s="192" t="str">
        <x:v>Core</x:v>
      </x:c>
      <x:c r="G227" s="192" t="str">
        <x:v>Not Started</x:v>
      </x:c>
      <x:c r="H227" s="192" t="n">
        <x:v>0</x:v>
      </x:c>
    </x:row>
    <x:row r="228" ht="56" customHeight="1">
      <x:c r="A228" s="192" t="str">
        <x:v>compile</x:v>
      </x:c>
      <x:c r="B228" s="192" t="str">
        <x:v>v.</x:v>
      </x:c>
      <x:c r="C228" s="194" t="str">
        <x:v>компілювати</x:v>
      </x:c>
      <x:c r="D228" s="195" t="str">
        <x:v>Використовувати компілятор для обробки вихідного коду та створення виконуваного коду.</x:v>
      </x:c>
      <x:c r="E228" s="192" t="str">
        <x:v>Oxford C1</x:v>
      </x:c>
      <x:c r="F228" s="192" t="str">
        <x:v>High</x:v>
      </x:c>
      <x:c r="G228" s="192" t="str">
        <x:v>Not Started</x:v>
      </x:c>
      <x:c r="H228" s="192" t="n">
        <x:v>0</x:v>
      </x:c>
    </x:row>
    <x:row r="229" ht="56" customHeight="1">
      <x:c r="A229" s="192" t="str">
        <x:v>complement</x:v>
      </x:c>
      <x:c r="B229" s="192" t="str">
        <x:v>v.</x:v>
      </x:c>
      <x:c r="C229" s="194" t="str">
        <x:v>доповнення</x:v>
      </x:c>
      <x:c r="D229" s="195" t="str">
        <x:v>Завершити, довести до досконалості, зробити цілим.</x:v>
      </x:c>
      <x:c r="E229" s="192" t="str">
        <x:v>Oxford C1 + AWL 8</x:v>
      </x:c>
      <x:c r="F229" s="192" t="str">
        <x:v>High</x:v>
      </x:c>
      <x:c r="G229" s="192" t="str">
        <x:v>Not Started</x:v>
      </x:c>
      <x:c r="H229" s="192" t="n">
        <x:v>0</x:v>
      </x:c>
    </x:row>
    <x:row r="230" ht="56" customHeight="1">
      <x:c r="A230" s="192" t="str">
        <x:v>complexity</x:v>
      </x:c>
      <x:c r="B230" s="192" t="str">
        <x:v>n.</x:v>
      </x:c>
      <x:c r="C230" s="194" t="str">
        <x:v>складність</x:v>
      </x:c>
      <x:c r="D230" s="195" t="str">
        <x:v>Комплексний стан; заплутаність; заплутаність.</x:v>
      </x:c>
      <x:c r="E230" s="192" t="str">
        <x:v>Oxford C1</x:v>
      </x:c>
      <x:c r="F230" s="192" t="str">
        <x:v>Core</x:v>
      </x:c>
      <x:c r="G230" s="192" t="str">
        <x:v>Not Started</x:v>
      </x:c>
      <x:c r="H230" s="192" t="n">
        <x:v>0</x:v>
      </x:c>
    </x:row>
    <x:row r="231" ht="56" customHeight="1">
      <x:c r="A231" s="192" t="str">
        <x:v>compliance</x:v>
      </x:c>
      <x:c r="B231" s="192" t="str">
        <x:v>n.</x:v>
      </x:c>
      <x:c r="C231" s="194" t="str">
        <x:v>відповідність</x:v>
      </x:c>
      <x:c r="D231" s="195" t="str">
        <x:v>Стан відповідності.</x:v>
      </x:c>
      <x:c r="E231" s="192" t="str">
        <x:v>Oxford C1</x:v>
      </x:c>
      <x:c r="F231" s="192" t="str">
        <x:v>Core</x:v>
      </x:c>
      <x:c r="G231" s="192" t="str">
        <x:v>Not Started</x:v>
      </x:c>
      <x:c r="H231" s="192" t="n">
        <x:v>0</x:v>
      </x:c>
    </x:row>
    <x:row r="232" ht="56" customHeight="1">
      <x:c r="A232" s="192" t="str">
        <x:v>complication</x:v>
      </x:c>
      <x:c r="B232" s="192" t="str">
        <x:v>n.</x:v>
      </x:c>
      <x:c r="C232" s="194" t="str">
        <x:v>ускладнення</x:v>
      </x:c>
      <x:c r="D232" s="195" t="str">
        <x:v>Ускладнений стан; заплутане або заплутане співвідношення частин; складність.</x:v>
      </x:c>
      <x:c r="E232" s="192" t="str">
        <x:v>Oxford C1</x:v>
      </x:c>
      <x:c r="F232" s="192" t="str">
        <x:v>Core</x:v>
      </x:c>
      <x:c r="G232" s="192" t="str">
        <x:v>Not Started</x:v>
      </x:c>
      <x:c r="H232" s="192" t="n">
        <x:v>0</x:v>
      </x:c>
    </x:row>
    <x:row r="233" ht="56" customHeight="1">
      <x:c r="A233" s="192" t="str">
        <x:v>comply</x:v>
      </x:c>
      <x:c r="B233" s="192" t="str">
        <x:v>v.</x:v>
      </x:c>
      <x:c r="C233" s="194" t="str">
        <x:v>дотримуватися</x:v>
      </x:c>
      <x:c r="D233" s="195" t="str">
        <x:v>Дати згоду; узгоджувати; погоджуватися, погоджуватися, погоджуватися; пристосовуватись, підлаштовуватися.</x:v>
      </x:c>
      <x:c r="E233" s="192" t="str">
        <x:v>Oxford C1</x:v>
      </x:c>
      <x:c r="F233" s="192" t="str">
        <x:v>Core</x:v>
      </x:c>
      <x:c r="G233" s="192" t="str">
        <x:v>Not Started</x:v>
      </x:c>
      <x:c r="H233" s="192" t="n">
        <x:v>0</x:v>
      </x:c>
    </x:row>
    <x:row r="234" ht="56" customHeight="1">
      <x:c r="A234" s="192" t="str">
        <x:v>composition</x:v>
      </x:c>
      <x:c r="B234" s="192" t="str">
        <x:v>n.</x:v>
      </x:c>
      <x:c r="C234" s="194" t="str">
        <x:v>склад</x:v>
      </x:c>
      <x:c r="D234" s="195" t="str">
        <x:v>Твір музики, літератури чи мистецтва.</x:v>
      </x:c>
      <x:c r="E234" s="192" t="str">
        <x:v>Oxford C1</x:v>
      </x:c>
      <x:c r="F234" s="192" t="str">
        <x:v>Core</x:v>
      </x:c>
      <x:c r="G234" s="192" t="str">
        <x:v>Not Started</x:v>
      </x:c>
      <x:c r="H234" s="192" t="n">
        <x:v>0</x:v>
      </x:c>
    </x:row>
    <x:row r="235" ht="56" customHeight="1">
      <x:c r="A235" s="192" t="str">
        <x:v>compromise</x:v>
      </x:c>
      <x:c r="B235" s="192" t="str">
        <x:v>n., v.</x:v>
      </x:c>
      <x:c r="C235" s="194" t="str">
        <x:v>компроміс</x:v>
      </x:c>
      <x:c r="D235" s="195" t="str">
        <x:v>Пристосовуватись і розраховуватися шляхом взаємних поступок; складати.</x:v>
      </x:c>
      <x:c r="E235" s="192" t="str">
        <x:v>Oxford C1</x:v>
      </x:c>
      <x:c r="F235" s="192" t="str">
        <x:v>Core</x:v>
      </x:c>
      <x:c r="G235" s="192" t="str">
        <x:v>Not Started</x:v>
      </x:c>
      <x:c r="H235" s="192" t="n">
        <x:v>0</x:v>
      </x:c>
    </x:row>
    <x:row r="236" ht="56" customHeight="1">
      <x:c r="A236" s="192" t="str">
        <x:v>compute</x:v>
      </x:c>
      <x:c r="B236" s="192" t="str">
        <x:v>v.</x:v>
      </x:c>
      <x:c r="C236" s="194" t="str">
        <x:v>обчислювати</x:v>
      </x:c>
      <x:c r="D236" s="195" t="str">
        <x:v>Рахувати, обчислювати.</x:v>
      </x:c>
      <x:c r="E236" s="192" t="str">
        <x:v>Oxford C1</x:v>
      </x:c>
      <x:c r="F236" s="192" t="str">
        <x:v>Core</x:v>
      </x:c>
      <x:c r="G236" s="192" t="str">
        <x:v>Not Started</x:v>
      </x:c>
      <x:c r="H236" s="192" t="n">
        <x:v>0</x:v>
      </x:c>
    </x:row>
    <x:row r="237" ht="56" customHeight="1">
      <x:c r="A237" s="192" t="str">
        <x:v>conceal</x:v>
      </x:c>
      <x:c r="B237" s="192" t="str">
        <x:v>v.</x:v>
      </x:c>
      <x:c r="C237" s="194" t="str">
        <x:v>приховувати</x:v>
      </x:c>
      <x:c r="D237" s="195" t="str">
        <x:v>Приховати щось від очей або від загального відома, намагатися зберегти щось у таємниці.</x:v>
      </x:c>
      <x:c r="E237" s="192" t="str">
        <x:v>Oxford C1</x:v>
      </x:c>
      <x:c r="F237" s="192" t="str">
        <x:v>Core</x:v>
      </x:c>
      <x:c r="G237" s="192" t="str">
        <x:v>Not Started</x:v>
      </x:c>
      <x:c r="H237" s="192" t="n">
        <x:v>0</x:v>
      </x:c>
    </x:row>
    <x:row r="238" ht="56" customHeight="1">
      <x:c r="A238" s="192" t="str">
        <x:v>concede</x:v>
      </x:c>
      <x:c r="B238" s="192" t="str">
        <x:v>v.</x:v>
      </x:c>
      <x:c r="C238" s="194" t="str">
        <x:v>поступитися</x:v>
      </x:c>
      <x:c r="D238" s="195" t="str">
        <x:v>Визнати або погодитися бути правдою; визнати</x:v>
      </x:c>
      <x:c r="E238" s="192" t="str">
        <x:v>Oxford C1</x:v>
      </x:c>
      <x:c r="F238" s="192" t="str">
        <x:v>Core</x:v>
      </x:c>
      <x:c r="G238" s="192" t="str">
        <x:v>Not Started</x:v>
      </x:c>
      <x:c r="H238" s="192" t="n">
        <x:v>0</x:v>
      </x:c>
    </x:row>
    <x:row r="239" ht="56" customHeight="1">
      <x:c r="A239" s="192" t="str">
        <x:v>conceive</x:v>
      </x:c>
      <x:c r="B239" s="192" t="str">
        <x:v>v.</x:v>
      </x:c>
      <x:c r="C239" s="194" t="str">
        <x:v>зачати</x:v>
      </x:c>
      <x:c r="D239" s="195" t="str">
        <x:v>Розвивати; формувати в розумі; уявити.</x:v>
      </x:c>
      <x:c r="E239" s="192" t="str">
        <x:v>Oxford C1</x:v>
      </x:c>
      <x:c r="F239" s="192" t="str">
        <x:v>Core</x:v>
      </x:c>
      <x:c r="G239" s="192" t="str">
        <x:v>Not Started</x:v>
      </x:c>
      <x:c r="H239" s="192" t="n">
        <x:v>0</x:v>
      </x:c>
    </x:row>
    <x:row r="240" ht="56" customHeight="1">
      <x:c r="A240" s="192" t="str">
        <x:v>conception</x:v>
      </x:c>
      <x:c r="B240" s="192" t="str">
        <x:v>n.</x:v>
      </x:c>
      <x:c r="C240" s="194" t="str">
        <x:v>концепція</x:v>
      </x:c>
      <x:c r="D240" s="195" t="str">
        <x:v>Запліднення яйцеклітини сперматозоїдом з утворенням зиготи.</x:v>
      </x:c>
      <x:c r="E240" s="192" t="str">
        <x:v>Oxford C1</x:v>
      </x:c>
      <x:c r="F240" s="192" t="str">
        <x:v>Core</x:v>
      </x:c>
      <x:c r="G240" s="192" t="str">
        <x:v>Not Started</x:v>
      </x:c>
      <x:c r="H240" s="192" t="n">
        <x:v>0</x:v>
      </x:c>
    </x:row>
    <x:row r="241" ht="56" customHeight="1">
      <x:c r="A241" s="192" t="str">
        <x:v>concession</x:v>
      </x:c>
      <x:c r="B241" s="192" t="str">
        <x:v>n.</x:v>
      </x:c>
      <x:c r="C241" s="194" t="str">
        <x:v>концесія</x:v>
      </x:c>
      <x:c r="D241" s="195" t="str">
        <x:v>Акт уступки.</x:v>
      </x:c>
      <x:c r="E241" s="192" t="str">
        <x:v>Oxford C1</x:v>
      </x:c>
      <x:c r="F241" s="192" t="str">
        <x:v>Core</x:v>
      </x:c>
      <x:c r="G241" s="192" t="str">
        <x:v>Not Started</x:v>
      </x:c>
      <x:c r="H241" s="192" t="n">
        <x:v>0</x:v>
      </x:c>
    </x:row>
    <x:row r="242" ht="56" customHeight="1">
      <x:c r="A242" s="192" t="str">
        <x:v>condemn</x:v>
      </x:c>
      <x:c r="B242" s="192" t="str">
        <x:v>v.</x:v>
      </x:c>
      <x:c r="C242" s="194" t="str">
        <x:v>засуджувати</x:v>
      </x:c>
      <x:c r="D242" s="195" t="str">
        <x:v>Різко критикувати або засуджувати; розкритикувати.</x:v>
      </x:c>
      <x:c r="E242" s="192" t="str">
        <x:v>Oxford C1</x:v>
      </x:c>
      <x:c r="F242" s="192" t="str">
        <x:v>Core</x:v>
      </x:c>
      <x:c r="G242" s="192" t="str">
        <x:v>Not Started</x:v>
      </x:c>
      <x:c r="H242" s="192" t="n">
        <x:v>0</x:v>
      </x:c>
    </x:row>
    <x:row r="243" ht="56" customHeight="1">
      <x:c r="A243" s="192" t="str">
        <x:v>confer</x:v>
      </x:c>
      <x:c r="B243" s="192" t="str">
        <x:v>v.</x:v>
      </x:c>
      <x:c r="C243" s="194" t="str">
        <x:v>надавати</x:v>
      </x:c>
      <x:c r="D243" s="195" t="str">
        <x:v>Надати у власність; дарувати.</x:v>
      </x:c>
      <x:c r="E243" s="192" t="str">
        <x:v>Oxford C1</x:v>
      </x:c>
      <x:c r="F243" s="192" t="str">
        <x:v>Core</x:v>
      </x:c>
      <x:c r="G243" s="192" t="str">
        <x:v>Not Started</x:v>
      </x:c>
      <x:c r="H243" s="192" t="n">
        <x:v>0</x:v>
      </x:c>
    </x:row>
    <x:row r="244" ht="56" customHeight="1">
      <x:c r="A244" s="192" t="str">
        <x:v>confession</x:v>
      </x:c>
      <x:c r="B244" s="192" t="str">
        <x:v>n.</x:v>
      </x:c>
      <x:c r="C244" s="194" t="str">
        <x:v>сповідь</x:v>
      </x:c>
      <x:c r="D244" s="195" t="str">
        <x:v>Відверте визнання того, що зробив щось (особливо щось погане).</x:v>
      </x:c>
      <x:c r="E244" s="192" t="str">
        <x:v>Oxford C1</x:v>
      </x:c>
      <x:c r="F244" s="192" t="str">
        <x:v>Core</x:v>
      </x:c>
      <x:c r="G244" s="192" t="str">
        <x:v>Not Started</x:v>
      </x:c>
      <x:c r="H244" s="192" t="n">
        <x:v>0</x:v>
      </x:c>
    </x:row>
    <x:row r="245" ht="56" customHeight="1">
      <x:c r="A245" s="192" t="str">
        <x:v>configuration</x:v>
      </x:c>
      <x:c r="B245" s="192" t="str">
        <x:v>n.</x:v>
      </x:c>
      <x:c r="C245" s="194" t="str">
        <x:v>конфігурація</x:v>
      </x:c>
      <x:c r="D245" s="195" t="str">
        <x:v>Взаємне розташування набору речей; те, як речі розташовані або зібрані;</x:v>
      </x:c>
      <x:c r="E245" s="192" t="str">
        <x:v>Oxford C1</x:v>
      </x:c>
      <x:c r="F245" s="192" t="str">
        <x:v>High</x:v>
      </x:c>
      <x:c r="G245" s="192" t="str">
        <x:v>Not Started</x:v>
      </x:c>
      <x:c r="H245" s="192" t="n">
        <x:v>0</x:v>
      </x:c>
    </x:row>
    <x:row r="246" ht="56" customHeight="1">
      <x:c r="A246" s="192" t="str">
        <x:v>confine</x:v>
      </x:c>
      <x:c r="B246" s="192" t="str">
        <x:v>v.</x:v>
      </x:c>
      <x:c r="C246" s="194" t="str">
        <x:v>обмежити</x:v>
      </x:c>
      <x:c r="D246" s="195" t="str">
        <x:v>Обмежити (когось або щось) певною сферою чи областю; зберігати в певних межах.</x:v>
      </x:c>
      <x:c r="E246" s="192" t="str">
        <x:v>Oxford C1</x:v>
      </x:c>
      <x:c r="F246" s="192" t="str">
        <x:v>Core</x:v>
      </x:c>
      <x:c r="G246" s="192" t="str">
        <x:v>Not Started</x:v>
      </x:c>
      <x:c r="H246" s="192" t="n">
        <x:v>0</x:v>
      </x:c>
    </x:row>
    <x:row r="247" ht="56" customHeight="1">
      <x:c r="A247" s="192" t="str">
        <x:v>confirmation</x:v>
      </x:c>
      <x:c r="B247" s="192" t="str">
        <x:v>n.</x:v>
      </x:c>
      <x:c r="C247" s="194" t="str">
        <x:v>підтвердження</x:v>
      </x:c>
      <x:c r="D247" s="195" t="str">
        <x:v>Перевірка того, що щось правдиве або трапилося.</x:v>
      </x:c>
      <x:c r="E247" s="192" t="str">
        <x:v>Oxford C1</x:v>
      </x:c>
      <x:c r="F247" s="192" t="str">
        <x:v>Core</x:v>
      </x:c>
      <x:c r="G247" s="192" t="str">
        <x:v>Not Started</x:v>
      </x:c>
      <x:c r="H247" s="192" t="n">
        <x:v>0</x:v>
      </x:c>
    </x:row>
    <x:row r="248" ht="56" customHeight="1">
      <x:c r="A248" s="192" t="str">
        <x:v>confront</x:v>
      </x:c>
      <x:c r="B248" s="192" t="str">
        <x:v>v.</x:v>
      </x:c>
      <x:c r="C248" s="194" t="str">
        <x:v>конфронтувати</x:v>
      </x:c>
      <x:c r="D248" s="195" t="str">
        <x:v>Стояти або зустрічатися обличчям, особливо під час змагання, ворожості чи непокори; зустрітися віч-на-віч з.</x:v>
      </x:c>
      <x:c r="E248" s="192" t="str">
        <x:v>Oxford C1</x:v>
      </x:c>
      <x:c r="F248" s="192" t="str">
        <x:v>Core</x:v>
      </x:c>
      <x:c r="G248" s="192" t="str">
        <x:v>Not Started</x:v>
      </x:c>
      <x:c r="H248" s="192" t="n">
        <x:v>0</x:v>
      </x:c>
    </x:row>
    <x:row r="249" ht="56" customHeight="1">
      <x:c r="A249" s="192" t="str">
        <x:v>confrontation</x:v>
      </x:c>
      <x:c r="B249" s="192" t="str">
        <x:v>n.</x:v>
      </x:c>
      <x:c r="C249" s="194" t="str">
        <x:v>конфронтація</x:v>
      </x:c>
      <x:c r="D249" s="195" t="str">
        <x:v>Акт протистояння або виклику іншому, особливо віч-на-віч.</x:v>
      </x:c>
      <x:c r="E249" s="192" t="str">
        <x:v>Oxford C1</x:v>
      </x:c>
      <x:c r="F249" s="192" t="str">
        <x:v>Core</x:v>
      </x:c>
      <x:c r="G249" s="192" t="str">
        <x:v>Not Started</x:v>
      </x:c>
      <x:c r="H249" s="192" t="n">
        <x:v>0</x:v>
      </x:c>
    </x:row>
    <x:row r="250" ht="56" customHeight="1">
      <x:c r="A250" s="192" t="str">
        <x:v>congratulate</x:v>
      </x:c>
      <x:c r="B250" s="192" t="str">
        <x:v>v.</x:v>
      </x:c>
      <x:c r="C250" s="194" t="str">
        <x:v>вітати</x:v>
      </x:c>
      <x:c r="D250" s="195" t="str">
        <x:v>Висловити своє співчутливе задоволення чи радість людині (особам), до якої це відчувається</x:v>
      </x:c>
      <x:c r="E250" s="192" t="str">
        <x:v>Oxford C1</x:v>
      </x:c>
      <x:c r="F250" s="192" t="str">
        <x:v>Core</x:v>
      </x:c>
      <x:c r="G250" s="192" t="str">
        <x:v>Not Started</x:v>
      </x:c>
      <x:c r="H250" s="192" t="n">
        <x:v>0</x:v>
      </x:c>
    </x:row>
    <x:row r="251" ht="56" customHeight="1">
      <x:c r="A251" s="192" t="str">
        <x:v>congregation</x:v>
      </x:c>
      <x:c r="B251" s="192" t="str">
        <x:v>n.</x:v>
      </x:c>
      <x:c r="C251" s="194" t="str">
        <x:v>конгрегація</x:v>
      </x:c>
      <x:c r="D251" s="195" t="str">
        <x:v>Зібрання вірних у храмі, церкві, синагозі, мечеті чи іншому місці поклоніння.</x:v>
      </x:c>
      <x:c r="E251" s="192" t="str">
        <x:v>Oxford C1</x:v>
      </x:c>
      <x:c r="F251" s="192" t="str">
        <x:v>Core</x:v>
      </x:c>
      <x:c r="G251" s="192" t="str">
        <x:v>Not Started</x:v>
      </x:c>
      <x:c r="H251" s="192" t="n">
        <x:v>0</x:v>
      </x:c>
    </x:row>
    <x:row r="252" ht="56" customHeight="1">
      <x:c r="A252" s="192" t="str">
        <x:v>congressional</x:v>
      </x:c>
      <x:c r="B252" s="192" t="str">
        <x:v>adj.</x:v>
      </x:c>
      <x:c r="C252" s="194" t="str">
        <x:v>конгресовий</x:v>
      </x:c>
      <x:c r="D252" s="195" t="str">
        <x:v>З конгресу або стосовно нього.</x:v>
      </x:c>
      <x:c r="E252" s="192" t="str">
        <x:v>Oxford C1</x:v>
      </x:c>
      <x:c r="F252" s="192" t="str">
        <x:v>Core</x:v>
      </x:c>
      <x:c r="G252" s="192" t="str">
        <x:v>Not Started</x:v>
      </x:c>
      <x:c r="H252" s="192" t="n">
        <x:v>0</x:v>
      </x:c>
    </x:row>
    <x:row r="253" ht="56" customHeight="1">
      <x:c r="A253" s="192" t="str">
        <x:v>conquer</x:v>
      </x:c>
      <x:c r="B253" s="192" t="str">
        <x:v>v.</x:v>
      </x:c>
      <x:c r="C253" s="194" t="str">
        <x:v>перемогти</x:v>
      </x:c>
      <x:c r="D253" s="195" t="str">
        <x:v>Перемагати в бою; підкоряти.</x:v>
      </x:c>
      <x:c r="E253" s="192" t="str">
        <x:v>Oxford C1</x:v>
      </x:c>
      <x:c r="F253" s="192" t="str">
        <x:v>Core</x:v>
      </x:c>
      <x:c r="G253" s="192" t="str">
        <x:v>Not Started</x:v>
      </x:c>
      <x:c r="H253" s="192" t="n">
        <x:v>0</x:v>
      </x:c>
    </x:row>
    <x:row r="254" ht="56" customHeight="1">
      <x:c r="A254" s="192" t="str">
        <x:v>conscience</x:v>
      </x:c>
      <x:c r="B254" s="192" t="str">
        <x:v>n.</x:v>
      </x:c>
      <x:c r="C254" s="194" t="str">
        <x:v>совість</x:v>
      </x:c>
      <x:c r="D254" s="195" t="str">
        <x:v>Етичне або моральне почуття правильного і неправильного, головним чином, оскільки воно впливає на власну поведінку людини та формує її ставлення до її минулих дій.</x:v>
      </x:c>
      <x:c r="E254" s="192" t="str">
        <x:v>Oxford C1</x:v>
      </x:c>
      <x:c r="F254" s="192" t="str">
        <x:v>Core</x:v>
      </x:c>
      <x:c r="G254" s="192" t="str">
        <x:v>Not Started</x:v>
      </x:c>
      <x:c r="H254" s="192" t="n">
        <x:v>0</x:v>
      </x:c>
    </x:row>
    <x:row r="255" ht="56" customHeight="1">
      <x:c r="A255" s="192" t="str">
        <x:v>consciousness</x:v>
      </x:c>
      <x:c r="B255" s="192" t="str">
        <x:v>n.</x:v>
      </x:c>
      <x:c r="C255" s="194" t="str">
        <x:v>свідомість</x:v>
      </x:c>
      <x:c r="D255" s="195" t="str">
        <x:v>Стан свідомості або усвідомлення; обізнаність.</x:v>
      </x:c>
      <x:c r="E255" s="192" t="str">
        <x:v>Oxford C1</x:v>
      </x:c>
      <x:c r="F255" s="192" t="str">
        <x:v>Core</x:v>
      </x:c>
      <x:c r="G255" s="192" t="str">
        <x:v>Not Started</x:v>
      </x:c>
      <x:c r="H255" s="192" t="n">
        <x:v>0</x:v>
      </x:c>
    </x:row>
    <x:row r="256" ht="56" customHeight="1">
      <x:c r="A256" s="192" t="str">
        <x:v>consecutive</x:v>
      </x:c>
      <x:c r="B256" s="192" t="str">
        <x:v>adj.</x:v>
      </x:c>
      <x:c r="C256" s="194" t="str">
        <x:v>послідовний</x:v>
      </x:c>
      <x:c r="D256" s="195" t="str">
        <x:v>Слідом, по черзі, без перерви.</x:v>
      </x:c>
      <x:c r="E256" s="192" t="str">
        <x:v>Oxford C1</x:v>
      </x:c>
      <x:c r="F256" s="192" t="str">
        <x:v>Core</x:v>
      </x:c>
      <x:c r="G256" s="192" t="str">
        <x:v>Not Started</x:v>
      </x:c>
      <x:c r="H256" s="192" t="n">
        <x:v>0</x:v>
      </x:c>
    </x:row>
    <x:row r="257" ht="56" customHeight="1">
      <x:c r="A257" s="192" t="str">
        <x:v>consensus</x:v>
      </x:c>
      <x:c r="B257" s="192" t="str">
        <x:v>n.</x:v>
      </x:c>
      <x:c r="C257" s="194" t="str">
        <x:v>консенсус</x:v>
      </x:c>
      <x:c r="D257" s="195" t="str">
        <x:v>Загальна згода між членами певної групи чи спільноти, кожен член якої має певну свободу дій у прийнятті рішень і подальших діях.</x:v>
      </x:c>
      <x:c r="E257" s="192" t="str">
        <x:v>Oxford C1</x:v>
      </x:c>
      <x:c r="F257" s="192" t="str">
        <x:v>Core</x:v>
      </x:c>
      <x:c r="G257" s="192" t="str">
        <x:v>Not Started</x:v>
      </x:c>
      <x:c r="H257" s="192" t="n">
        <x:v>0</x:v>
      </x:c>
    </x:row>
    <x:row r="258" ht="56" customHeight="1">
      <x:c r="A258" s="192" t="str">
        <x:v>consent</x:v>
      </x:c>
      <x:c r="B258" s="192" t="str">
        <x:v>n., v.</x:v>
      </x:c>
      <x:c r="C258" s="194" t="str">
        <x:v>згода</x:v>
      </x:c>
      <x:c r="D258" s="195" t="str">
        <x:v>Висловити бажання, дати дозвіл.</x:v>
      </x:c>
      <x:c r="E258" s="192" t="str">
        <x:v>Oxford C1 + AWL 3</x:v>
      </x:c>
      <x:c r="F258" s="192" t="str">
        <x:v>High</x:v>
      </x:c>
      <x:c r="G258" s="192" t="str">
        <x:v>Not Started</x:v>
      </x:c>
      <x:c r="H258" s="192" t="n">
        <x:v>0</x:v>
      </x:c>
    </x:row>
    <x:row r="259" ht="56" customHeight="1">
      <x:c r="A259" s="192" t="str">
        <x:v>conserve</x:v>
      </x:c>
      <x:c r="B259" s="192" t="str">
        <x:v>v.</x:v>
      </x:c>
      <x:c r="C259" s="194" t="str">
        <x:v>зберігати</x:v>
      </x:c>
      <x:c r="D259" s="195" t="str">
        <x:v>Щоб зберегти для подальшого використання, іноді з використанням консерванту.</x:v>
      </x:c>
      <x:c r="E259" s="192" t="str">
        <x:v>Oxford C1</x:v>
      </x:c>
      <x:c r="F259" s="192" t="str">
        <x:v>Core</x:v>
      </x:c>
      <x:c r="G259" s="192" t="str">
        <x:v>Not Started</x:v>
      </x:c>
      <x:c r="H259" s="192" t="n">
        <x:v>0</x:v>
      </x:c>
    </x:row>
    <x:row r="260" ht="56" customHeight="1">
      <x:c r="A260" s="192" t="str">
        <x:v>consistency</x:v>
      </x:c>
      <x:c r="B260" s="192" t="str">
        <x:v>n.</x:v>
      </x:c>
      <x:c r="C260" s="194" t="str">
        <x:v>консистенція</x:v>
      </x:c>
      <x:c r="D260" s="195" t="str">
        <x:v>Надійність або однорідність; якість бути послідовним.</x:v>
      </x:c>
      <x:c r="E260" s="192" t="str">
        <x:v>Oxford C1</x:v>
      </x:c>
      <x:c r="F260" s="192" t="str">
        <x:v>Core</x:v>
      </x:c>
      <x:c r="G260" s="192" t="str">
        <x:v>Not Started</x:v>
      </x:c>
      <x:c r="H260" s="192" t="n">
        <x:v>0</x:v>
      </x:c>
    </x:row>
    <x:row r="261" ht="56" customHeight="1">
      <x:c r="A261" s="192" t="str">
        <x:v>consolidate</x:v>
      </x:c>
      <x:c r="B261" s="192" t="str">
        <x:v>v.</x:v>
      </x:c>
      <x:c r="C261" s="194" t="str">
        <x:v>консолідувати</x:v>
      </x:c>
      <x:c r="D261" s="195" t="str">
        <x:v>Об'єднати в єдине ціле; щоб об’єднатися або приєднатися.</x:v>
      </x:c>
      <x:c r="E261" s="192" t="str">
        <x:v>Oxford C1</x:v>
      </x:c>
      <x:c r="F261" s="192" t="str">
        <x:v>Core</x:v>
      </x:c>
      <x:c r="G261" s="192" t="str">
        <x:v>Not Started</x:v>
      </x:c>
      <x:c r="H261" s="192" t="n">
        <x:v>0</x:v>
      </x:c>
    </x:row>
    <x:row r="262" ht="56" customHeight="1">
      <x:c r="A262" s="192" t="str">
        <x:v>constituency</x:v>
      </x:c>
      <x:c r="B262" s="192" t="str">
        <x:v>n.</x:v>
      </x:c>
      <x:c r="C262" s="194" t="str">
        <x:v>виборчий округ</x:v>
      </x:c>
      <x:c r="D262" s="195" t="str">
        <x:v>Округ, представлений однією або декількома обраними посадовими особами.</x:v>
      </x:c>
      <x:c r="E262" s="192" t="str">
        <x:v>Oxford C1</x:v>
      </x:c>
      <x:c r="F262" s="192" t="str">
        <x:v>Core</x:v>
      </x:c>
      <x:c r="G262" s="192" t="str">
        <x:v>Not Started</x:v>
      </x:c>
      <x:c r="H262" s="192" t="n">
        <x:v>0</x:v>
      </x:c>
    </x:row>
    <x:row r="263" ht="56" customHeight="1">
      <x:c r="A263" s="192" t="str">
        <x:v>constitute</x:v>
      </x:c>
      <x:c r="B263" s="192" t="str">
        <x:v>v.</x:v>
      </x:c>
      <x:c r="C263" s="194" t="str">
        <x:v>становити</x:v>
      </x:c>
      <x:c r="D263" s="195" t="str">
        <x:v>Складати щось як його частини; утворювати або офіційно встановлювати.</x:v>
      </x:c>
      <x:c r="E263" s="192" t="str">
        <x:v>Oxford C1</x:v>
      </x:c>
      <x:c r="F263" s="192" t="str">
        <x:v>Core</x:v>
      </x:c>
      <x:c r="G263" s="192" t="str">
        <x:v>Not Started</x:v>
      </x:c>
      <x:c r="H263" s="192" t="n">
        <x:v>0</x:v>
      </x:c>
    </x:row>
    <x:row r="264" ht="56" customHeight="1">
      <x:c r="A264" s="192" t="str">
        <x:v>constitution</x:v>
      </x:c>
      <x:c r="B264" s="192" t="str">
        <x:v>n.</x:v>
      </x:c>
      <x:c r="C264" s="194" t="str">
        <x:v>конституція</x:v>
      </x:c>
      <x:c r="D264" s="195" t="str">
        <x:v>Формальна чи неофіційна система основних принципів і законів, яка регулює діяльність уряду чи інших установ.</x:v>
      </x:c>
      <x:c r="E264" s="192" t="str">
        <x:v>Oxford C1</x:v>
      </x:c>
      <x:c r="F264" s="192" t="str">
        <x:v>High</x:v>
      </x:c>
      <x:c r="G264" s="192" t="str">
        <x:v>Not Started</x:v>
      </x:c>
      <x:c r="H264" s="192" t="n">
        <x:v>0</x:v>
      </x:c>
    </x:row>
    <x:row r="265" ht="56" customHeight="1">
      <x:c r="A265" s="192" t="str">
        <x:v>constitutional</x:v>
      </x:c>
      <x:c r="B265" s="192" t="str">
        <x:v>adj.</x:v>
      </x:c>
      <x:c r="C265" s="194" t="str">
        <x:v>конституційний</x:v>
      </x:c>
      <x:c r="D265" s="195" t="str">
        <x:v>Що стосується юридичної чи політичної конституції («основний закон нації чи установи; формальна чи неофіційна система первинних принципів і законів, які регулюють діяльність уряду чи іншої установи»).</x:v>
      </x:c>
      <x:c r="E265" s="192" t="str">
        <x:v>Oxford C1 + AWL 1</x:v>
      </x:c>
      <x:c r="F265" s="192" t="str">
        <x:v>High</x:v>
      </x:c>
      <x:c r="G265" s="192" t="str">
        <x:v>Not Started</x:v>
      </x:c>
      <x:c r="H265" s="192" t="n">
        <x:v>0</x:v>
      </x:c>
    </x:row>
    <x:row r="266" ht="56" customHeight="1">
      <x:c r="A266" s="192" t="str">
        <x:v>constraint</x:v>
      </x:c>
      <x:c r="B266" s="192" t="str">
        <x:v>n.</x:v>
      </x:c>
      <x:c r="C266" s="194" t="str">
        <x:v>обмеження</x:v>
      </x:c>
      <x:c r="D266" s="195" t="str">
        <x:v>Те, що стримує; обмеження.</x:v>
      </x:c>
      <x:c r="E266" s="192" t="str">
        <x:v>Oxford C1</x:v>
      </x:c>
      <x:c r="F266" s="192" t="str">
        <x:v>Core</x:v>
      </x:c>
      <x:c r="G266" s="192" t="str">
        <x:v>Not Started</x:v>
      </x:c>
      <x:c r="H266" s="192" t="n">
        <x:v>0</x:v>
      </x:c>
    </x:row>
    <x:row r="267" ht="56" customHeight="1">
      <x:c r="A267" s="192" t="str">
        <x:v>consultation</x:v>
      </x:c>
      <x:c r="B267" s="192" t="str">
        <x:v>n.</x:v>
      </x:c>
      <x:c r="C267" s="194" t="str">
        <x:v>консультація</x:v>
      </x:c>
      <x:c r="D267" s="195" t="str">
        <x:v>Призначення або зустріч із професійною особою, наприклад лікарем.</x:v>
      </x:c>
      <x:c r="E267" s="192" t="str">
        <x:v>Oxford C1 + AWL 5</x:v>
      </x:c>
      <x:c r="F267" s="192" t="str">
        <x:v>High</x:v>
      </x:c>
      <x:c r="G267" s="192" t="str">
        <x:v>Not Started</x:v>
      </x:c>
      <x:c r="H267" s="192" t="n">
        <x:v>0</x:v>
      </x:c>
    </x:row>
    <x:row r="268" ht="56" customHeight="1">
      <x:c r="A268" s="192" t="str">
        <x:v>contemplate</x:v>
      </x:c>
      <x:c r="B268" s="192" t="str">
        <x:v>v.</x:v>
      </x:c>
      <x:c r="C268" s="194" t="str">
        <x:v>споглядати</x:v>
      </x:c>
      <x:c r="D268" s="195" t="str">
        <x:v>Дивитися з усіх боків або у всіх аспектах; переглядати або розглядати з постійною увагою; ставитися з навмисною обережністю; медитувати; вивчати, розмірковувати чи розглядати.</x:v>
      </x:c>
      <x:c r="E268" s="192" t="str">
        <x:v>Oxford C1</x:v>
      </x:c>
      <x:c r="F268" s="192" t="str">
        <x:v>Core</x:v>
      </x:c>
      <x:c r="G268" s="192" t="str">
        <x:v>Not Started</x:v>
      </x:c>
      <x:c r="H268" s="192" t="n">
        <x:v>0</x:v>
      </x:c>
    </x:row>
    <x:row r="269" ht="56" customHeight="1">
      <x:c r="A269" s="192" t="str">
        <x:v>contempt</x:v>
      </x:c>
      <x:c r="B269" s="192" t="str">
        <x:v>n.</x:v>
      </x:c>
      <x:c r="C269" s="194" t="str">
        <x:v>презирство</x:v>
      </x:c>
      <x:c r="D269" s="195" t="str">
        <x:v>Стан або акт презирства; відчуття або ставлення до когось чи чогось як до нижчого, низького або нікчемного; презирство, зневага.</x:v>
      </x:c>
      <x:c r="E269" s="192" t="str">
        <x:v>Oxford C1</x:v>
      </x:c>
      <x:c r="F269" s="192" t="str">
        <x:v>Core</x:v>
      </x:c>
      <x:c r="G269" s="192" t="str">
        <x:v>Not Started</x:v>
      </x:c>
      <x:c r="H269" s="192" t="n">
        <x:v>0</x:v>
      </x:c>
    </x:row>
    <x:row r="270" ht="56" customHeight="1">
      <x:c r="A270" s="192" t="str">
        <x:v>contend</x:v>
      </x:c>
      <x:c r="B270" s="192" t="str">
        <x:v>v.</x:v>
      </x:c>
      <x:c r="C270" s="194" t="str">
        <x:v>сперечатися</x:v>
      </x:c>
      <x:c r="D270" s="195" t="str">
        <x:v>Бути в опозиції; змагатися; оспорювати; змагатися; посваритися; воювати.</x:v>
      </x:c>
      <x:c r="E270" s="192" t="str">
        <x:v>Oxford C1</x:v>
      </x:c>
      <x:c r="F270" s="192" t="str">
        <x:v>Core</x:v>
      </x:c>
      <x:c r="G270" s="192" t="str">
        <x:v>Not Started</x:v>
      </x:c>
      <x:c r="H270" s="192" t="n">
        <x:v>0</x:v>
      </x:c>
    </x:row>
    <x:row r="271" ht="56" customHeight="1">
      <x:c r="A271" s="192" t="str">
        <x:v>contender</x:v>
      </x:c>
      <x:c r="B271" s="192" t="str">
        <x:v>n.</x:v>
      </x:c>
      <x:c r="C271" s="194" t="str">
        <x:v>претендент</x:v>
      </x:c>
      <x:c r="D271" s="195" t="str">
        <x:v>Хтось, хто змагається з одним або декількома людьми.</x:v>
      </x:c>
      <x:c r="E271" s="192" t="str">
        <x:v>Oxford C1</x:v>
      </x:c>
      <x:c r="F271" s="192" t="str">
        <x:v>Core</x:v>
      </x:c>
      <x:c r="G271" s="192" t="str">
        <x:v>Not Started</x:v>
      </x:c>
      <x:c r="H271" s="192" t="n">
        <x:v>0</x:v>
      </x:c>
    </x:row>
    <x:row r="272" ht="56" customHeight="1">
      <x:c r="A272" s="192" t="str">
        <x:v>content2</x:v>
      </x:c>
      <x:c r="B272" s="192" t="str">
        <x:v>adj.</x:v>
      </x:c>
      <x:c r="C272" s="194" t="str">
        <x:v>задоволений</x:v>
      </x:c>
      <x:c r="D272" s="195" t="str">
        <x:v>Задоволений тим, що маєш або що відбувається, без потреби вимагати більшого.</x:v>
      </x:c>
      <x:c r="E272" s="192" t="str">
        <x:v>Oxford C1</x:v>
      </x:c>
      <x:c r="F272" s="192" t="str">
        <x:v>Core</x:v>
      </x:c>
      <x:c r="G272" s="192" t="str">
        <x:v>Not Started</x:v>
      </x:c>
      <x:c r="H272" s="192" t="n">
        <x:v>0</x:v>
      </x:c>
    </x:row>
    <x:row r="273" ht="56" customHeight="1">
      <x:c r="A273" s="192" t="str">
        <x:v>contention</x:v>
      </x:c>
      <x:c r="B273" s="192" t="str">
        <x:v>n.</x:v>
      </x:c>
      <x:c r="C273" s="194" t="str">
        <x:v>суперечка</x:v>
      </x:c>
      <x:c r="D273" s="195" t="str">
        <x:v>Суперечка, змагання, дебати, сварка, боротьба.</x:v>
      </x:c>
      <x:c r="E273" s="192" t="str">
        <x:v>Oxford C1</x:v>
      </x:c>
      <x:c r="F273" s="192" t="str">
        <x:v>Core</x:v>
      </x:c>
      <x:c r="G273" s="192" t="str">
        <x:v>Not Started</x:v>
      </x:c>
      <x:c r="H273" s="192" t="n">
        <x:v>0</x:v>
      </x:c>
    </x:row>
    <x:row r="274" ht="56" customHeight="1">
      <x:c r="A274" s="192" t="str">
        <x:v>continually</x:v>
      </x:c>
      <x:c r="B274" s="192" t="str">
        <x:v>adv.</x:v>
      </x:c>
      <x:c r="C274" s="194" t="str">
        <x:v>постійно</x:v>
      </x:c>
      <x:c r="D274" s="195" t="str">
        <x:v>У регулярній або повторюваній послідовності; дуже часто.</x:v>
      </x:c>
      <x:c r="E274" s="192" t="str">
        <x:v>Oxford C1</x:v>
      </x:c>
      <x:c r="F274" s="192" t="str">
        <x:v>Core</x:v>
      </x:c>
      <x:c r="G274" s="192" t="str">
        <x:v>Not Started</x:v>
      </x:c>
      <x:c r="H274" s="192" t="n">
        <x:v>0</x:v>
      </x:c>
    </x:row>
    <x:row r="275" ht="56" customHeight="1">
      <x:c r="A275" s="192" t="str">
        <x:v>contractor</x:v>
      </x:c>
      <x:c r="B275" s="192" t="str">
        <x:v>n.</x:v>
      </x:c>
      <x:c r="C275" s="194" t="str">
        <x:v>підрядник</x:v>
      </x:c>
      <x:c r="D275" s="195" t="str">
        <x:v>Особа або компанія, яка будує або вдосконалює будівлі чи споруди.</x:v>
      </x:c>
      <x:c r="E275" s="192" t="str">
        <x:v>Oxford C1</x:v>
      </x:c>
      <x:c r="F275" s="192" t="str">
        <x:v>Core</x:v>
      </x:c>
      <x:c r="G275" s="192" t="str">
        <x:v>Not Started</x:v>
      </x:c>
      <x:c r="H275" s="192" t="n">
        <x:v>0</x:v>
      </x:c>
    </x:row>
    <x:row r="276" ht="56" customHeight="1">
      <x:c r="A276" s="192" t="str">
        <x:v>contradiction</x:v>
      </x:c>
      <x:c r="B276" s="192" t="str">
        <x:v>n.</x:v>
      </x:c>
      <x:c r="C276" s="194" t="str">
        <x:v>протиріччя</x:v>
      </x:c>
      <x:c r="D276" s="195" t="str">
        <x:v>Твердження, яке суперечить самому собі, тобто твердження, яке стверджує, що те саме є істинним і що воно є хибним водночас і в однакових значеннях термінів.</x:v>
      </x:c>
      <x:c r="E276" s="192" t="str">
        <x:v>Oxford C1 + AWL 8</x:v>
      </x:c>
      <x:c r="F276" s="192" t="str">
        <x:v>High</x:v>
      </x:c>
      <x:c r="G276" s="192" t="str">
        <x:v>Not Started</x:v>
      </x:c>
      <x:c r="H276" s="192" t="n">
        <x:v>0</x:v>
      </x:c>
    </x:row>
    <x:row r="277" ht="56" customHeight="1">
      <x:c r="A277" s="192" t="str">
        <x:v>contrary</x:v>
      </x:c>
      <x:c r="B277" s="192" t="str">
        <x:v>adj., n.</x:v>
      </x:c>
      <x:c r="C277" s="194" t="str">
        <x:v>всупереч</x:v>
      </x:c>
      <x:c r="D277" s="195" t="str">
        <x:v>Навпаки.</x:v>
      </x:c>
      <x:c r="E277" s="192" t="str">
        <x:v>Oxford C1 + AWL 7</x:v>
      </x:c>
      <x:c r="F277" s="192" t="str">
        <x:v>High</x:v>
      </x:c>
      <x:c r="G277" s="192" t="str">
        <x:v>Not Started</x:v>
      </x:c>
      <x:c r="H277" s="192" t="n">
        <x:v>0</x:v>
      </x:c>
    </x:row>
    <x:row r="278" ht="56" customHeight="1">
      <x:c r="A278" s="192" t="str">
        <x:v>contributor</x:v>
      </x:c>
      <x:c r="B278" s="192" t="str">
        <x:v>n.</x:v>
      </x:c>
      <x:c r="C278" s="194" t="str">
        <x:v>учасник</x:v>
      </x:c>
      <x:c r="D278" s="195" t="str">
        <x:v>Особа, яка публікує статті в газеті, журналі, інтернет-виданні тощо.</x:v>
      </x:c>
      <x:c r="E278" s="192" t="str">
        <x:v>Oxford C1</x:v>
      </x:c>
      <x:c r="F278" s="192" t="str">
        <x:v>Core</x:v>
      </x:c>
      <x:c r="G278" s="192" t="str">
        <x:v>Not Started</x:v>
      </x:c>
      <x:c r="H278" s="192" t="n">
        <x:v>0</x:v>
      </x:c>
    </x:row>
    <x:row r="279" ht="56" customHeight="1">
      <x:c r="A279" s="192" t="str">
        <x:v>conversion</x:v>
      </x:c>
      <x:c r="B279" s="192" t="str">
        <x:v>n.</x:v>
      </x:c>
      <x:c r="C279" s="194" t="str">
        <x:v>перетворення</x:v>
      </x:c>
      <x:c r="D279" s="195" t="str">
        <x:v>Акт перетворення чогось або когось.</x:v>
      </x:c>
      <x:c r="E279" s="192" t="str">
        <x:v>Oxford C1</x:v>
      </x:c>
      <x:c r="F279" s="192" t="str">
        <x:v>Core</x:v>
      </x:c>
      <x:c r="G279" s="192" t="str">
        <x:v>Not Started</x:v>
      </x:c>
      <x:c r="H279" s="192" t="n">
        <x:v>0</x:v>
      </x:c>
    </x:row>
    <x:row r="280" ht="56" customHeight="1">
      <x:c r="A280" s="192" t="str">
        <x:v>convict</x:v>
      </x:c>
      <x:c r="B280" s="192" t="str">
        <x:v>v.</x:v>
      </x:c>
      <x:c r="C280" s="194" t="str">
        <x:v>засуджувати</x:v>
      </x:c>
      <x:c r="D280" s="195" t="str">
        <x:v>Визнати винним в результаті судового розгляду або (неофіційного) в моральному сенсі.</x:v>
      </x:c>
      <x:c r="E280" s="192" t="str">
        <x:v>Oxford C1</x:v>
      </x:c>
      <x:c r="F280" s="192" t="str">
        <x:v>Core</x:v>
      </x:c>
      <x:c r="G280" s="192" t="str">
        <x:v>Not Started</x:v>
      </x:c>
      <x:c r="H280" s="192" t="n">
        <x:v>0</x:v>
      </x:c>
    </x:row>
    <x:row r="281" ht="56" customHeight="1">
      <x:c r="A281" s="192" t="str">
        <x:v>conviction</x:v>
      </x:c>
      <x:c r="B281" s="192" t="str">
        <x:v>n.</x:v>
      </x:c>
      <x:c r="C281" s="194" t="str">
        <x:v>переконання</x:v>
      </x:c>
      <x:c r="D281" s="195" t="str">
        <x:v>Тверда віра.</x:v>
      </x:c>
      <x:c r="E281" s="192" t="str">
        <x:v>Oxford C1</x:v>
      </x:c>
      <x:c r="F281" s="192" t="str">
        <x:v>High</x:v>
      </x:c>
      <x:c r="G281" s="192" t="str">
        <x:v>Not Started</x:v>
      </x:c>
      <x:c r="H281" s="192" t="n">
        <x:v>0</x:v>
      </x:c>
    </x:row>
    <x:row r="282" ht="56" customHeight="1">
      <x:c r="A282" s="192" t="str">
        <x:v>cooperate</x:v>
      </x:c>
      <x:c r="B282" s="192" t="str">
        <x:v>v.</x:v>
      </x:c>
      <x:c r="C282" s="194" t="str">
        <x:v>співпрацювати</x:v>
      </x:c>
      <x:c r="D282" s="195" t="str">
        <x:v>Працювати або діяти разом, особливо для спільної мети чи користі.</x:v>
      </x:c>
      <x:c r="E282" s="192" t="str">
        <x:v>Oxford C1</x:v>
      </x:c>
      <x:c r="F282" s="192" t="str">
        <x:v>Core</x:v>
      </x:c>
      <x:c r="G282" s="192" t="str">
        <x:v>Not Started</x:v>
      </x:c>
      <x:c r="H282" s="192" t="n">
        <x:v>0</x:v>
      </x:c>
    </x:row>
    <x:row r="283" ht="56" customHeight="1">
      <x:c r="A283" s="192" t="str">
        <x:v>cooperative</x:v>
      </x:c>
      <x:c r="B283" s="192" t="str">
        <x:v>adj.</x:v>
      </x:c>
      <x:c r="C283" s="194" t="str">
        <x:v>кооперативний</x:v>
      </x:c>
      <x:c r="D283" s="195" t="str">
        <x:v>Готовий працювати з іншою людиною або в команді; готовий до співпраці.</x:v>
      </x:c>
      <x:c r="E283" s="192" t="str">
        <x:v>Oxford C1 + AWL 6</x:v>
      </x:c>
      <x:c r="F283" s="192" t="str">
        <x:v>High</x:v>
      </x:c>
      <x:c r="G283" s="192" t="str">
        <x:v>Not Started</x:v>
      </x:c>
      <x:c r="H283" s="192" t="n">
        <x:v>0</x:v>
      </x:c>
    </x:row>
    <x:row r="284" ht="56" customHeight="1">
      <x:c r="A284" s="192" t="str">
        <x:v>coordinate</x:v>
      </x:c>
      <x:c r="B284" s="192" t="str">
        <x:v>v.</x:v>
      </x:c>
      <x:c r="C284" s="194" t="str">
        <x:v>координувати</x:v>
      </x:c>
      <x:c r="D284" s="195" t="str">
        <x:v>Синхронізувати (діяльність).</x:v>
      </x:c>
      <x:c r="E284" s="192" t="str">
        <x:v>Oxford C1</x:v>
      </x:c>
      <x:c r="F284" s="192" t="str">
        <x:v>Core</x:v>
      </x:c>
      <x:c r="G284" s="192" t="str">
        <x:v>Not Started</x:v>
      </x:c>
      <x:c r="H284" s="192" t="n">
        <x:v>0</x:v>
      </x:c>
    </x:row>
    <x:row r="285" ht="56" customHeight="1">
      <x:c r="A285" s="192" t="str">
        <x:v>coordination</x:v>
      </x:c>
      <x:c r="B285" s="192" t="str">
        <x:v>n.</x:v>
      </x:c>
      <x:c r="C285" s="194" t="str">
        <x:v>координація</x:v>
      </x:c>
      <x:c r="D285" s="195" t="str">
        <x:v>Акт координації, який змушує різних людей або речі працювати разом для досягнення мети чи ефекту.</x:v>
      </x:c>
      <x:c r="E285" s="192" t="str">
        <x:v>Oxford C1 + AWL 3</x:v>
      </x:c>
      <x:c r="F285" s="192" t="str">
        <x:v>High</x:v>
      </x:c>
      <x:c r="G285" s="192" t="str">
        <x:v>Not Started</x:v>
      </x:c>
      <x:c r="H285" s="192" t="n">
        <x:v>0</x:v>
      </x:c>
    </x:row>
    <x:row r="286" ht="56" customHeight="1">
      <x:c r="A286" s="192" t="str">
        <x:v>coordinator</x:v>
      </x:c>
      <x:c r="B286" s="192" t="str">
        <x:v>n.</x:v>
      </x:c>
      <x:c r="C286" s="194" t="str">
        <x:v>координатор</x:v>
      </x:c>
      <x:c r="D286" s="195" t="str">
        <x:v>Той, хто або те, що координує.</x:v>
      </x:c>
      <x:c r="E286" s="192" t="str">
        <x:v>Oxford C1</x:v>
      </x:c>
      <x:c r="F286" s="192" t="str">
        <x:v>Core</x:v>
      </x:c>
      <x:c r="G286" s="192" t="str">
        <x:v>Not Started</x:v>
      </x:c>
      <x:c r="H286" s="192" t="n">
        <x:v>0</x:v>
      </x:c>
    </x:row>
    <x:row r="287" ht="56" customHeight="1">
      <x:c r="A287" s="192" t="str">
        <x:v>cop</x:v>
      </x:c>
      <x:c r="B287" s="192" t="str">
        <x:v>n.</x:v>
      </x:c>
      <x:c r="C287" s="194" t="str">
        <x:v>коп</x:v>
      </x:c>
      <x:c r="D287" s="195" t="str">
        <x:v>Поліцейський або тюремний охоронець.</x:v>
      </x:c>
      <x:c r="E287" s="192" t="str">
        <x:v>Oxford C1</x:v>
      </x:c>
      <x:c r="F287" s="192" t="str">
        <x:v>Core</x:v>
      </x:c>
      <x:c r="G287" s="192" t="str">
        <x:v>Not Started</x:v>
      </x:c>
      <x:c r="H287" s="192" t="n">
        <x:v>0</x:v>
      </x:c>
    </x:row>
    <x:row r="288" ht="56" customHeight="1">
      <x:c r="A288" s="192" t="str">
        <x:v>copper</x:v>
      </x:c>
      <x:c r="B288" s="192" t="str">
        <x:v>n.</x:v>
      </x:c>
      <x:c r="C288" s="194" t="str">
        <x:v>мідь</x:v>
      </x:c>
      <x:c r="D288" s="195" t="str">
        <x:v>Червоно-коричневий метал, символ Cu та атомний номер 29.</x:v>
      </x:c>
      <x:c r="E288" s="192" t="str">
        <x:v>Oxford C1</x:v>
      </x:c>
      <x:c r="F288" s="192" t="str">
        <x:v>Core</x:v>
      </x:c>
      <x:c r="G288" s="192" t="str">
        <x:v>Not Started</x:v>
      </x:c>
      <x:c r="H288" s="192" t="n">
        <x:v>0</x:v>
      </x:c>
    </x:row>
    <x:row r="289" ht="56" customHeight="1">
      <x:c r="A289" s="192" t="str">
        <x:v>copyright</x:v>
      </x:c>
      <x:c r="B289" s="192" t="str">
        <x:v>n.</x:v>
      </x:c>
      <x:c r="C289" s="194" t="str">
        <x:v>авторське право</x:v>
      </x:c>
      <x:c r="D289" s="195" t="str">
        <x:v>Право за законом бути суб’єктом, який визначає, хто може публікувати, копіювати та поширювати твір, музику, малюнок чи інший авторський твір.</x:v>
      </x:c>
      <x:c r="E289" s="192" t="str">
        <x:v>Oxford C1</x:v>
      </x:c>
      <x:c r="F289" s="192" t="str">
        <x:v>Core</x:v>
      </x:c>
      <x:c r="G289" s="192" t="str">
        <x:v>Not Started</x:v>
      </x:c>
      <x:c r="H289" s="192" t="n">
        <x:v>0</x:v>
      </x:c>
    </x:row>
    <x:row r="290" ht="56" customHeight="1">
      <x:c r="A290" s="192" t="str">
        <x:v>correction</x:v>
      </x:c>
      <x:c r="B290" s="192" t="str">
        <x:v>n.</x:v>
      </x:c>
      <x:c r="C290" s="194" t="str">
        <x:v>виправлення</x:v>
      </x:c>
      <x:c r="D290" s="195" t="str">
        <x:v>Акт виправлення.</x:v>
      </x:c>
      <x:c r="E290" s="192" t="str">
        <x:v>Oxford C1</x:v>
      </x:c>
      <x:c r="F290" s="192" t="str">
        <x:v>Core</x:v>
      </x:c>
      <x:c r="G290" s="192" t="str">
        <x:v>Not Started</x:v>
      </x:c>
      <x:c r="H290" s="192" t="n">
        <x:v>0</x:v>
      </x:c>
    </x:row>
    <x:row r="291" ht="56" customHeight="1">
      <x:c r="A291" s="192" t="str">
        <x:v>correlate</x:v>
      </x:c>
      <x:c r="B291" s="192" t="str">
        <x:v>v.</x:v>
      </x:c>
      <x:c r="C291" s="194" t="str">
        <x:v>співвідносити</x:v>
      </x:c>
      <x:c r="D291" s="195" t="str">
        <x:v>Порівнювати речі і приводити їх у відношення, що мають відповідні характеристики.</x:v>
      </x:c>
      <x:c r="E291" s="192" t="str">
        <x:v>Oxford C1</x:v>
      </x:c>
      <x:c r="F291" s="192" t="str">
        <x:v>High</x:v>
      </x:c>
      <x:c r="G291" s="192" t="str">
        <x:v>Not Started</x:v>
      </x:c>
      <x:c r="H291" s="192" t="n">
        <x:v>0</x:v>
      </x:c>
    </x:row>
    <x:row r="292" ht="56" customHeight="1">
      <x:c r="A292" s="192" t="str">
        <x:v>correlation</x:v>
      </x:c>
      <x:c r="B292" s="192" t="str">
        <x:v>n.</x:v>
      </x:c>
      <x:c r="C292" s="194" t="str">
        <x:v>кореляція</x:v>
      </x:c>
      <x:c r="D292" s="195" t="str">
        <x:v>Один із кількох показників лінійного статистичного зв’язку між двома випадковими змінними, що вказує на силу та напрямок зв’язку.</x:v>
      </x:c>
      <x:c r="E292" s="192" t="str">
        <x:v>Oxford C1</x:v>
      </x:c>
      <x:c r="F292" s="192" t="str">
        <x:v>High</x:v>
      </x:c>
      <x:c r="G292" s="192" t="str">
        <x:v>Not Started</x:v>
      </x:c>
      <x:c r="H292" s="192" t="n">
        <x:v>0</x:v>
      </x:c>
    </x:row>
    <x:row r="293" ht="56" customHeight="1">
      <x:c r="A293" s="192" t="str">
        <x:v>correspond</x:v>
      </x:c>
      <x:c r="B293" s="192" t="str">
        <x:v>v.</x:v>
      </x:c>
      <x:c r="C293" s="194" t="str">
        <x:v>відповідати</x:v>
      </x:c>
      <x:c r="D293" s="195" t="str">
        <x:v>Бути еквівалентним або подібним за характером, кількістю, якістю, походженням, структурою, функцією тощо.</x:v>
      </x:c>
      <x:c r="E293" s="192" t="str">
        <x:v>Oxford C1</x:v>
      </x:c>
      <x:c r="F293" s="192" t="str">
        <x:v>Core</x:v>
      </x:c>
      <x:c r="G293" s="192" t="str">
        <x:v>Not Started</x:v>
      </x:c>
      <x:c r="H293" s="192" t="n">
        <x:v>0</x:v>
      </x:c>
    </x:row>
    <x:row r="294" ht="56" customHeight="1">
      <x:c r="A294" s="192" t="str">
        <x:v>correspondence</x:v>
      </x:c>
      <x:c r="B294" s="192" t="str">
        <x:v>n.</x:v>
      </x:c>
      <x:c r="C294" s="194" t="str">
        <x:v>листування</x:v>
      </x:c>
      <x:c r="D294" s="195" t="str">
        <x:v>Взаємний обмін люб'язністю, особливо розмова між людьми за допомогою листів.</x:v>
      </x:c>
      <x:c r="E294" s="192" t="str">
        <x:v>Oxford C1</x:v>
      </x:c>
      <x:c r="F294" s="192" t="str">
        <x:v>Core</x:v>
      </x:c>
      <x:c r="G294" s="192" t="str">
        <x:v>Not Started</x:v>
      </x:c>
      <x:c r="H294" s="192" t="n">
        <x:v>0</x:v>
      </x:c>
    </x:row>
    <x:row r="295" ht="56" customHeight="1">
      <x:c r="A295" s="192" t="str">
        <x:v>correspondent</x:v>
      </x:c>
      <x:c r="B295" s="192" t="str">
        <x:v>n.</x:v>
      </x:c>
      <x:c r="C295" s="194" t="str">
        <x:v>кореспондент</x:v>
      </x:c>
      <x:c r="D295" s="195" t="str">
        <x:v>Хтось, хто спілкується з іншою особою або публікацією, письмово.</x:v>
      </x:c>
      <x:c r="E295" s="192" t="str">
        <x:v>Oxford C1</x:v>
      </x:c>
      <x:c r="F295" s="192" t="str">
        <x:v>Core</x:v>
      </x:c>
      <x:c r="G295" s="192" t="str">
        <x:v>Not Started</x:v>
      </x:c>
      <x:c r="H295" s="192" t="n">
        <x:v>0</x:v>
      </x:c>
    </x:row>
    <x:row r="296" ht="56" customHeight="1">
      <x:c r="A296" s="192" t="str">
        <x:v>corresponding</x:v>
      </x:c>
      <x:c r="B296" s="192" t="str">
        <x:v>adj.</x:v>
      </x:c>
      <x:c r="C296" s="194" t="str">
        <x:v>відповідний</x:v>
      </x:c>
      <x:c r="D296" s="195" t="str">
        <x:v>які мають подібні відносини</x:v>
      </x:c>
      <x:c r="E296" s="192" t="str">
        <x:v>Oxford C1 + AWL 3</x:v>
      </x:c>
      <x:c r="F296" s="192" t="str">
        <x:v>High</x:v>
      </x:c>
      <x:c r="G296" s="192" t="str">
        <x:v>Not Started</x:v>
      </x:c>
      <x:c r="H296" s="192" t="n">
        <x:v>0</x:v>
      </x:c>
    </x:row>
    <x:row r="297" ht="56" customHeight="1">
      <x:c r="A297" s="192" t="str">
        <x:v>corrupt</x:v>
      </x:c>
      <x:c r="B297" s="192" t="str">
        <x:v>adj.</x:v>
      </x:c>
      <x:c r="C297" s="194" t="str">
        <x:v>корумпований</x:v>
      </x:c>
      <x:c r="D297" s="195" t="str">
        <x:v>Готовність діяти нечесно заради особистої вигоди; отримання хабара.</x:v>
      </x:c>
      <x:c r="E297" s="192" t="str">
        <x:v>Oxford C1</x:v>
      </x:c>
      <x:c r="F297" s="192" t="str">
        <x:v>Core</x:v>
      </x:c>
      <x:c r="G297" s="192" t="str">
        <x:v>Not Started</x:v>
      </x:c>
      <x:c r="H297" s="192" t="n">
        <x:v>0</x:v>
      </x:c>
    </x:row>
    <x:row r="298" ht="56" customHeight="1">
      <x:c r="A298" s="192" t="str">
        <x:v>corruption</x:v>
      </x:c>
      <x:c r="B298" s="192" t="str">
        <x:v>n.</x:v>
      </x:c>
      <x:c r="C298" s="194" t="str">
        <x:v>корупція</x:v>
      </x:c>
      <x:c r="D298" s="195" t="str">
        <x:v>Неетична адміністративна або виконавча практика (в уряді чи бізнесі), включаючи хабарництво (пропозиція або отримання хабара), конфлікт інтересів, кумівство, розкрадання тощо.</x:v>
      </x:c>
      <x:c r="E298" s="192" t="str">
        <x:v>Oxford C1</x:v>
      </x:c>
      <x:c r="F298" s="192" t="str">
        <x:v>Core</x:v>
      </x:c>
      <x:c r="G298" s="192" t="str">
        <x:v>Not Started</x:v>
      </x:c>
      <x:c r="H298" s="192" t="n">
        <x:v>0</x:v>
      </x:c>
    </x:row>
    <x:row r="299" ht="56" customHeight="1">
      <x:c r="A299" s="192" t="str">
        <x:v>costly</x:v>
      </x:c>
      <x:c r="B299" s="192" t="str">
        <x:v>adj.</x:v>
      </x:c>
      <x:c r="C299" s="194" t="str">
        <x:v>дорогий</x:v>
      </x:c>
      <x:c r="D299" s="195" t="str">
        <x:v>Від високої вартості; дорогий.</x:v>
      </x:c>
      <x:c r="E299" s="192" t="str">
        <x:v>Oxford C1</x:v>
      </x:c>
      <x:c r="F299" s="192" t="str">
        <x:v>Core</x:v>
      </x:c>
      <x:c r="G299" s="192" t="str">
        <x:v>Not Started</x:v>
      </x:c>
      <x:c r="H299" s="192" t="n">
        <x:v>0</x:v>
      </x:c>
    </x:row>
    <x:row r="300" ht="56" customHeight="1">
      <x:c r="A300" s="192" t="str">
        <x:v>councillor</x:v>
      </x:c>
      <x:c r="B300" s="192" t="str">
        <x:v>n.</x:v>
      </x:c>
      <x:c r="C300" s="194" t="str">
        <x:v>радник</x:v>
      </x:c>
      <x:c r="D300" s="195" t="str">
        <x:v>Зокрема, представник, обраний до місцевої влади, наприклад міської ради: міський радник.</x:v>
      </x:c>
      <x:c r="E300" s="192" t="str">
        <x:v>Oxford C1</x:v>
      </x:c>
      <x:c r="F300" s="192" t="str">
        <x:v>Core</x:v>
      </x:c>
      <x:c r="G300" s="192" t="str">
        <x:v>Not Started</x:v>
      </x:c>
      <x:c r="H300" s="192" t="n">
        <x:v>0</x:v>
      </x:c>
    </x:row>
    <x:row r="301" ht="56" customHeight="1">
      <x:c r="A301" s="192" t="str">
        <x:v>counselling</x:v>
      </x:c>
      <x:c r="B301" s="192" t="str">
        <x:v>n.</x:v>
      </x:c>
      <x:c r="C301" s="194" t="str">
        <x:v>консультування</x:v>
      </x:c>
      <x:c r="D301" s="195" t="str">
        <x:v>Професійна допомога людині в осмисленні та розв’язанні особистих або психологічних труднощів.</x:v>
      </x:c>
      <x:c r="E301" s="192" t="str">
        <x:v>Oxford C1</x:v>
      </x:c>
      <x:c r="F301" s="192" t="str">
        <x:v>Core</x:v>
      </x:c>
      <x:c r="G301" s="192" t="str">
        <x:v>Not Started</x:v>
      </x:c>
      <x:c r="H301" s="192" t="n">
        <x:v>0</x:v>
      </x:c>
    </x:row>
    <x:row r="302" ht="56" customHeight="1">
      <x:c r="A302" s="192" t="str">
        <x:v>counsellor</x:v>
      </x:c>
      <x:c r="B302" s="192" t="str">
        <x:v>n.</x:v>
      </x:c>
      <x:c r="C302" s="194" t="str">
        <x:v>радник</x:v>
      </x:c>
      <x:c r="D302" s="195" t="str">
        <x:v>Фахівець, який надає професійні поради та психологічну підтримку.</x:v>
      </x:c>
      <x:c r="E302" s="192" t="str">
        <x:v>Oxford C1</x:v>
      </x:c>
      <x:c r="F302" s="192" t="str">
        <x:v>Core</x:v>
      </x:c>
      <x:c r="G302" s="192" t="str">
        <x:v>Not Started</x:v>
      </x:c>
      <x:c r="H302" s="192" t="n">
        <x:v>0</x:v>
      </x:c>
    </x:row>
    <x:row r="303" ht="56" customHeight="1">
      <x:c r="A303" s="192" t="str">
        <x:v>counter (argue against)</x:v>
      </x:c>
      <x:c r="B303" s="192" t="str">
        <x:v>v.</x:v>
      </x:c>
      <x:c r="C303" s="194" t="str">
        <x:v>заперечувати; протиставляти аргумент</x:v>
      </x:c>
      <x:c r="D303" s="195" t="str">
        <x:v>Відповідати на твердження протилежним аргументом або доказом.</x:v>
      </x:c>
      <x:c r="E303" s="192" t="str">
        <x:v>Oxford C1</x:v>
      </x:c>
      <x:c r="F303" s="192" t="str">
        <x:v>Core</x:v>
      </x:c>
      <x:c r="G303" s="192" t="str">
        <x:v>Not Started</x:v>
      </x:c>
      <x:c r="H303" s="192" t="n">
        <x:v>0</x:v>
      </x:c>
    </x:row>
    <x:row r="304" ht="56" customHeight="1">
      <x:c r="A304" s="192" t="str">
        <x:v>counterpart</x:v>
      </x:c>
      <x:c r="B304" s="192" t="str">
        <x:v>n.</x:v>
      </x:c>
      <x:c r="C304" s="194" t="str">
        <x:v>аналог</x:v>
      </x:c>
      <x:c r="D304" s="195" t="str">
        <x:v>З двох частин, які поєднуються, або доповнюють одна одну.</x:v>
      </x:c>
      <x:c r="E304" s="192" t="str">
        <x:v>Oxford C1</x:v>
      </x:c>
      <x:c r="F304" s="192" t="str">
        <x:v>Core</x:v>
      </x:c>
      <x:c r="G304" s="192" t="str">
        <x:v>Not Started</x:v>
      </x:c>
      <x:c r="H304" s="192" t="n">
        <x:v>0</x:v>
      </x:c>
    </x:row>
    <x:row r="305" ht="56" customHeight="1">
      <x:c r="A305" s="192" t="str">
        <x:v>countless</x:v>
      </x:c>
      <x:c r="B305" s="192" t="str">
        <x:v>adj.</x:v>
      </x:c>
      <x:c r="C305" s="194" t="str">
        <x:v>незліченні</x:v>
      </x:c>
      <x:c r="D305" s="195" t="str">
        <x:v>Завеликий, щоб його можна було порахувати.</x:v>
      </x:c>
      <x:c r="E305" s="192" t="str">
        <x:v>Oxford C1</x:v>
      </x:c>
      <x:c r="F305" s="192" t="str">
        <x:v>Core</x:v>
      </x:c>
      <x:c r="G305" s="192" t="str">
        <x:v>Not Started</x:v>
      </x:c>
      <x:c r="H305" s="192" t="n">
        <x:v>0</x:v>
      </x:c>
    </x:row>
    <x:row r="306" ht="56" customHeight="1">
      <x:c r="A306" s="192" t="str">
        <x:v>coup</x:v>
      </x:c>
      <x:c r="B306" s="192" t="str">
        <x:v>n.</x:v>
      </x:c>
      <x:c r="C306" s="194" t="str">
        <x:v>переворот</x:v>
      </x:c>
      <x:c r="D306" s="195" t="str">
        <x:v>Державний переворот.</x:v>
      </x:c>
      <x:c r="E306" s="192" t="str">
        <x:v>Oxford C1</x:v>
      </x:c>
      <x:c r="F306" s="192" t="str">
        <x:v>Core</x:v>
      </x:c>
      <x:c r="G306" s="192" t="str">
        <x:v>Not Started</x:v>
      </x:c>
      <x:c r="H306" s="192" t="n">
        <x:v>0</x:v>
      </x:c>
    </x:row>
    <x:row r="307" ht="56" customHeight="1">
      <x:c r="A307" s="192" t="str">
        <x:v>courtesy</x:v>
      </x:c>
      <x:c r="B307" s="192" t="str">
        <x:v>n.</x:v>
      </x:c>
      <x:c r="C307" s="194" t="str">
        <x:v>ввічливість</x:v>
      </x:c>
      <x:c r="D307" s="195" t="str">
        <x:v>Ввічлива поведінка.</x:v>
      </x:c>
      <x:c r="E307" s="192" t="str">
        <x:v>Oxford C1</x:v>
      </x:c>
      <x:c r="F307" s="192" t="str">
        <x:v>Core</x:v>
      </x:c>
      <x:c r="G307" s="192" t="str">
        <x:v>Not Started</x:v>
      </x:c>
      <x:c r="H307" s="192" t="n">
        <x:v>0</x:v>
      </x:c>
    </x:row>
    <x:row r="308" ht="56" customHeight="1">
      <x:c r="A308" s="192" t="str">
        <x:v>craft</x:v>
      </x:c>
      <x:c r="B308" s="192" t="str">
        <x:v>v.</x:v>
      </x:c>
      <x:c r="C308" s="194" t="str">
        <x:v>ремесло</x:v>
      </x:c>
      <x:c r="D308" s="195" t="str">
        <x:v>Зробити вручну і з великою майстерністю.</x:v>
      </x:c>
      <x:c r="E308" s="192" t="str">
        <x:v>Oxford C1</x:v>
      </x:c>
      <x:c r="F308" s="192" t="str">
        <x:v>Core</x:v>
      </x:c>
      <x:c r="G308" s="192" t="str">
        <x:v>Not Started</x:v>
      </x:c>
      <x:c r="H308" s="192" t="n">
        <x:v>0</x:v>
      </x:c>
    </x:row>
    <x:row r="309" ht="56" customHeight="1">
      <x:c r="A309" s="192" t="str">
        <x:v>crawl</x:v>
      </x:c>
      <x:c r="B309" s="192" t="str">
        <x:v>v.</x:v>
      </x:c>
      <x:c r="C309" s="194" t="str">
        <x:v>повзати</x:v>
      </x:c>
      <x:c r="D309" s="195" t="str">
        <x:v>Повзати; повільно рухатися на руках і колінах або волочачи тіло по землі.</x:v>
      </x:c>
      <x:c r="E309" s="192" t="str">
        <x:v>Oxford C1</x:v>
      </x:c>
      <x:c r="F309" s="192" t="str">
        <x:v>Core</x:v>
      </x:c>
      <x:c r="G309" s="192" t="str">
        <x:v>Not Started</x:v>
      </x:c>
      <x:c r="H309" s="192" t="n">
        <x:v>0</x:v>
      </x:c>
    </x:row>
    <x:row r="310" ht="56" customHeight="1">
      <x:c r="A310" s="192" t="str">
        <x:v>creator</x:v>
      </x:c>
      <x:c r="B310" s="192" t="str">
        <x:v>n.</x:v>
      </x:c>
      <x:c r="C310" s="194" t="str">
        <x:v>творець</x:v>
      </x:c>
      <x:c r="D310" s="195" t="str">
        <x:v>Щось або хтось, який щось створює або робить.</x:v>
      </x:c>
      <x:c r="E310" s="192" t="str">
        <x:v>Oxford C1</x:v>
      </x:c>
      <x:c r="F310" s="192" t="str">
        <x:v>Core</x:v>
      </x:c>
      <x:c r="G310" s="192" t="str">
        <x:v>Not Started</x:v>
      </x:c>
      <x:c r="H310" s="192" t="n">
        <x:v>0</x:v>
      </x:c>
    </x:row>
    <x:row r="311" ht="56" customHeight="1">
      <x:c r="A311" s="192" t="str">
        <x:v>credibility</x:v>
      </x:c>
      <x:c r="B311" s="192" t="str">
        <x:v>n.</x:v>
      </x:c>
      <x:c r="C311" s="194" t="str">
        <x:v>довіра</x:v>
      </x:c>
      <x:c r="D311" s="195" t="str">
        <x:v>Репутація впливає на здатність людини вірити.</x:v>
      </x:c>
      <x:c r="E311" s="192" t="str">
        <x:v>Oxford C1</x:v>
      </x:c>
      <x:c r="F311" s="192" t="str">
        <x:v>Core</x:v>
      </x:c>
      <x:c r="G311" s="192" t="str">
        <x:v>Not Started</x:v>
      </x:c>
      <x:c r="H311" s="192" t="n">
        <x:v>0</x:v>
      </x:c>
    </x:row>
    <x:row r="312" ht="56" customHeight="1">
      <x:c r="A312" s="192" t="str">
        <x:v>credible</x:v>
      </x:c>
      <x:c r="B312" s="192" t="str">
        <x:v>adj.</x:v>
      </x:c>
      <x:c r="C312" s="194" t="str">
        <x:v>надійний</x:v>
      </x:c>
      <x:c r="D312" s="195" t="str">
        <x:v>Правдоподібно чи правдоподібно.</x:v>
      </x:c>
      <x:c r="E312" s="192" t="str">
        <x:v>Oxford C1</x:v>
      </x:c>
      <x:c r="F312" s="192" t="str">
        <x:v>Core</x:v>
      </x:c>
      <x:c r="G312" s="192" t="str">
        <x:v>Not Started</x:v>
      </x:c>
      <x:c r="H312" s="192" t="n">
        <x:v>0</x:v>
      </x:c>
    </x:row>
    <x:row r="313" ht="56" customHeight="1">
      <x:c r="A313" s="192" t="str">
        <x:v>creep</x:v>
      </x:c>
      <x:c r="B313" s="192" t="str">
        <x:v>v.</x:v>
      </x:c>
      <x:c r="C313" s="194" t="str">
        <x:v>повзати</x:v>
      </x:c>
      <x:c r="D313" s="195" t="str">
        <x:v>Рухатися повільно і тихо в певному напрямку.</x:v>
      </x:c>
      <x:c r="E313" s="192" t="str">
        <x:v>Oxford C1</x:v>
      </x:c>
      <x:c r="F313" s="192" t="str">
        <x:v>Core</x:v>
      </x:c>
      <x:c r="G313" s="192" t="str">
        <x:v>Not Started</x:v>
      </x:c>
      <x:c r="H313" s="192" t="n">
        <x:v>0</x:v>
      </x:c>
    </x:row>
    <x:row r="314" ht="56" customHeight="1">
      <x:c r="A314" s="192" t="str">
        <x:v>critique</x:v>
      </x:c>
      <x:c r="B314" s="192" t="str">
        <x:v>n.</x:v>
      </x:c>
      <x:c r="C314" s="194" t="str">
        <x:v>критика</x:v>
      </x:c>
      <x:c r="D314" s="195" t="str">
        <x:v>Есе, в якому критикується, рецензується інший твір тощо.</x:v>
      </x:c>
      <x:c r="E314" s="192" t="str">
        <x:v>Oxford C1</x:v>
      </x:c>
      <x:c r="F314" s="192" t="str">
        <x:v>Core</x:v>
      </x:c>
      <x:c r="G314" s="192" t="str">
        <x:v>Not Started</x:v>
      </x:c>
      <x:c r="H314" s="192" t="n">
        <x:v>0</x:v>
      </x:c>
    </x:row>
    <x:row r="315" ht="56" customHeight="1">
      <x:c r="A315" s="192" t="str">
        <x:v>crown</x:v>
      </x:c>
      <x:c r="B315" s="192" t="str">
        <x:v>n.</x:v>
      </x:c>
      <x:c r="C315" s="194" t="str">
        <x:v>корона</x:v>
      </x:c>
      <x:c r="D315" s="195" t="str">
        <x:v>Королівський, імператорський або княжий головний убір; діадема.</x:v>
      </x:c>
      <x:c r="E315" s="192" t="str">
        <x:v>Oxford C1</x:v>
      </x:c>
      <x:c r="F315" s="192" t="str">
        <x:v>Core</x:v>
      </x:c>
      <x:c r="G315" s="192" t="str">
        <x:v>Not Started</x:v>
      </x:c>
      <x:c r="H315" s="192" t="n">
        <x:v>0</x:v>
      </x:c>
    </x:row>
    <x:row r="316" ht="56" customHeight="1">
      <x:c r="A316" s="192" t="str">
        <x:v>crude</x:v>
      </x:c>
      <x:c r="B316" s="192" t="str">
        <x:v>adj.</x:v>
      </x:c>
      <x:c r="C316" s="194" t="str">
        <x:v>сирий</x:v>
      </x:c>
      <x:c r="D316" s="195" t="str">
        <x:v>У природному, необробленому стані.</x:v>
      </x:c>
      <x:c r="E316" s="192" t="str">
        <x:v>Oxford C1</x:v>
      </x:c>
      <x:c r="F316" s="192" t="str">
        <x:v>Core</x:v>
      </x:c>
      <x:c r="G316" s="192" t="str">
        <x:v>Not Started</x:v>
      </x:c>
      <x:c r="H316" s="192" t="n">
        <x:v>0</x:v>
      </x:c>
    </x:row>
    <x:row r="317" ht="56" customHeight="1">
      <x:c r="A317" s="192" t="str">
        <x:v>crush</x:v>
      </x:c>
      <x:c r="B317" s="192" t="str">
        <x:v>v.</x:v>
      </x:c>
      <x:c r="C317" s="194" t="str">
        <x:v>розчавити</x:v>
      </x:c>
      <x:c r="D317" s="195" t="str">
        <x:v>Натиснути між двома твердими предметами; стискати так, щоб змінити природну форму чи цілісність, або згуртовувати в масу.</x:v>
      </x:c>
      <x:c r="E317" s="192" t="str">
        <x:v>Oxford C1</x:v>
      </x:c>
      <x:c r="F317" s="192" t="str">
        <x:v>Core</x:v>
      </x:c>
      <x:c r="G317" s="192" t="str">
        <x:v>Not Started</x:v>
      </x:c>
      <x:c r="H317" s="192" t="n">
        <x:v>0</x:v>
      </x:c>
    </x:row>
    <x:row r="318" ht="56" customHeight="1">
      <x:c r="A318" s="192" t="str">
        <x:v>crystal</x:v>
      </x:c>
      <x:c r="B318" s="192" t="str">
        <x:v>n.</x:v>
      </x:c>
      <x:c r="C318" s="194" t="str">
        <x:v>кристал</x:v>
      </x:c>
      <x:c r="D318" s="195" t="str">
        <x:v>Тверда речовина, що складається з масиву атомів або молекул, що мають дальній порядок і розташовані у вигляді періодичної тривимірної структури.</x:v>
      </x:c>
      <x:c r="E318" s="192" t="str">
        <x:v>Oxford C1</x:v>
      </x:c>
      <x:c r="F318" s="192" t="str">
        <x:v>Core</x:v>
      </x:c>
      <x:c r="G318" s="192" t="str">
        <x:v>Not Started</x:v>
      </x:c>
      <x:c r="H318" s="192" t="n">
        <x:v>0</x:v>
      </x:c>
    </x:row>
    <x:row r="319" ht="56" customHeight="1">
      <x:c r="A319" s="192" t="str">
        <x:v>cult</x:v>
      </x:c>
      <x:c r="B319" s="192" t="str">
        <x:v>n., adj.</x:v>
      </x:c>
      <x:c r="C319" s="194" t="str">
        <x:v>культ</x:v>
      </x:c>
      <x:c r="D319" s="195" t="str">
        <x:v>Група людей, які мають одержимість або сильне захоплення певною діяльністю, ідеєю, людиною чи річчю.</x:v>
      </x:c>
      <x:c r="E319" s="192" t="str">
        <x:v>Oxford C1</x:v>
      </x:c>
      <x:c r="F319" s="192" t="str">
        <x:v>Core</x:v>
      </x:c>
      <x:c r="G319" s="192" t="str">
        <x:v>Not Started</x:v>
      </x:c>
      <x:c r="H319" s="192" t="n">
        <x:v>0</x:v>
      </x:c>
    </x:row>
    <x:row r="320" ht="56" customHeight="1">
      <x:c r="A320" s="192" t="str">
        <x:v>cultivate</x:v>
      </x:c>
      <x:c r="B320" s="192" t="str">
        <x:v>v.</x:v>
      </x:c>
      <x:c r="C320" s="194" t="str">
        <x:v>вирощувати</x:v>
      </x:c>
      <x:c r="D320" s="195" t="str">
        <x:v>Вирощувати рослини, особливо сільськогосподарські культури.</x:v>
      </x:c>
      <x:c r="E320" s="192" t="str">
        <x:v>Oxford C1</x:v>
      </x:c>
      <x:c r="F320" s="192" t="str">
        <x:v>Core</x:v>
      </x:c>
      <x:c r="G320" s="192" t="str">
        <x:v>Not Started</x:v>
      </x:c>
      <x:c r="H320" s="192" t="n">
        <x:v>0</x:v>
      </x:c>
    </x:row>
    <x:row r="321" ht="56" customHeight="1">
      <x:c r="A321" s="192" t="str">
        <x:v>curiosity</x:v>
      </x:c>
      <x:c r="B321" s="192" t="str">
        <x:v>n.</x:v>
      </x:c>
      <x:c r="C321" s="194" t="str">
        <x:v>допитливість</x:v>
      </x:c>
      <x:c r="D321" s="195" t="str">
        <x:v>допитливість; схильність запитувати та дізнаватися про речі, ставлячи запитання, досліджуючи чи досліджуючи.</x:v>
      </x:c>
      <x:c r="E321" s="192" t="str">
        <x:v>Oxford C1</x:v>
      </x:c>
      <x:c r="F321" s="192" t="str">
        <x:v>Core</x:v>
      </x:c>
      <x:c r="G321" s="192" t="str">
        <x:v>Not Started</x:v>
      </x:c>
      <x:c r="H321" s="192" t="n">
        <x:v>0</x:v>
      </x:c>
    </x:row>
    <x:row r="322" ht="56" customHeight="1">
      <x:c r="A322" s="192" t="str">
        <x:v>custody</x:v>
      </x:c>
      <x:c r="B322" s="192" t="str">
        <x:v>n.</x:v>
      </x:c>
      <x:c r="C322" s="194" t="str">
        <x:v>опіка</x:v>
      </x:c>
      <x:c r="D322" s="195" t="str">
        <x:v>Законне право піклуватися про щось або про когось, особливо про дітей.</x:v>
      </x:c>
      <x:c r="E322" s="192" t="str">
        <x:v>Oxford C1</x:v>
      </x:c>
      <x:c r="F322" s="192" t="str">
        <x:v>Core</x:v>
      </x:c>
      <x:c r="G322" s="192" t="str">
        <x:v>Not Started</x:v>
      </x:c>
      <x:c r="H322" s="192" t="n">
        <x:v>0</x:v>
      </x:c>
    </x:row>
    <x:row r="323" ht="56" customHeight="1">
      <x:c r="A323" s="192" t="str">
        <x:v>cutting</x:v>
      </x:c>
      <x:c r="B323" s="192" t="str">
        <x:v>n.</x:v>
      </x:c>
      <x:c r="C323" s="194" t="str">
        <x:v>різання</x:v>
      </x:c>
      <x:c r="D323" s="195" t="str">
        <x:v>Дія дієслова різати.</x:v>
      </x:c>
      <x:c r="E323" s="192" t="str">
        <x:v>Oxford C1</x:v>
      </x:c>
      <x:c r="F323" s="192" t="str">
        <x:v>Core</x:v>
      </x:c>
      <x:c r="G323" s="192" t="str">
        <x:v>Not Started</x:v>
      </x:c>
      <x:c r="H323" s="192" t="n">
        <x:v>0</x:v>
      </x:c>
    </x:row>
    <x:row r="324" ht="56" customHeight="1">
      <x:c r="A324" s="192" t="str">
        <x:v>cynical</x:v>
      </x:c>
      <x:c r="B324" s="192" t="str">
        <x:v>adj.</x:v>
      </x:c>
      <x:c r="C324" s="194" t="str">
        <x:v>цинічний</x:v>
      </x:c>
      <x:c r="D324" s="195" t="str">
        <x:v>Скептично ставиться до чесності, щирості або мотивів інших.</x:v>
      </x:c>
      <x:c r="E324" s="192" t="str">
        <x:v>Oxford C1</x:v>
      </x:c>
      <x:c r="F324" s="192" t="str">
        <x:v>Core</x:v>
      </x:c>
      <x:c r="G324" s="192" t="str">
        <x:v>Not Started</x:v>
      </x:c>
      <x:c r="H324" s="192" t="n">
        <x:v>0</x:v>
      </x:c>
    </x:row>
    <x:row r="325" ht="56" customHeight="1">
      <x:c r="A325" s="192" t="str">
        <x:v>dam</x:v>
      </x:c>
      <x:c r="B325" s="192" t="str">
        <x:v>n.</x:v>
      </x:c>
      <x:c r="C325" s="194" t="str">
        <x:v>дамба</x:v>
      </x:c>
      <x:c r="D325" s="195" t="str">
        <x:v>Споруда, розташована вздовж водойми, що тече, щоб зупинити потік або частину потоку, як правило, для таких цілей, як утримання або відведення частини води або уповільнення вивільнення накопиченої води, щоб уникнути...</x:v>
      </x:c>
      <x:c r="E325" s="192" t="str">
        <x:v>Oxford C1</x:v>
      </x:c>
      <x:c r="F325" s="192" t="str">
        <x:v>Core</x:v>
      </x:c>
      <x:c r="G325" s="192" t="str">
        <x:v>Not Started</x:v>
      </x:c>
      <x:c r="H325" s="192" t="n">
        <x:v>0</x:v>
      </x:c>
    </x:row>
    <x:row r="326" ht="56" customHeight="1">
      <x:c r="A326" s="192" t="str">
        <x:v>damaging</x:v>
      </x:c>
      <x:c r="B326" s="192" t="str">
        <x:v>adj.</x:v>
      </x:c>
      <x:c r="C326" s="194" t="str">
        <x:v>шкідливий</x:v>
      </x:c>
      <x:c r="D326" s="195" t="str">
        <x:v>Заподіяння шкоди; шкідливий, шкідливий.</x:v>
      </x:c>
      <x:c r="E326" s="192" t="str">
        <x:v>Oxford C1</x:v>
      </x:c>
      <x:c r="F326" s="192" t="str">
        <x:v>Core</x:v>
      </x:c>
      <x:c r="G326" s="192" t="str">
        <x:v>Not Started</x:v>
      </x:c>
      <x:c r="H326" s="192" t="n">
        <x:v>0</x:v>
      </x:c>
    </x:row>
    <x:row r="327" ht="56" customHeight="1">
      <x:c r="A327" s="192" t="str">
        <x:v>dawn</x:v>
      </x:c>
      <x:c r="B327" s="192" t="str">
        <x:v>n.</x:v>
      </x:c>
      <x:c r="C327" s="194" t="str">
        <x:v>світанок</x:v>
      </x:c>
      <x:c r="D327" s="195" t="str">
        <x:v>Період ранкових сутінків безпосередньо перед сходом сонця.</x:v>
      </x:c>
      <x:c r="E327" s="192" t="str">
        <x:v>Oxford C1</x:v>
      </x:c>
      <x:c r="F327" s="192" t="str">
        <x:v>Core</x:v>
      </x:c>
      <x:c r="G327" s="192" t="str">
        <x:v>Not Started</x:v>
      </x:c>
      <x:c r="H327" s="192" t="n">
        <x:v>0</x:v>
      </x:c>
    </x:row>
    <x:row r="328" ht="56" customHeight="1">
      <x:c r="A328" s="192" t="str">
        <x:v>debris</x:v>
      </x:c>
      <x:c r="B328" s="192" t="str">
        <x:v>n.</x:v>
      </x:c>
      <x:c r="C328" s="194" t="str">
        <x:v>сміття</x:v>
      </x:c>
      <x:c r="D328" s="195" t="str">
        <x:v>Завали, уламки, розкидані залишки чогось зруйнованого.</x:v>
      </x:c>
      <x:c r="E328" s="192" t="str">
        <x:v>Oxford C1</x:v>
      </x:c>
      <x:c r="F328" s="192" t="str">
        <x:v>Core</x:v>
      </x:c>
      <x:c r="G328" s="192" t="str">
        <x:v>Not Started</x:v>
      </x:c>
      <x:c r="H328" s="192" t="n">
        <x:v>0</x:v>
      </x:c>
    </x:row>
    <x:row r="329" ht="56" customHeight="1">
      <x:c r="A329" s="192" t="str">
        <x:v>debut</x:v>
      </x:c>
      <x:c r="B329" s="192" t="str">
        <x:v>n.</x:v>
      </x:c>
      <x:c r="C329" s="194" t="str">
        <x:v>дебют</x:v>
      </x:c>
      <x:c r="D329" s="195" t="str">
        <x:v>Перший виступ виконавця перед публікою у спорті, мистецтві чи іншій сфері.</x:v>
      </x:c>
      <x:c r="E329" s="192" t="str">
        <x:v>Oxford C1</x:v>
      </x:c>
      <x:c r="F329" s="192" t="str">
        <x:v>Core</x:v>
      </x:c>
      <x:c r="G329" s="192" t="str">
        <x:v>Not Started</x:v>
      </x:c>
      <x:c r="H329" s="192" t="n">
        <x:v>0</x:v>
      </x:c>
    </x:row>
    <x:row r="330" ht="56" customHeight="1">
      <x:c r="A330" s="192" t="str">
        <x:v>decision-making</x:v>
      </x:c>
      <x:c r="B330" s="192" t="str">
        <x:v>n.</x:v>
      </x:c>
      <x:c r="C330" s="194" t="str">
        <x:v>прийняття рішень</x:v>
      </x:c>
      <x:c r="D330" s="195" t="str">
        <x:v>Процес аналізу можливостей і вибору одного рішення.</x:v>
      </x:c>
      <x:c r="E330" s="192" t="str">
        <x:v>Oxford C1</x:v>
      </x:c>
      <x:c r="F330" s="192" t="str">
        <x:v>Core</x:v>
      </x:c>
      <x:c r="G330" s="192" t="str">
        <x:v>Not Started</x:v>
      </x:c>
      <x:c r="H330" s="192" t="n">
        <x:v>0</x:v>
      </x:c>
    </x:row>
    <x:row r="331" ht="56" customHeight="1">
      <x:c r="A331" s="192" t="str">
        <x:v>decisive</x:v>
      </x:c>
      <x:c r="B331" s="192" t="str">
        <x:v>adj.</x:v>
      </x:c>
      <x:c r="C331" s="194" t="str">
        <x:v>вирішальний</x:v>
      </x:c>
      <x:c r="D331" s="195" t="str">
        <x:v>Володіння владою або якістю вирішення питання чи суперечки; припинення змагань чи суперечок; остаточний; остаточний.</x:v>
      </x:c>
      <x:c r="E331" s="192" t="str">
        <x:v>Oxford C1</x:v>
      </x:c>
      <x:c r="F331" s="192" t="str">
        <x:v>Core</x:v>
      </x:c>
      <x:c r="G331" s="192" t="str">
        <x:v>Not Started</x:v>
      </x:c>
      <x:c r="H331" s="192" t="n">
        <x:v>0</x:v>
      </x:c>
    </x:row>
    <x:row r="332" ht="56" customHeight="1">
      <x:c r="A332" s="192" t="str">
        <x:v>declaration</x:v>
      </x:c>
      <x:c r="B332" s="192" t="str">
        <x:v>n.</x:v>
      </x:c>
      <x:c r="C332" s="194" t="str">
        <x:v>декларація</x:v>
      </x:c>
      <x:c r="D332" s="195" t="str">
        <x:v>Емфатичний або формальний акт висловлювання, розповіді або ствердження чогось, усним або письмовим; рішуче твердження чи проголошення.</x:v>
      </x:c>
      <x:c r="E332" s="192" t="str">
        <x:v>Oxford C1</x:v>
      </x:c>
      <x:c r="F332" s="192" t="str">
        <x:v>Core</x:v>
      </x:c>
      <x:c r="G332" s="192" t="str">
        <x:v>Not Started</x:v>
      </x:c>
      <x:c r="H332" s="192" t="n">
        <x:v>0</x:v>
      </x:c>
    </x:row>
    <x:row r="333" ht="56" customHeight="1">
      <x:c r="A333" s="192" t="str">
        <x:v>dedicated</x:v>
      </x:c>
      <x:c r="B333" s="192" t="str">
        <x:v>adj.</x:v>
      </x:c>
      <x:c r="C333" s="194" t="str">
        <x:v>присвячений</x:v>
      </x:c>
      <x:c r="D333" s="195" t="str">
        <x:v>Використовується або призначений для певної мети</x:v>
      </x:c>
      <x:c r="E333" s="192" t="str">
        <x:v>Oxford C1</x:v>
      </x:c>
      <x:c r="F333" s="192" t="str">
        <x:v>Core</x:v>
      </x:c>
      <x:c r="G333" s="192" t="str">
        <x:v>Not Started</x:v>
      </x:c>
      <x:c r="H333" s="192" t="n">
        <x:v>0</x:v>
      </x:c>
    </x:row>
    <x:row r="334" ht="56" customHeight="1">
      <x:c r="A334" s="192" t="str">
        <x:v>dedication</x:v>
      </x:c>
      <x:c r="B334" s="192" t="str">
        <x:v>n.</x:v>
      </x:c>
      <x:c r="C334" s="194" t="str">
        <x:v>присвята</x:v>
      </x:c>
      <x:c r="D334" s="195" t="str">
        <x:v>Акт посвячення або стан посвячення.</x:v>
      </x:c>
      <x:c r="E334" s="192" t="str">
        <x:v>Oxford C1</x:v>
      </x:c>
      <x:c r="F334" s="192" t="str">
        <x:v>Core</x:v>
      </x:c>
      <x:c r="G334" s="192" t="str">
        <x:v>Not Started</x:v>
      </x:c>
      <x:c r="H334" s="192" t="n">
        <x:v>0</x:v>
      </x:c>
    </x:row>
    <x:row r="335" ht="56" customHeight="1">
      <x:c r="A335" s="192" t="str">
        <x:v>deed</x:v>
      </x:c>
      <x:c r="B335" s="192" t="str">
        <x:v>n.</x:v>
      </x:c>
      <x:c r="C335" s="194" t="str">
        <x:v>справа</x:v>
      </x:c>
      <x:c r="D335" s="195" t="str">
        <x:v>Дія чи дія; те, що зроблено.</x:v>
      </x:c>
      <x:c r="E335" s="192" t="str">
        <x:v>Oxford C1</x:v>
      </x:c>
      <x:c r="F335" s="192" t="str">
        <x:v>Core</x:v>
      </x:c>
      <x:c r="G335" s="192" t="str">
        <x:v>Not Started</x:v>
      </x:c>
      <x:c r="H335" s="192" t="n">
        <x:v>0</x:v>
      </x:c>
    </x:row>
    <x:row r="336" ht="56" customHeight="1">
      <x:c r="A336" s="192" t="str">
        <x:v>deem</x:v>
      </x:c>
      <x:c r="B336" s="192" t="str">
        <x:v>v.</x:v>
      </x:c>
      <x:c r="C336" s="194" t="str">
        <x:v>вважати</x:v>
      </x:c>
      <x:c r="D336" s="195" t="str">
        <x:v>Дотримуватися віри чи оцінки; судити як висновок; розглядати як істоту; оцінювати за своїми переконаннями; на рахунок.</x:v>
      </x:c>
      <x:c r="E336" s="192" t="str">
        <x:v>Oxford C1</x:v>
      </x:c>
      <x:c r="F336" s="192" t="str">
        <x:v>Core</x:v>
      </x:c>
      <x:c r="G336" s="192" t="str">
        <x:v>Not Started</x:v>
      </x:c>
      <x:c r="H336" s="192" t="n">
        <x:v>0</x:v>
      </x:c>
    </x:row>
    <x:row r="337" ht="56" customHeight="1">
      <x:c r="A337" s="192" t="str">
        <x:v>default</x:v>
      </x:c>
      <x:c r="B337" s="192" t="str">
        <x:v>n.</x:v>
      </x:c>
      <x:c r="C337" s="194" t="str">
        <x:v>замовчування</x:v>
      </x:c>
      <x:c r="D337" s="195" t="str">
        <x:v>початкові налаштування програмного забезпечення, установлені на заводі</x:v>
      </x:c>
      <x:c r="E337" s="192" t="str">
        <x:v>Oxford C1</x:v>
      </x:c>
      <x:c r="F337" s="192" t="str">
        <x:v>Core</x:v>
      </x:c>
      <x:c r="G337" s="192" t="str">
        <x:v>Not Started</x:v>
      </x:c>
      <x:c r="H337" s="192" t="n">
        <x:v>0</x:v>
      </x:c>
    </x:row>
    <x:row r="338" ht="56" customHeight="1">
      <x:c r="A338" s="192" t="str">
        <x:v>defect</x:v>
      </x:c>
      <x:c r="B338" s="192" t="str">
        <x:v>n.</x:v>
      </x:c>
      <x:c r="C338" s="194" t="str">
        <x:v>дефект</x:v>
      </x:c>
      <x:c r="D338" s="195" t="str">
        <x:v>Несправність або несправність.</x:v>
      </x:c>
      <x:c r="E338" s="192" t="str">
        <x:v>Oxford C1</x:v>
      </x:c>
      <x:c r="F338" s="192" t="str">
        <x:v>Core</x:v>
      </x:c>
      <x:c r="G338" s="192" t="str">
        <x:v>Not Started</x:v>
      </x:c>
      <x:c r="H338" s="192" t="n">
        <x:v>0</x:v>
      </x:c>
    </x:row>
    <x:row r="339" ht="56" customHeight="1">
      <x:c r="A339" s="192" t="str">
        <x:v>defensive</x:v>
      </x:c>
      <x:c r="B339" s="192" t="str">
        <x:v>adj.</x:v>
      </x:c>
      <x:c r="C339" s="194" t="str">
        <x:v>оборонний</x:v>
      </x:c>
      <x:c r="D339" s="195" t="str">
        <x:v>Що стосується захисту, на відміну від нападу.</x:v>
      </x:c>
      <x:c r="E339" s="192" t="str">
        <x:v>Oxford C1</x:v>
      </x:c>
      <x:c r="F339" s="192" t="str">
        <x:v>Core</x:v>
      </x:c>
      <x:c r="G339" s="192" t="str">
        <x:v>Not Started</x:v>
      </x:c>
      <x:c r="H339" s="192" t="n">
        <x:v>0</x:v>
      </x:c>
    </x:row>
    <x:row r="340" ht="56" customHeight="1">
      <x:c r="A340" s="192" t="str">
        <x:v>deficiency</x:v>
      </x:c>
      <x:c r="B340" s="192" t="str">
        <x:v>n.</x:v>
      </x:c>
      <x:c r="C340" s="194" t="str">
        <x:v>недолік</x:v>
      </x:c>
      <x:c r="D340" s="195" t="str">
        <x:v>Недостатність, особливо чогось необхідного для здоров'я.</x:v>
      </x:c>
      <x:c r="E340" s="192" t="str">
        <x:v>Oxford C1</x:v>
      </x:c>
      <x:c r="F340" s="192" t="str">
        <x:v>Core</x:v>
      </x:c>
      <x:c r="G340" s="192" t="str">
        <x:v>Not Started</x:v>
      </x:c>
      <x:c r="H340" s="192" t="n">
        <x:v>0</x:v>
      </x:c>
    </x:row>
    <x:row r="341" ht="56" customHeight="1">
      <x:c r="A341" s="192" t="str">
        <x:v>deficit</x:v>
      </x:c>
      <x:c r="B341" s="192" t="str">
        <x:v>n.</x:v>
      </x:c>
      <x:c r="C341" s="194" t="str">
        <x:v>дефіцит</x:v>
      </x:c>
      <x:c r="D341" s="195" t="str">
        <x:v>Ситуація, коли або сума, за якої витрати перевищують (наприклад, державні) доходи.</x:v>
      </x:c>
      <x:c r="E341" s="192" t="str">
        <x:v>Oxford C1</x:v>
      </x:c>
      <x:c r="F341" s="192" t="str">
        <x:v>Core</x:v>
      </x:c>
      <x:c r="G341" s="192" t="str">
        <x:v>Not Started</x:v>
      </x:c>
      <x:c r="H341" s="192" t="n">
        <x:v>0</x:v>
      </x:c>
    </x:row>
    <x:row r="342" ht="56" customHeight="1">
      <x:c r="A342" s="192" t="str">
        <x:v>defy</x:v>
      </x:c>
      <x:c r="B342" s="192" t="str">
        <x:v>v.</x:v>
      </x:c>
      <x:c r="C342" s="194" t="str">
        <x:v>кинути виклик</x:v>
      </x:c>
      <x:c r="D342" s="195" t="str">
        <x:v>Відмовлятися підкорятися.</x:v>
      </x:c>
      <x:c r="E342" s="192" t="str">
        <x:v>Oxford C1</x:v>
      </x:c>
      <x:c r="F342" s="192" t="str">
        <x:v>Core</x:v>
      </x:c>
      <x:c r="G342" s="192" t="str">
        <x:v>Not Started</x:v>
      </x:c>
      <x:c r="H342" s="192" t="n">
        <x:v>0</x:v>
      </x:c>
    </x:row>
    <x:row r="343" ht="56" customHeight="1">
      <x:c r="A343" s="192" t="str">
        <x:v>delegate</x:v>
      </x:c>
      <x:c r="B343" s="192" t="str">
        <x:v>n.</x:v>
      </x:c>
      <x:c r="C343" s="194" t="str">
        <x:v>делегат</x:v>
      </x:c>
      <x:c r="D343" s="195" t="str">
        <x:v>Особа, уповноважена діяти як представник іншої особи; депутат.</x:v>
      </x:c>
      <x:c r="E343" s="192" t="str">
        <x:v>Oxford C1</x:v>
      </x:c>
      <x:c r="F343" s="192" t="str">
        <x:v>Core</x:v>
      </x:c>
      <x:c r="G343" s="192" t="str">
        <x:v>Not Started</x:v>
      </x:c>
      <x:c r="H343" s="192" t="n">
        <x:v>0</x:v>
      </x:c>
    </x:row>
    <x:row r="344" ht="56" customHeight="1">
      <x:c r="A344" s="192" t="str">
        <x:v>delegation</x:v>
      </x:c>
      <x:c r="B344" s="192" t="str">
        <x:v>n.</x:v>
      </x:c>
      <x:c r="C344" s="194" t="str">
        <x:v>делегація</x:v>
      </x:c>
      <x:c r="D344" s="195" t="str">
        <x:v>Акт делегування.</x:v>
      </x:c>
      <x:c r="E344" s="192" t="str">
        <x:v>Oxford C1</x:v>
      </x:c>
      <x:c r="F344" s="192" t="str">
        <x:v>Core</x:v>
      </x:c>
      <x:c r="G344" s="192" t="str">
        <x:v>Not Started</x:v>
      </x:c>
      <x:c r="H344" s="192" t="n">
        <x:v>0</x:v>
      </x:c>
    </x:row>
    <x:row r="345" ht="56" customHeight="1">
      <x:c r="A345" s="192" t="str">
        <x:v>delicate</x:v>
      </x:c>
      <x:c r="B345" s="192" t="str">
        <x:v>adj.</x:v>
      </x:c>
      <x:c r="C345" s="194" t="str">
        <x:v>делікатний</x:v>
      </x:c>
      <x:c r="D345" s="195" t="str">
        <x:v>Легко пошкоджується або потребує обережного поводження.</x:v>
      </x:c>
      <x:c r="E345" s="192" t="str">
        <x:v>Oxford C1</x:v>
      </x:c>
      <x:c r="F345" s="192" t="str">
        <x:v>Core</x:v>
      </x:c>
      <x:c r="G345" s="192" t="str">
        <x:v>Not Started</x:v>
      </x:c>
      <x:c r="H345" s="192" t="n">
        <x:v>0</x:v>
      </x:c>
    </x:row>
    <x:row r="346" ht="56" customHeight="1">
      <x:c r="A346" s="192" t="str">
        <x:v>demon</x:v>
      </x:c>
      <x:c r="B346" s="192" t="str">
        <x:v>n.</x:v>
      </x:c>
      <x:c r="C346" s="194" t="str">
        <x:v>демон</x:v>
      </x:c>
      <x:c r="D346" s="195" t="str">
        <x:v>Злий надприродний дух.</x:v>
      </x:c>
      <x:c r="E346" s="192" t="str">
        <x:v>Oxford C1</x:v>
      </x:c>
      <x:c r="F346" s="192" t="str">
        <x:v>Core</x:v>
      </x:c>
      <x:c r="G346" s="192" t="str">
        <x:v>Not Started</x:v>
      </x:c>
      <x:c r="H346" s="192" t="n">
        <x:v>0</x:v>
      </x:c>
    </x:row>
    <x:row r="347" ht="56" customHeight="1">
      <x:c r="A347" s="192" t="str">
        <x:v>denial</x:v>
      </x:c>
      <x:c r="B347" s="192" t="str">
        <x:v>n.</x:v>
      </x:c>
      <x:c r="C347" s="194" t="str">
        <x:v>заперечення</x:v>
      </x:c>
      <x:c r="D347" s="195" t="str">
        <x:v>Відмова або неспроможність надати або надати щось, що вимагається чи бажано.</x:v>
      </x:c>
      <x:c r="E347" s="192" t="str">
        <x:v>Oxford C1</x:v>
      </x:c>
      <x:c r="F347" s="192" t="str">
        <x:v>Core</x:v>
      </x:c>
      <x:c r="G347" s="192" t="str">
        <x:v>Not Started</x:v>
      </x:c>
      <x:c r="H347" s="192" t="n">
        <x:v>0</x:v>
      </x:c>
    </x:row>
    <x:row r="348" ht="56" customHeight="1">
      <x:c r="A348" s="192" t="str">
        <x:v>denounce</x:v>
      </x:c>
      <x:c r="B348" s="192" t="str">
        <x:v>v.</x:v>
      </x:c>
      <x:c r="C348" s="194" t="str">
        <x:v>засуджувати</x:v>
      </x:c>
      <x:c r="D348" s="195" t="str">
        <x:v>Публічно та рішуче засуджувати когось або щось.</x:v>
      </x:c>
      <x:c r="E348" s="192" t="str">
        <x:v>Oxford C1</x:v>
      </x:c>
      <x:c r="F348" s="192" t="str">
        <x:v>Core</x:v>
      </x:c>
      <x:c r="G348" s="192" t="str">
        <x:v>Not Started</x:v>
      </x:c>
      <x:c r="H348" s="192" t="n">
        <x:v>0</x:v>
      </x:c>
    </x:row>
    <x:row r="349" ht="56" customHeight="1">
      <x:c r="A349" s="192" t="str">
        <x:v>dense</x:v>
      </x:c>
      <x:c r="B349" s="192" t="str">
        <x:v>adj.</x:v>
      </x:c>
      <x:c r="C349" s="194" t="str">
        <x:v>щільний</x:v>
      </x:c>
      <x:c r="D349" s="195" t="str">
        <x:v>Має відносно високу щільність.</x:v>
      </x:c>
      <x:c r="E349" s="192" t="str">
        <x:v>Oxford C1</x:v>
      </x:c>
      <x:c r="F349" s="192" t="str">
        <x:v>Core</x:v>
      </x:c>
      <x:c r="G349" s="192" t="str">
        <x:v>Not Started</x:v>
      </x:c>
      <x:c r="H349" s="192" t="n">
        <x:v>0</x:v>
      </x:c>
    </x:row>
    <x:row r="350" ht="56" customHeight="1">
      <x:c r="A350" s="192" t="str">
        <x:v>density</x:v>
      </x:c>
      <x:c r="B350" s="192" t="str">
        <x:v>n.</x:v>
      </x:c>
      <x:c r="C350" s="194" t="str">
        <x:v>щільність</x:v>
      </x:c>
      <x:c r="D350" s="195" t="str">
        <x:v>Міра маси речовини, що міститься в одиниці об’єму.</x:v>
      </x:c>
      <x:c r="E350" s="192" t="str">
        <x:v>Oxford C1</x:v>
      </x:c>
      <x:c r="F350" s="192" t="str">
        <x:v>Core</x:v>
      </x:c>
      <x:c r="G350" s="192" t="str">
        <x:v>Not Started</x:v>
      </x:c>
      <x:c r="H350" s="192" t="n">
        <x:v>0</x:v>
      </x:c>
    </x:row>
    <x:row r="351" ht="56" customHeight="1">
      <x:c r="A351" s="192" t="str">
        <x:v>dependence</x:v>
      </x:c>
      <x:c r="B351" s="192" t="str">
        <x:v>n.</x:v>
      </x:c>
      <x:c r="C351" s="194" t="str">
        <x:v>залежність</x:v>
      </x:c>
      <x:c r="D351" s="195" t="str">
        <x:v>Стан залежності, покладання на іншого.</x:v>
      </x:c>
      <x:c r="E351" s="192" t="str">
        <x:v>Oxford C1</x:v>
      </x:c>
      <x:c r="F351" s="192" t="str">
        <x:v>Core</x:v>
      </x:c>
      <x:c r="G351" s="192" t="str">
        <x:v>Not Started</x:v>
      </x:c>
      <x:c r="H351" s="192" t="n">
        <x:v>0</x:v>
      </x:c>
    </x:row>
    <x:row r="352" ht="56" customHeight="1">
      <x:c r="A352" s="192" t="str">
        <x:v>depict</x:v>
      </x:c>
      <x:c r="B352" s="192" t="str">
        <x:v>v.</x:v>
      </x:c>
      <x:c r="C352" s="194" t="str">
        <x:v>зображувати</x:v>
      </x:c>
      <x:c r="D352" s="195" t="str">
        <x:v>Відобразити щось, використовуючи слова, звуки, зображення чи інші засоби.</x:v>
      </x:c>
      <x:c r="E352" s="192" t="str">
        <x:v>Oxford C1</x:v>
      </x:c>
      <x:c r="F352" s="192" t="str">
        <x:v>Core</x:v>
      </x:c>
      <x:c r="G352" s="192" t="str">
        <x:v>Not Started</x:v>
      </x:c>
      <x:c r="H352" s="192" t="n">
        <x:v>0</x:v>
      </x:c>
    </x:row>
    <x:row r="353" ht="56" customHeight="1">
      <x:c r="A353" s="192" t="str">
        <x:v>deploy</x:v>
      </x:c>
      <x:c r="B353" s="192" t="str">
        <x:v>v.</x:v>
      </x:c>
      <x:c r="C353" s="194" t="str">
        <x:v>розгорнути</x:v>
      </x:c>
      <x:c r="D353" s="195" t="str">
        <x:v>Для встановлення, тестування та впровадження комп’ютерної системи чи програми.</x:v>
      </x:c>
      <x:c r="E353" s="192" t="str">
        <x:v>Oxford C1</x:v>
      </x:c>
      <x:c r="F353" s="192" t="str">
        <x:v>High</x:v>
      </x:c>
      <x:c r="G353" s="192" t="str">
        <x:v>Not Started</x:v>
      </x:c>
      <x:c r="H353" s="192" t="n">
        <x:v>0</x:v>
      </x:c>
    </x:row>
    <x:row r="354" ht="56" customHeight="1">
      <x:c r="A354" s="192" t="str">
        <x:v>deployment</x:v>
      </x:c>
      <x:c r="B354" s="192" t="str">
        <x:v>n.</x:v>
      </x:c>
      <x:c r="C354" s="194" t="str">
        <x:v>розгортання</x:v>
      </x:c>
      <x:c r="D354" s="195" t="str">
        <x:v>Реалізація або використання чогось.</x:v>
      </x:c>
      <x:c r="E354" s="192" t="str">
        <x:v>Oxford C1</x:v>
      </x:c>
      <x:c r="F354" s="192" t="str">
        <x:v>High</x:v>
      </x:c>
      <x:c r="G354" s="192" t="str">
        <x:v>Not Started</x:v>
      </x:c>
      <x:c r="H354" s="192" t="n">
        <x:v>0</x:v>
      </x:c>
    </x:row>
    <x:row r="355" ht="56" customHeight="1">
      <x:c r="A355" s="192" t="str">
        <x:v>deposit</x:v>
      </x:c>
      <x:c r="B355" s="192" t="str">
        <x:v>v.</x:v>
      </x:c>
      <x:c r="C355" s="194" t="str">
        <x:v>депозит</x:v>
      </x:c>
      <x:c r="D355" s="195" t="str">
        <x:v>Покласти гроші або кошти на рахунок.</x:v>
      </x:c>
      <x:c r="E355" s="192" t="str">
        <x:v>Oxford C1</x:v>
      </x:c>
      <x:c r="F355" s="192" t="str">
        <x:v>Core</x:v>
      </x:c>
      <x:c r="G355" s="192" t="str">
        <x:v>Not Started</x:v>
      </x:c>
      <x:c r="H355" s="192" t="n">
        <x:v>0</x:v>
      </x:c>
    </x:row>
    <x:row r="356" ht="56" customHeight="1">
      <x:c r="A356" s="192" t="str">
        <x:v>deprive</x:v>
      </x:c>
      <x:c r="B356" s="192" t="str">
        <x:v>v.</x:v>
      </x:c>
      <x:c r="C356" s="194" t="str">
        <x:v>позбавляти</x:v>
      </x:c>
      <x:c r="D356" s="195" t="str">
        <x:v>Вживається з «від», щоб забрати щось у (когось) і тримати подалі; відмовляти комусь у чомусь.</x:v>
      </x:c>
      <x:c r="E356" s="192" t="str">
        <x:v>Oxford C1</x:v>
      </x:c>
      <x:c r="F356" s="192" t="str">
        <x:v>Core</x:v>
      </x:c>
      <x:c r="G356" s="192" t="str">
        <x:v>Not Started</x:v>
      </x:c>
      <x:c r="H356" s="192" t="n">
        <x:v>0</x:v>
      </x:c>
    </x:row>
    <x:row r="357" ht="56" customHeight="1">
      <x:c r="A357" s="192" t="str">
        <x:v>deputy</x:v>
      </x:c>
      <x:c r="B357" s="192" t="str">
        <x:v>n.</x:v>
      </x:c>
      <x:c r="C357" s="194" t="str">
        <x:v>заступник</x:v>
      </x:c>
      <x:c r="D357" s="195" t="str">
        <x:v>Той, кого призначають на заміну інших і мають право діяти за них від їхнього імені або від їхнього імені; заступник на посаді.</x:v>
      </x:c>
      <x:c r="E357" s="192" t="str">
        <x:v>Oxford C1</x:v>
      </x:c>
      <x:c r="F357" s="192" t="str">
        <x:v>Core</x:v>
      </x:c>
      <x:c r="G357" s="192" t="str">
        <x:v>Not Started</x:v>
      </x:c>
      <x:c r="H357" s="192" t="n">
        <x:v>0</x:v>
      </x:c>
    </x:row>
    <x:row r="358" ht="56" customHeight="1">
      <x:c r="A358" s="192" t="str">
        <x:v>descend</x:v>
      </x:c>
      <x:c r="B358" s="192" t="str">
        <x:v>v.</x:v>
      </x:c>
      <x:c r="C358" s="194" t="str">
        <x:v>спускатися</x:v>
      </x:c>
      <x:c r="D358" s="195" t="str">
        <x:v>Відчуття, пов'язані з переміщенням з вищого положення на нижче.</x:v>
      </x:c>
      <x:c r="E358" s="192" t="str">
        <x:v>Oxford C1</x:v>
      </x:c>
      <x:c r="F358" s="192" t="str">
        <x:v>Core</x:v>
      </x:c>
      <x:c r="G358" s="192" t="str">
        <x:v>Not Started</x:v>
      </x:c>
      <x:c r="H358" s="192" t="n">
        <x:v>0</x:v>
      </x:c>
    </x:row>
    <x:row r="359" ht="56" customHeight="1">
      <x:c r="A359" s="192" t="str">
        <x:v>descent</x:v>
      </x:c>
      <x:c r="B359" s="192" t="str">
        <x:v>n.</x:v>
      </x:c>
      <x:c r="C359" s="194" t="str">
        <x:v>спуск</x:v>
      </x:c>
      <x:c r="D359" s="195" t="str">
        <x:v>Екземпляр спускання; акт спуску.</x:v>
      </x:c>
      <x:c r="E359" s="192" t="str">
        <x:v>Oxford C1</x:v>
      </x:c>
      <x:c r="F359" s="192" t="str">
        <x:v>Core</x:v>
      </x:c>
      <x:c r="G359" s="192" t="str">
        <x:v>Not Started</x:v>
      </x:c>
      <x:c r="H359" s="192" t="n">
        <x:v>0</x:v>
      </x:c>
    </x:row>
    <x:row r="360" ht="56" customHeight="1">
      <x:c r="A360" s="192" t="str">
        <x:v>designate</x:v>
      </x:c>
      <x:c r="B360" s="192" t="str">
        <x:v>v.</x:v>
      </x:c>
      <x:c r="C360" s="194" t="str">
        <x:v>позначити</x:v>
      </x:c>
      <x:c r="D360" s="195" t="str">
        <x:v>Визначити і зробити відомим; вказувати; вказувати; показувати; розрізняти за ознаками або описом</x:v>
      </x:c>
      <x:c r="E360" s="192" t="str">
        <x:v>Oxford C1</x:v>
      </x:c>
      <x:c r="F360" s="192" t="str">
        <x:v>Core</x:v>
      </x:c>
      <x:c r="G360" s="192" t="str">
        <x:v>Not Started</x:v>
      </x:c>
      <x:c r="H360" s="192" t="n">
        <x:v>0</x:v>
      </x:c>
    </x:row>
    <x:row r="361" ht="56" customHeight="1">
      <x:c r="A361" s="192" t="str">
        <x:v>desirable</x:v>
      </x:c>
      <x:c r="B361" s="192" t="str">
        <x:v>adj.</x:v>
      </x:c>
      <x:c r="C361" s="194" t="str">
        <x:v>бажаний</x:v>
      </x:c>
      <x:c r="D361" s="195" t="str">
        <x:v>Вартий того, щоб бути бажаним; приємний; приємний.</x:v>
      </x:c>
      <x:c r="E361" s="192" t="str">
        <x:v>Oxford C1</x:v>
      </x:c>
      <x:c r="F361" s="192" t="str">
        <x:v>Core</x:v>
      </x:c>
      <x:c r="G361" s="192" t="str">
        <x:v>Not Started</x:v>
      </x:c>
      <x:c r="H361" s="192" t="n">
        <x:v>0</x:v>
      </x:c>
    </x:row>
    <x:row r="362" ht="56" customHeight="1">
      <x:c r="A362" s="192" t="str">
        <x:v>desktop</x:v>
      </x:c>
      <x:c r="B362" s="192" t="str">
        <x:v>n.</x:v>
      </x:c>
      <x:c r="C362" s="194" t="str">
        <x:v>робочий стіл</x:v>
      </x:c>
      <x:c r="D362" s="195" t="str">
        <x:v>Основний графічний інтерфейс користувача операційної системи, зазвичай відображає значки, вікна та фонові шпалери.</x:v>
      </x:c>
      <x:c r="E362" s="192" t="str">
        <x:v>Oxford C1</x:v>
      </x:c>
      <x:c r="F362" s="192" t="str">
        <x:v>High</x:v>
      </x:c>
      <x:c r="G362" s="192" t="str">
        <x:v>Not Started</x:v>
      </x:c>
      <x:c r="H362" s="192" t="n">
        <x:v>0</x:v>
      </x:c>
    </x:row>
    <x:row r="363" ht="56" customHeight="1">
      <x:c r="A363" s="192" t="str">
        <x:v>destructive</x:v>
      </x:c>
      <x:c r="B363" s="192" t="str">
        <x:v>adj.</x:v>
      </x:c>
      <x:c r="C363" s="194" t="str">
        <x:v>руйнівний</x:v>
      </x:c>
      <x:c r="D363" s="195" t="str">
        <x:v>Заподіяння руйнування; завдає шкоди.</x:v>
      </x:c>
      <x:c r="E363" s="192" t="str">
        <x:v>Oxford C1</x:v>
      </x:c>
      <x:c r="F363" s="192" t="str">
        <x:v>Core</x:v>
      </x:c>
      <x:c r="G363" s="192" t="str">
        <x:v>Not Started</x:v>
      </x:c>
      <x:c r="H363" s="192" t="n">
        <x:v>0</x:v>
      </x:c>
    </x:row>
    <x:row r="364" ht="56" customHeight="1">
      <x:c r="A364" s="192" t="str">
        <x:v>detain</x:v>
      </x:c>
      <x:c r="B364" s="192" t="str">
        <x:v>v.</x:v>
      </x:c>
      <x:c r="C364" s="194" t="str">
        <x:v>затримувати</x:v>
      </x:c>
      <x:c r="D364" s="195" t="str">
        <x:v>Перешкоджати комусь продовжити, стримуючи їх або висуваючи претензії на їх увагу.</x:v>
      </x:c>
      <x:c r="E364" s="192" t="str">
        <x:v>Oxford C1</x:v>
      </x:c>
      <x:c r="F364" s="192" t="str">
        <x:v>Core</x:v>
      </x:c>
      <x:c r="G364" s="192" t="str">
        <x:v>Not Started</x:v>
      </x:c>
      <x:c r="H364" s="192" t="n">
        <x:v>0</x:v>
      </x:c>
    </x:row>
    <x:row r="365" ht="56" customHeight="1">
      <x:c r="A365" s="192" t="str">
        <x:v>detection</x:v>
      </x:c>
      <x:c r="B365" s="192" t="str">
        <x:v>n.</x:v>
      </x:c>
      <x:c r="C365" s="194" t="str">
        <x:v>виявлення</x:v>
      </x:c>
      <x:c r="D365" s="195" t="str">
        <x:v>Дія або процес виявлення, розкриття або з'ясування, відкриття чогось нового, прихованого або замаскованого.</x:v>
      </x:c>
      <x:c r="E365" s="192" t="str">
        <x:v>Oxford C1</x:v>
      </x:c>
      <x:c r="F365" s="192" t="str">
        <x:v>Core</x:v>
      </x:c>
      <x:c r="G365" s="192" t="str">
        <x:v>Not Started</x:v>
      </x:c>
      <x:c r="H365" s="192" t="n">
        <x:v>0</x:v>
      </x:c>
    </x:row>
    <x:row r="366" ht="56" customHeight="1">
      <x:c r="A366" s="192" t="str">
        <x:v>detention</x:v>
      </x:c>
      <x:c r="B366" s="192" t="str">
        <x:v>n.</x:v>
      </x:c>
      <x:c r="C366" s="194" t="str">
        <x:v>затримання</x:v>
      </x:c>
      <x:c r="D366" s="195" t="str">
        <x:v>Тимчасове тримання під вартою або арешт.</x:v>
      </x:c>
      <x:c r="E366" s="192" t="str">
        <x:v>Oxford C1</x:v>
      </x:c>
      <x:c r="F366" s="192" t="str">
        <x:v>Core</x:v>
      </x:c>
      <x:c r="G366" s="192" t="str">
        <x:v>Not Started</x:v>
      </x:c>
      <x:c r="H366" s="192" t="n">
        <x:v>0</x:v>
      </x:c>
    </x:row>
    <x:row r="367" ht="56" customHeight="1">
      <x:c r="A367" s="192" t="str">
        <x:v>deteriorate</x:v>
      </x:c>
      <x:c r="B367" s="192" t="str">
        <x:v>v.</x:v>
      </x:c>
      <x:c r="C367" s="194" t="str">
        <x:v>погіршуватися</x:v>
      </x:c>
      <x:c r="D367" s="195" t="str">
        <x:v>Гірше рости; мати погіршення якості; вироджуватися.</x:v>
      </x:c>
      <x:c r="E367" s="192" t="str">
        <x:v>Oxford C1</x:v>
      </x:c>
      <x:c r="F367" s="192" t="str">
        <x:v>Core</x:v>
      </x:c>
      <x:c r="G367" s="192" t="str">
        <x:v>Not Started</x:v>
      </x:c>
      <x:c r="H367" s="192" t="n">
        <x:v>0</x:v>
      </x:c>
    </x:row>
    <x:row r="368" ht="56" customHeight="1">
      <x:c r="A368" s="192" t="str">
        <x:v>devastate</x:v>
      </x:c>
      <x:c r="B368" s="192" t="str">
        <x:v>v.</x:v>
      </x:c>
      <x:c r="C368" s="194" t="str">
        <x:v>спустошувати</x:v>
      </x:c>
      <x:c r="D368" s="195" t="str">
        <x:v>Знищити багато або всі речі на великій території, такі як більшість або всі будівлі міста, або міста регіону, або дерева в лісі.</x:v>
      </x:c>
      <x:c r="E368" s="192" t="str">
        <x:v>Oxford C1</x:v>
      </x:c>
      <x:c r="F368" s="192" t="str">
        <x:v>Core</x:v>
      </x:c>
      <x:c r="G368" s="192" t="str">
        <x:v>Not Started</x:v>
      </x:c>
      <x:c r="H368" s="192" t="n">
        <x:v>0</x:v>
      </x:c>
    </x:row>
    <x:row r="369" ht="56" customHeight="1">
      <x:c r="A369" s="192" t="str">
        <x:v>devil</x:v>
      </x:c>
      <x:c r="B369" s="192" t="str">
        <x:v>n.</x:v>
      </x:c>
      <x:c r="C369" s="194" t="str">
        <x:v>диявол</x:v>
      </x:c>
      <x:c r="D369" s="195" t="str">
        <x:v>Головний диявол; Сатана.</x:v>
      </x:c>
      <x:c r="E369" s="192" t="str">
        <x:v>Oxford C1</x:v>
      </x:c>
      <x:c r="F369" s="192" t="str">
        <x:v>Core</x:v>
      </x:c>
      <x:c r="G369" s="192" t="str">
        <x:v>Not Started</x:v>
      </x:c>
      <x:c r="H369" s="192" t="n">
        <x:v>0</x:v>
      </x:c>
    </x:row>
    <x:row r="370" ht="56" customHeight="1">
      <x:c r="A370" s="192" t="str">
        <x:v>devise</x:v>
      </x:c>
      <x:c r="B370" s="192" t="str">
        <x:v>v.</x:v>
      </x:c>
      <x:c r="C370" s="194" t="str">
        <x:v>придумати</x:v>
      </x:c>
      <x:c r="D370" s="195" t="str">
        <x:v>Використовувати свій інтелект для планування або проектування (щось).</x:v>
      </x:c>
      <x:c r="E370" s="192" t="str">
        <x:v>Oxford C1</x:v>
      </x:c>
      <x:c r="F370" s="192" t="str">
        <x:v>Core</x:v>
      </x:c>
      <x:c r="G370" s="192" t="str">
        <x:v>Not Started</x:v>
      </x:c>
      <x:c r="H370" s="192" t="n">
        <x:v>0</x:v>
      </x:c>
    </x:row>
    <x:row r="371" ht="56" customHeight="1">
      <x:c r="A371" s="192" t="str">
        <x:v>diagnose</x:v>
      </x:c>
      <x:c r="B371" s="192" t="str">
        <x:v>v.</x:v>
      </x:c>
      <x:c r="C371" s="194" t="str">
        <x:v>діагностувати</x:v>
      </x:c>
      <x:c r="D371" s="195" t="str">
        <x:v>Визначити, яка хвороба викликає ознаки та симптоми хворої людини; знайти діагноз.</x:v>
      </x:c>
      <x:c r="E371" s="192" t="str">
        <x:v>Oxford C1</x:v>
      </x:c>
      <x:c r="F371" s="192" t="str">
        <x:v>High</x:v>
      </x:c>
      <x:c r="G371" s="192" t="str">
        <x:v>Not Started</x:v>
      </x:c>
      <x:c r="H371" s="192" t="n">
        <x:v>0</x:v>
      </x:c>
    </x:row>
    <x:row r="372" ht="56" customHeight="1">
      <x:c r="A372" s="192" t="str">
        <x:v>diagnosis</x:v>
      </x:c>
      <x:c r="B372" s="192" t="str">
        <x:v>n.</x:v>
      </x:c>
      <x:c r="C372" s="194" t="str">
        <x:v>діагноз</x:v>
      </x:c>
      <x:c r="D372" s="195" t="str">
        <x:v>Процес або випадок ідентифікації природи та причини медичного стану чи хвороби.</x:v>
      </x:c>
      <x:c r="E372" s="192" t="str">
        <x:v>Oxford C1</x:v>
      </x:c>
      <x:c r="F372" s="192" t="str">
        <x:v>High</x:v>
      </x:c>
      <x:c r="G372" s="192" t="str">
        <x:v>Not Started</x:v>
      </x:c>
      <x:c r="H372" s="192" t="n">
        <x:v>0</x:v>
      </x:c>
    </x:row>
    <x:row r="373" ht="56" customHeight="1">
      <x:c r="A373" s="192" t="str">
        <x:v>dictate</x:v>
      </x:c>
      <x:c r="B373" s="192" t="str">
        <x:v>v.</x:v>
      </x:c>
      <x:c r="C373" s="194" t="str">
        <x:v>диктувати</x:v>
      </x:c>
      <x:c r="D373" s="195" t="str">
        <x:v>Говорити, щоб хтось записав слова.</x:v>
      </x:c>
      <x:c r="E373" s="192" t="str">
        <x:v>Oxford C1</x:v>
      </x:c>
      <x:c r="F373" s="192" t="str">
        <x:v>Core</x:v>
      </x:c>
      <x:c r="G373" s="192" t="str">
        <x:v>Not Started</x:v>
      </x:c>
      <x:c r="H373" s="192" t="n">
        <x:v>0</x:v>
      </x:c>
    </x:row>
    <x:row r="374" ht="56" customHeight="1">
      <x:c r="A374" s="192" t="str">
        <x:v>dictator</x:v>
      </x:c>
      <x:c r="B374" s="192" t="str">
        <x:v>n.</x:v>
      </x:c>
      <x:c r="C374" s="194" t="str">
        <x:v>диктатор</x:v>
      </x:c>
      <x:c r="D374" s="195" t="str">
        <x:v>Тоталітарний лідер країни, нації чи уряду.</x:v>
      </x:c>
      <x:c r="E374" s="192" t="str">
        <x:v>Oxford C1</x:v>
      </x:c>
      <x:c r="F374" s="192" t="str">
        <x:v>Core</x:v>
      </x:c>
      <x:c r="G374" s="192" t="str">
        <x:v>Not Started</x:v>
      </x:c>
      <x:c r="H374" s="192" t="n">
        <x:v>0</x:v>
      </x:c>
    </x:row>
    <x:row r="375" ht="56" customHeight="1">
      <x:c r="A375" s="192" t="str">
        <x:v>differentiate</x:v>
      </x:c>
      <x:c r="B375" s="192" t="str">
        <x:v>v.</x:v>
      </x:c>
      <x:c r="C375" s="194" t="str">
        <x:v>диференціювати</x:v>
      </x:c>
      <x:c r="D375" s="195" t="str">
        <x:v>Показувати або бути різницею чи відмінністю між речами.</x:v>
      </x:c>
      <x:c r="E375" s="192" t="str">
        <x:v>Oxford C1</x:v>
      </x:c>
      <x:c r="F375" s="192" t="str">
        <x:v>Core</x:v>
      </x:c>
      <x:c r="G375" s="192" t="str">
        <x:v>Not Started</x:v>
      </x:c>
      <x:c r="H375" s="192" t="n">
        <x:v>0</x:v>
      </x:c>
    </x:row>
    <x:row r="376" ht="56" customHeight="1">
      <x:c r="A376" s="192" t="str">
        <x:v>dignity</x:v>
      </x:c>
      <x:c r="B376" s="192" t="str">
        <x:v>n.</x:v>
      </x:c>
      <x:c r="C376" s="194" t="str">
        <x:v>гідність</x:v>
      </x:c>
      <x:c r="D376" s="195" t="str">
        <x:v>Стан гідності чи гідності поваги: ​​підвищення розуму чи характеру.</x:v>
      </x:c>
      <x:c r="E376" s="192" t="str">
        <x:v>Oxford C1</x:v>
      </x:c>
      <x:c r="F376" s="192" t="str">
        <x:v>Core</x:v>
      </x:c>
      <x:c r="G376" s="192" t="str">
        <x:v>Not Started</x:v>
      </x:c>
      <x:c r="H376" s="192" t="n">
        <x:v>0</x:v>
      </x:c>
    </x:row>
    <x:row r="377" ht="56" customHeight="1">
      <x:c r="A377" s="192" t="str">
        <x:v>dilemma</x:v>
      </x:c>
      <x:c r="B377" s="192" t="str">
        <x:v>n.</x:v>
      </x:c>
      <x:c r="C377" s="194" t="str">
        <x:v>дилема</x:v>
      </x:c>
      <x:c r="D377" s="195" t="str">
        <x:v>Обставина, за якої необхідно зробити вибір між двома чи більше альтернативами, які здаються однаково небажаними.</x:v>
      </x:c>
      <x:c r="E377" s="192" t="str">
        <x:v>Oxford C1</x:v>
      </x:c>
      <x:c r="F377" s="192" t="str">
        <x:v>Core</x:v>
      </x:c>
      <x:c r="G377" s="192" t="str">
        <x:v>Not Started</x:v>
      </x:c>
      <x:c r="H377" s="192" t="n">
        <x:v>0</x:v>
      </x:c>
    </x:row>
    <x:row r="378" ht="56" customHeight="1">
      <x:c r="A378" s="192" t="str">
        <x:v>dimension</x:v>
      </x:c>
      <x:c r="B378" s="192" t="str">
        <x:v>n.</x:v>
      </x:c>
      <x:c r="C378" s="194" t="str">
        <x:v>розмір</x:v>
      </x:c>
      <x:c r="D378" s="195" t="str">
        <x:v>Міра просторового протяжності в певному напрямку, наприклад висота, ширина або ширина або глибина.</x:v>
      </x:c>
      <x:c r="E378" s="192" t="str">
        <x:v>Oxford C1</x:v>
      </x:c>
      <x:c r="F378" s="192" t="str">
        <x:v>Core</x:v>
      </x:c>
      <x:c r="G378" s="192" t="str">
        <x:v>Not Started</x:v>
      </x:c>
      <x:c r="H378" s="192" t="n">
        <x:v>0</x:v>
      </x:c>
    </x:row>
    <x:row r="379" ht="56" customHeight="1">
      <x:c r="A379" s="192" t="str">
        <x:v>diminish</x:v>
      </x:c>
      <x:c r="B379" s="192" t="str">
        <x:v>v.</x:v>
      </x:c>
      <x:c r="C379" s="194" t="str">
        <x:v>зменшувати</x:v>
      </x:c>
      <x:c r="D379" s="195" t="str">
        <x:v>Зробити меншим.</x:v>
      </x:c>
      <x:c r="E379" s="192" t="str">
        <x:v>Oxford C1</x:v>
      </x:c>
      <x:c r="F379" s="192" t="str">
        <x:v>Core</x:v>
      </x:c>
      <x:c r="G379" s="192" t="str">
        <x:v>Not Started</x:v>
      </x:c>
      <x:c r="H379" s="192" t="n">
        <x:v>0</x:v>
      </x:c>
    </x:row>
    <x:row r="380" ht="56" customHeight="1">
      <x:c r="A380" s="192" t="str">
        <x:v>dip</x:v>
      </x:c>
      <x:c r="B380" s="192" t="str">
        <x:v>v.</x:v>
      </x:c>
      <x:c r="C380" s="194" t="str">
        <x:v>занурювати; опускатися</x:v>
      </x:c>
      <x:c r="D380" s="195" t="str">
        <x:v>Опустити в рідину.</x:v>
      </x:c>
      <x:c r="E380" s="192" t="str">
        <x:v>Oxford C1</x:v>
      </x:c>
      <x:c r="F380" s="192" t="str">
        <x:v>Core</x:v>
      </x:c>
      <x:c r="G380" s="192" t="str">
        <x:v>Not Started</x:v>
      </x:c>
      <x:c r="H380" s="192" t="n">
        <x:v>0</x:v>
      </x:c>
    </x:row>
    <x:row r="381" ht="56" customHeight="1">
      <x:c r="A381" s="192" t="str">
        <x:v>diplomat</x:v>
      </x:c>
      <x:c r="B381" s="192" t="str">
        <x:v>n.</x:v>
      </x:c>
      <x:c r="C381" s="194" t="str">
        <x:v>дипломат</x:v>
      </x:c>
      <x:c r="D381" s="195" t="str">
        <x:v>Особа, наприклад посол, яка офіційно акредитована представляти уряд у його відносинах з іншими урядами чи міжнародними організаціями</x:v>
      </x:c>
      <x:c r="E381" s="192" t="str">
        <x:v>Oxford C1</x:v>
      </x:c>
      <x:c r="F381" s="192" t="str">
        <x:v>Core</x:v>
      </x:c>
      <x:c r="G381" s="192" t="str">
        <x:v>Not Started</x:v>
      </x:c>
      <x:c r="H381" s="192" t="n">
        <x:v>0</x:v>
      </x:c>
    </x:row>
    <x:row r="382" ht="56" customHeight="1">
      <x:c r="A382" s="192" t="str">
        <x:v>diplomatic</x:v>
      </x:c>
      <x:c r="B382" s="192" t="str">
        <x:v>n.</x:v>
      </x:c>
      <x:c r="C382" s="194" t="str">
        <x:v>дипломатичний</x:v>
      </x:c>
      <x:c r="D382" s="195" t="str">
        <x:v>Наука про грамоти, або мистецтво розшифровувати стародавні письмена і визначати їх вік, справжність і т. ін.; палеографія.</x:v>
      </x:c>
      <x:c r="E382" s="192" t="str">
        <x:v>Oxford C1</x:v>
      </x:c>
      <x:c r="F382" s="192" t="str">
        <x:v>Core</x:v>
      </x:c>
      <x:c r="G382" s="192" t="str">
        <x:v>Not Started</x:v>
      </x:c>
      <x:c r="H382" s="192" t="n">
        <x:v>0</x:v>
      </x:c>
    </x:row>
    <x:row r="383" ht="56" customHeight="1">
      <x:c r="A383" s="192" t="str">
        <x:v>directory</x:v>
      </x:c>
      <x:c r="B383" s="192" t="str">
        <x:v>n.</x:v>
      </x:c>
      <x:c r="C383" s="194" t="str">
        <x:v>каталог</x:v>
      </x:c>
      <x:c r="D383" s="195" t="str">
        <x:v>Структурований список імен і характеристик файлів на пристрої зберігання.</x:v>
      </x:c>
      <x:c r="E383" s="192" t="str">
        <x:v>Oxford C1</x:v>
      </x:c>
      <x:c r="F383" s="192" t="str">
        <x:v>Core</x:v>
      </x:c>
      <x:c r="G383" s="192" t="str">
        <x:v>Not Started</x:v>
      </x:c>
      <x:c r="H383" s="192" t="n">
        <x:v>0</x:v>
      </x:c>
    </x:row>
    <x:row r="384" ht="56" customHeight="1">
      <x:c r="A384" s="192" t="str">
        <x:v>disastrous</x:v>
      </x:c>
      <x:c r="B384" s="192" t="str">
        <x:v>adj.</x:v>
      </x:c>
      <x:c r="C384" s="194" t="str">
        <x:v>катастрофічний</x:v>
      </x:c>
      <x:c r="D384" s="195" t="str">
        <x:v>Від характеру лиха; катастрофічний.</x:v>
      </x:c>
      <x:c r="E384" s="192" t="str">
        <x:v>Oxford C1</x:v>
      </x:c>
      <x:c r="F384" s="192" t="str">
        <x:v>Core</x:v>
      </x:c>
      <x:c r="G384" s="192" t="str">
        <x:v>Not Started</x:v>
      </x:c>
      <x:c r="H384" s="192" t="n">
        <x:v>0</x:v>
      </x:c>
    </x:row>
    <x:row r="385" ht="56" customHeight="1">
      <x:c r="A385" s="192" t="str">
        <x:v>discard</x:v>
      </x:c>
      <x:c r="B385" s="192" t="str">
        <x:v>v.</x:v>
      </x:c>
      <x:c r="C385" s="194" t="str">
        <x:v>відкинути</x:v>
      </x:c>
      <x:c r="D385" s="195" t="str">
        <x:v>Викинути, відкинути.</x:v>
      </x:c>
      <x:c r="E385" s="192" t="str">
        <x:v>Oxford C1</x:v>
      </x:c>
      <x:c r="F385" s="192" t="str">
        <x:v>Core</x:v>
      </x:c>
      <x:c r="G385" s="192" t="str">
        <x:v>Not Started</x:v>
      </x:c>
      <x:c r="H385" s="192" t="n">
        <x:v>0</x:v>
      </x:c>
    </x:row>
    <x:row r="386" ht="56" customHeight="1">
      <x:c r="A386" s="192" t="str">
        <x:v>discharge</x:v>
      </x:c>
      <x:c r="B386" s="192" t="str">
        <x:v>v.</x:v>
      </x:c>
      <x:c r="C386" s="194" t="str">
        <x:v>розрядка</x:v>
      </x:c>
      <x:c r="D386" s="195" t="str">
        <x:v>Звільнити від боргу, вимоги, зобов'язання, відповідальності, звинувачення тощо; звільняти; виправдовувати; прощати; очистити.</x:v>
      </x:c>
      <x:c r="E386" s="192" t="str">
        <x:v>Oxford C1</x:v>
      </x:c>
      <x:c r="F386" s="192" t="str">
        <x:v>Core</x:v>
      </x:c>
      <x:c r="G386" s="192" t="str">
        <x:v>Not Started</x:v>
      </x:c>
      <x:c r="H386" s="192" t="n">
        <x:v>0</x:v>
      </x:c>
    </x:row>
    <x:row r="387" ht="56" customHeight="1">
      <x:c r="A387" s="192" t="str">
        <x:v>disclose</x:v>
      </x:c>
      <x:c r="B387" s="192" t="str">
        <x:v>v.</x:v>
      </x:c>
      <x:c r="C387" s="194" t="str">
        <x:v>розкрити</x:v>
      </x:c>
      <x:c r="D387" s="195" t="str">
        <x:v>Довести до відома інших; зробити відомим; заявляти відкрито; розкрити (щось).</x:v>
      </x:c>
      <x:c r="E387" s="192" t="str">
        <x:v>Oxford C1</x:v>
      </x:c>
      <x:c r="F387" s="192" t="str">
        <x:v>Core</x:v>
      </x:c>
      <x:c r="G387" s="192" t="str">
        <x:v>Not Started</x:v>
      </x:c>
      <x:c r="H387" s="192" t="n">
        <x:v>0</x:v>
      </x:c>
    </x:row>
    <x:row r="388" ht="56" customHeight="1">
      <x:c r="A388" s="192" t="str">
        <x:v>disclosure</x:v>
      </x:c>
      <x:c r="B388" s="192" t="str">
        <x:v>n.</x:v>
      </x:c>
      <x:c r="C388" s="194" t="str">
        <x:v>розкриття</x:v>
      </x:c>
      <x:c r="D388" s="195" t="str">
        <x:v>Акт розкриття чогось.</x:v>
      </x:c>
      <x:c r="E388" s="192" t="str">
        <x:v>Oxford C1</x:v>
      </x:c>
      <x:c r="F388" s="192" t="str">
        <x:v>Core</x:v>
      </x:c>
      <x:c r="G388" s="192" t="str">
        <x:v>Not Started</x:v>
      </x:c>
      <x:c r="H388" s="192" t="n">
        <x:v>0</x:v>
      </x:c>
    </x:row>
    <x:row r="389" ht="56" customHeight="1">
      <x:c r="A389" s="192" t="str">
        <x:v>discourse</x:v>
      </x:c>
      <x:c r="B389" s="192" t="str">
        <x:v>n.</x:v>
      </x:c>
      <x:c r="C389" s="194" t="str">
        <x:v>дискурс</x:v>
      </x:c>
      <x:c r="D389" s="195" t="str">
        <x:v>Вираження словами, усним або письмовим.</x:v>
      </x:c>
      <x:c r="E389" s="192" t="str">
        <x:v>Oxford C1</x:v>
      </x:c>
      <x:c r="F389" s="192" t="str">
        <x:v>Core</x:v>
      </x:c>
      <x:c r="G389" s="192" t="str">
        <x:v>Not Started</x:v>
      </x:c>
      <x:c r="H389" s="192" t="n">
        <x:v>0</x:v>
      </x:c>
    </x:row>
    <x:row r="390" ht="56" customHeight="1">
      <x:c r="A390" s="192" t="str">
        <x:v>discretion</x:v>
      </x:c>
      <x:c r="B390" s="192" t="str">
        <x:v>n.</x:v>
      </x:c>
      <x:c r="C390" s="194" t="str">
        <x:v>розсуд</x:v>
      </x:c>
      <x:c r="D390" s="195" t="str">
        <x:v>Здатність робити мудрий вибір або приймати рішення.</x:v>
      </x:c>
      <x:c r="E390" s="192" t="str">
        <x:v>Oxford C1 + AWL 5</x:v>
      </x:c>
      <x:c r="F390" s="192" t="str">
        <x:v>High</x:v>
      </x:c>
      <x:c r="G390" s="192" t="str">
        <x:v>Not Started</x:v>
      </x:c>
      <x:c r="H390" s="192" t="n">
        <x:v>0</x:v>
      </x:c>
    </x:row>
    <x:row r="391" ht="56" customHeight="1">
      <x:c r="A391" s="192" t="str">
        <x:v>discrimination</x:v>
      </x:c>
      <x:c r="B391" s="192" t="str">
        <x:v>n.</x:v>
      </x:c>
      <x:c r="C391" s="194" t="str">
        <x:v>дискримінація</x:v>
      </x:c>
      <x:c r="D391" s="195" t="str">
        <x:v>Диференційоване ставлення до окремої особи чи групи в невигідну для них сторону; ставлення або увага на основі класу чи категорії, а не індивідуальних заслуг; упередженість; упередження; фанатизм.</x:v>
      </x:c>
      <x:c r="E391" s="192" t="str">
        <x:v>Oxford C1 + AWL 6</x:v>
      </x:c>
      <x:c r="F391" s="192" t="str">
        <x:v>High</x:v>
      </x:c>
      <x:c r="G391" s="192" t="str">
        <x:v>Not Started</x:v>
      </x:c>
      <x:c r="H391" s="192" t="n">
        <x:v>0</x:v>
      </x:c>
    </x:row>
    <x:row r="392" ht="56" customHeight="1">
      <x:c r="A392" s="192" t="str">
        <x:v>dismissal</x:v>
      </x:c>
      <x:c r="B392" s="192" t="str">
        <x:v>n.</x:v>
      </x:c>
      <x:c r="C392" s="194" t="str">
        <x:v>звільнення</x:v>
      </x:c>
      <x:c r="D392" s="195" t="str">
        <x:v>Позбавлення посади; факт або процес звільнення з роботи або позбавлення звання.</x:v>
      </x:c>
      <x:c r="E392" s="192" t="str">
        <x:v>Oxford C1</x:v>
      </x:c>
      <x:c r="F392" s="192" t="str">
        <x:v>Core</x:v>
      </x:c>
      <x:c r="G392" s="192" t="str">
        <x:v>Not Started</x:v>
      </x:c>
      <x:c r="H392" s="192" t="n">
        <x:v>0</x:v>
      </x:c>
    </x:row>
    <x:row r="393" ht="56" customHeight="1">
      <x:c r="A393" s="192" t="str">
        <x:v>displace</x:v>
      </x:c>
      <x:c r="B393" s="192" t="str">
        <x:v>v.</x:v>
      </x:c>
      <x:c r="C393" s="194" t="str">
        <x:v>витісняти</x:v>
      </x:c>
      <x:c r="D393" s="195" t="str">
        <x:v>Переселити щось, когось, особливо примусово переселити людей з батьківщини.</x:v>
      </x:c>
      <x:c r="E393" s="192" t="str">
        <x:v>Oxford C1</x:v>
      </x:c>
      <x:c r="F393" s="192" t="str">
        <x:v>Core</x:v>
      </x:c>
      <x:c r="G393" s="192" t="str">
        <x:v>Not Started</x:v>
      </x:c>
      <x:c r="H393" s="192" t="n">
        <x:v>0</x:v>
      </x:c>
    </x:row>
    <x:row r="394" ht="56" customHeight="1">
      <x:c r="A394" s="192" t="str">
        <x:v>disposal</x:v>
      </x:c>
      <x:c r="B394" s="192" t="str">
        <x:v>n.</x:v>
      </x:c>
      <x:c r="C394" s="194" t="str">
        <x:v>утилізація</x:v>
      </x:c>
      <x:c r="D394" s="195" t="str">
        <x:v>Утилізація або позбавлення від чогось.</x:v>
      </x:c>
      <x:c r="E394" s="192" t="str">
        <x:v>Oxford C1 + AWL 7</x:v>
      </x:c>
      <x:c r="F394" s="192" t="str">
        <x:v>High</x:v>
      </x:c>
      <x:c r="G394" s="192" t="str">
        <x:v>Not Started</x:v>
      </x:c>
      <x:c r="H394" s="192" t="n">
        <x:v>0</x:v>
      </x:c>
    </x:row>
    <x:row r="395" ht="56" customHeight="1">
      <x:c r="A395" s="192" t="str">
        <x:v>dispose</x:v>
      </x:c>
      <x:c r="B395" s="192" t="str">
        <x:v>v.</x:v>
      </x:c>
      <x:c r="C395" s="194" t="str">
        <x:v>розпоряджатися</x:v>
      </x:c>
      <x:c r="D395" s="195" t="str">
        <x:v>Усунути або позбутися чогось.</x:v>
      </x:c>
      <x:c r="E395" s="192" t="str">
        <x:v>Oxford C1</x:v>
      </x:c>
      <x:c r="F395" s="192" t="str">
        <x:v>Core</x:v>
      </x:c>
      <x:c r="G395" s="192" t="str">
        <x:v>Not Started</x:v>
      </x:c>
      <x:c r="H395" s="192" t="n">
        <x:v>0</x:v>
      </x:c>
    </x:row>
    <x:row r="396" ht="56" customHeight="1">
      <x:c r="A396" s="192" t="str">
        <x:v>dispute</x:v>
      </x:c>
      <x:c r="B396" s="192" t="str">
        <x:v>n., v.</x:v>
      </x:c>
      <x:c r="C396" s="194" t="str">
        <x:v>суперечка</x:v>
      </x:c>
      <x:c r="D396" s="195" t="str">
        <x:v>сперечатися в суперечці; сперечатися проти чогось, що підтримується, підтримується або стверджується іншим.</x:v>
      </x:c>
      <x:c r="E396" s="192" t="str">
        <x:v>Oxford C1</x:v>
      </x:c>
      <x:c r="F396" s="192" t="str">
        <x:v>Core</x:v>
      </x:c>
      <x:c r="G396" s="192" t="str">
        <x:v>Not Started</x:v>
      </x:c>
      <x:c r="H396" s="192" t="n">
        <x:v>0</x:v>
      </x:c>
    </x:row>
    <x:row r="397" ht="56" customHeight="1">
      <x:c r="A397" s="192" t="str">
        <x:v>disrupt</x:v>
      </x:c>
      <x:c r="B397" s="192" t="str">
        <x:v>v.</x:v>
      </x:c>
      <x:c r="C397" s="194" t="str">
        <x:v>порушувати</x:v>
      </x:c>
      <x:c r="D397" s="195" t="str">
        <x:v>Ввести в замішання або безлад.</x:v>
      </x:c>
      <x:c r="E397" s="192" t="str">
        <x:v>Oxford C1</x:v>
      </x:c>
      <x:c r="F397" s="192" t="str">
        <x:v>Core</x:v>
      </x:c>
      <x:c r="G397" s="192" t="str">
        <x:v>Not Started</x:v>
      </x:c>
      <x:c r="H397" s="192" t="n">
        <x:v>0</x:v>
      </x:c>
    </x:row>
    <x:row r="398" ht="56" customHeight="1">
      <x:c r="A398" s="192" t="str">
        <x:v>disruption</x:v>
      </x:c>
      <x:c r="B398" s="192" t="str">
        <x:v>n.</x:v>
      </x:c>
      <x:c r="C398" s="194" t="str">
        <x:v>порушення</x:v>
      </x:c>
      <x:c r="D398" s="195" t="str">
        <x:v>Переривання регулярного потоку або послідовності чогось.</x:v>
      </x:c>
      <x:c r="E398" s="192" t="str">
        <x:v>Oxford C1</x:v>
      </x:c>
      <x:c r="F398" s="192" t="str">
        <x:v>Core</x:v>
      </x:c>
      <x:c r="G398" s="192" t="str">
        <x:v>Not Started</x:v>
      </x:c>
      <x:c r="H398" s="192" t="n">
        <x:v>0</x:v>
      </x:c>
    </x:row>
    <x:row r="399" ht="56" customHeight="1">
      <x:c r="A399" s="192" t="str">
        <x:v>dissolve</x:v>
      </x:c>
      <x:c r="B399" s="192" t="str">
        <x:v>v.</x:v>
      </x:c>
      <x:c r="C399" s="194" t="str">
        <x:v>розчинити</x:v>
      </x:c>
      <x:c r="D399" s="195" t="str">
        <x:v>Для зрідження, розплавлення в рідину.</x:v>
      </x:c>
      <x:c r="E399" s="192" t="str">
        <x:v>Oxford C1</x:v>
      </x:c>
      <x:c r="F399" s="192" t="str">
        <x:v>Core</x:v>
      </x:c>
      <x:c r="G399" s="192" t="str">
        <x:v>Not Started</x:v>
      </x:c>
      <x:c r="H399" s="192" t="n">
        <x:v>0</x:v>
      </x:c>
    </x:row>
    <x:row r="400" ht="56" customHeight="1">
      <x:c r="A400" s="192" t="str">
        <x:v>distinction</x:v>
      </x:c>
      <x:c r="B400" s="192" t="str">
        <x:v>n.</x:v>
      </x:c>
      <x:c r="C400" s="194" t="str">
        <x:v>відзнака</x:v>
      </x:c>
      <x:c r="D400" s="195" t="str">
        <x:v>Особливість, завдяки якій хтось або щось виділяється як краще; знак пошани, чину, видатності чи переваги; якість бути відзначеним.</x:v>
      </x:c>
      <x:c r="E400" s="192" t="str">
        <x:v>Oxford C1 + AWL 2</x:v>
      </x:c>
      <x:c r="F400" s="192" t="str">
        <x:v>High</x:v>
      </x:c>
      <x:c r="G400" s="192" t="str">
        <x:v>Not Started</x:v>
      </x:c>
      <x:c r="H400" s="192" t="n">
        <x:v>0</x:v>
      </x:c>
    </x:row>
    <x:row r="401" ht="56" customHeight="1">
      <x:c r="A401" s="192" t="str">
        <x:v>distinctive</x:v>
      </x:c>
      <x:c r="B401" s="192" t="str">
        <x:v>adj.</x:v>
      </x:c>
      <x:c r="C401" s="194" t="str">
        <x:v>відмітний</x:v>
      </x:c>
      <x:c r="D401" s="195" t="str">
        <x:v>Розрізняючи, звикаючи або дозволяючи розрізняти щось.</x:v>
      </x:c>
      <x:c r="E401" s="192" t="str">
        <x:v>Oxford C1</x:v>
      </x:c>
      <x:c r="F401" s="192" t="str">
        <x:v>Core</x:v>
      </x:c>
      <x:c r="G401" s="192" t="str">
        <x:v>Not Started</x:v>
      </x:c>
      <x:c r="H401" s="192" t="n">
        <x:v>0</x:v>
      </x:c>
    </x:row>
    <x:row r="402" ht="56" customHeight="1">
      <x:c r="A402" s="192" t="str">
        <x:v>distort</x:v>
      </x:c>
      <x:c r="B402" s="192" t="str">
        <x:v>v.</x:v>
      </x:c>
      <x:c r="C402" s="194" t="str">
        <x:v>спотворювати</x:v>
      </x:c>
      <x:c r="D402" s="195" t="str">
        <x:v>Надавати неправдиву або оманливу інформацію про; збоченець.</x:v>
      </x:c>
      <x:c r="E402" s="192" t="str">
        <x:v>Oxford C1 + AWL 9</x:v>
      </x:c>
      <x:c r="F402" s="192" t="str">
        <x:v>High</x:v>
      </x:c>
      <x:c r="G402" s="192" t="str">
        <x:v>Not Started</x:v>
      </x:c>
      <x:c r="H402" s="192" t="n">
        <x:v>0</x:v>
      </x:c>
    </x:row>
    <x:row r="403" ht="56" customHeight="1">
      <x:c r="A403" s="192" t="str">
        <x:v>distress</x:v>
      </x:c>
      <x:c r="B403" s="192" t="str">
        <x:v>n., v.</x:v>
      </x:c>
      <x:c r="C403" s="194" t="str">
        <x:v>лихо</x:v>
      </x:c>
      <x:c r="D403" s="195" t="str">
        <x:v>Викликати напругу чи занепокоєння когось.</x:v>
      </x:c>
      <x:c r="E403" s="192" t="str">
        <x:v>Oxford C1</x:v>
      </x:c>
      <x:c r="F403" s="192" t="str">
        <x:v>Core</x:v>
      </x:c>
      <x:c r="G403" s="192" t="str">
        <x:v>Not Started</x:v>
      </x:c>
      <x:c r="H403" s="192" t="n">
        <x:v>0</x:v>
      </x:c>
    </x:row>
    <x:row r="404" ht="56" customHeight="1">
      <x:c r="A404" s="192" t="str">
        <x:v>disturbing</x:v>
      </x:c>
      <x:c r="B404" s="192" t="str">
        <x:v>adj.</x:v>
      </x:c>
      <x:c r="C404" s="194" t="str">
        <x:v>тривожний</x:v>
      </x:c>
      <x:c r="D404" s="195" t="str">
        <x:v>Спричинення дистресу або занепокоєння; засмучення або тривога.</x:v>
      </x:c>
      <x:c r="E404" s="192" t="str">
        <x:v>Oxford C1</x:v>
      </x:c>
      <x:c r="F404" s="192" t="str">
        <x:v>Core</x:v>
      </x:c>
      <x:c r="G404" s="192" t="str">
        <x:v>Not Started</x:v>
      </x:c>
      <x:c r="H404" s="192" t="n">
        <x:v>0</x:v>
      </x:c>
    </x:row>
    <x:row r="405" ht="56" customHeight="1">
      <x:c r="A405" s="192" t="str">
        <x:v>divert</x:v>
      </x:c>
      <x:c r="B405" s="192" t="str">
        <x:v>v.</x:v>
      </x:c>
      <x:c r="C405" s="194" t="str">
        <x:v>відволікати</x:v>
      </x:c>
      <x:c r="D405" s="195" t="str">
        <x:v>Звернути з курсу.</x:v>
      </x:c>
      <x:c r="E405" s="192" t="str">
        <x:v>Oxford C1</x:v>
      </x:c>
      <x:c r="F405" s="192" t="str">
        <x:v>Core</x:v>
      </x:c>
      <x:c r="G405" s="192" t="str">
        <x:v>Not Started</x:v>
      </x:c>
      <x:c r="H405" s="192" t="n">
        <x:v>0</x:v>
      </x:c>
    </x:row>
    <x:row r="406" ht="56" customHeight="1">
      <x:c r="A406" s="192" t="str">
        <x:v>divine</x:v>
      </x:c>
      <x:c r="B406" s="192" t="str">
        <x:v>adj.</x:v>
      </x:c>
      <x:c r="C406" s="194" t="str">
        <x:v>божественний</x:v>
      </x:c>
      <x:c r="D406" s="195" t="str">
        <x:v>Від бога або стосовно нього.</x:v>
      </x:c>
      <x:c r="E406" s="192" t="str">
        <x:v>Oxford C1</x:v>
      </x:c>
      <x:c r="F406" s="192" t="str">
        <x:v>Core</x:v>
      </x:c>
      <x:c r="G406" s="192" t="str">
        <x:v>Not Started</x:v>
      </x:c>
      <x:c r="H406" s="192" t="n">
        <x:v>0</x:v>
      </x:c>
    </x:row>
    <x:row r="407" ht="56" customHeight="1">
      <x:c r="A407" s="192" t="str">
        <x:v>doctrine</x:v>
      </x:c>
      <x:c r="B407" s="192" t="str">
        <x:v>n.</x:v>
      </x:c>
      <x:c r="C407" s="194" t="str">
        <x:v>доктрина</x:v>
      </x:c>
      <x:c r="D407" s="195" t="str">
        <x:v>Сукупність вчень ідеології, найчастіше релігії, або ідеологічного чи релігійного лідера, організації, групи чи тексту.</x:v>
      </x:c>
      <x:c r="E407" s="192" t="str">
        <x:v>Oxford C1</x:v>
      </x:c>
      <x:c r="F407" s="192" t="str">
        <x:v>Core</x:v>
      </x:c>
      <x:c r="G407" s="192" t="str">
        <x:v>Not Started</x:v>
      </x:c>
      <x:c r="H407" s="192" t="n">
        <x:v>0</x:v>
      </x:c>
    </x:row>
    <x:row r="408" ht="56" customHeight="1">
      <x:c r="A408" s="192" t="str">
        <x:v>documentation</x:v>
      </x:c>
      <x:c r="B408" s="192" t="str">
        <x:v>n.</x:v>
      </x:c>
      <x:c r="C408" s="194" t="str">
        <x:v>документація</x:v>
      </x:c>
      <x:c r="D408" s="195" t="str">
        <x:v>Щось перенесене з думки в документ; письмовий опис ідеї.</x:v>
      </x:c>
      <x:c r="E408" s="192" t="str">
        <x:v>Oxford C1</x:v>
      </x:c>
      <x:c r="F408" s="192" t="str">
        <x:v>Core</x:v>
      </x:c>
      <x:c r="G408" s="192" t="str">
        <x:v>Not Started</x:v>
      </x:c>
      <x:c r="H408" s="192" t="n">
        <x:v>0</x:v>
      </x:c>
    </x:row>
    <x:row r="409" ht="56" customHeight="1">
      <x:c r="A409" s="192" t="str">
        <x:v>domain</x:v>
      </x:c>
      <x:c r="B409" s="192" t="str">
        <x:v>n.</x:v>
      </x:c>
      <x:c r="C409" s="194" t="str">
        <x:v>домен</x:v>
      </x:c>
      <x:c r="D409" s="195" t="str">
        <x:v>Поле або сфера діяльності, впливу чи досвіду.</x:v>
      </x:c>
      <x:c r="E409" s="192" t="str">
        <x:v>Oxford C1 + AWL 6</x:v>
      </x:c>
      <x:c r="F409" s="192" t="str">
        <x:v>High</x:v>
      </x:c>
      <x:c r="G409" s="192" t="str">
        <x:v>Not Started</x:v>
      </x:c>
      <x:c r="H409" s="192" t="n">
        <x:v>0</x:v>
      </x:c>
    </x:row>
    <x:row r="410" ht="56" customHeight="1">
      <x:c r="A410" s="192" t="str">
        <x:v>dominance</x:v>
      </x:c>
      <x:c r="B410" s="192" t="str">
        <x:v>n.</x:v>
      </x:c>
      <x:c r="C410" s="194" t="str">
        <x:v>панування</x:v>
      </x:c>
      <x:c r="D410" s="195" t="str">
        <x:v>Стан домінування; першорядної важливості; зверхність.</x:v>
      </x:c>
      <x:c r="E410" s="192" t="str">
        <x:v>Oxford C1</x:v>
      </x:c>
      <x:c r="F410" s="192" t="str">
        <x:v>Core</x:v>
      </x:c>
      <x:c r="G410" s="192" t="str">
        <x:v>Not Started</x:v>
      </x:c>
      <x:c r="H410" s="192" t="n">
        <x:v>0</x:v>
      </x:c>
    </x:row>
    <x:row r="411" ht="56" customHeight="1">
      <x:c r="A411" s="192" t="str">
        <x:v>donor</x:v>
      </x:c>
      <x:c r="B411" s="192" t="str">
        <x:v>n.</x:v>
      </x:c>
      <x:c r="C411" s="194" t="str">
        <x:v>донор</x:v>
      </x:c>
      <x:c r="D411" s="195" t="str">
        <x:v>Той, хто робить пожертву.</x:v>
      </x:c>
      <x:c r="E411" s="192" t="str">
        <x:v>Oxford C1</x:v>
      </x:c>
      <x:c r="F411" s="192" t="str">
        <x:v>Core</x:v>
      </x:c>
      <x:c r="G411" s="192" t="str">
        <x:v>Not Started</x:v>
      </x:c>
      <x:c r="H411" s="192" t="n">
        <x:v>0</x:v>
      </x:c>
    </x:row>
    <x:row r="412" ht="56" customHeight="1">
      <x:c r="A412" s="192" t="str">
        <x:v>dose</x:v>
      </x:c>
      <x:c r="B412" s="192" t="str">
        <x:v>n.</x:v>
      </x:c>
      <x:c r="C412" s="194" t="str">
        <x:v>доза</x:v>
      </x:c>
      <x:c r="D412" s="195" t="str">
        <x:v>Відміряна порція ліків, прийнята в будь-який час.</x:v>
      </x:c>
      <x:c r="E412" s="192" t="str">
        <x:v>Oxford C1</x:v>
      </x:c>
      <x:c r="F412" s="192" t="str">
        <x:v>High</x:v>
      </x:c>
      <x:c r="G412" s="192" t="str">
        <x:v>Not Started</x:v>
      </x:c>
      <x:c r="H412" s="192" t="n">
        <x:v>0</x:v>
      </x:c>
    </x:row>
    <x:row r="413" ht="56" customHeight="1">
      <x:c r="A413" s="192" t="str">
        <x:v>drain</x:v>
      </x:c>
      <x:c r="B413" s="192" t="str">
        <x:v>v.</x:v>
      </x:c>
      <x:c r="C413" s="194" t="str">
        <x:v>зливати</x:v>
      </x:c>
      <x:c r="D413" s="195" t="str">
        <x:v>До виснаження енергії або ресурсів.</x:v>
      </x:c>
      <x:c r="E413" s="192" t="str">
        <x:v>Oxford C1</x:v>
      </x:c>
      <x:c r="F413" s="192" t="str">
        <x:v>Core</x:v>
      </x:c>
      <x:c r="G413" s="192" t="str">
        <x:v>Not Started</x:v>
      </x:c>
      <x:c r="H413" s="192" t="n">
        <x:v>0</x:v>
      </x:c>
    </x:row>
    <x:row r="414" ht="56" customHeight="1">
      <x:c r="A414" s="192" t="str">
        <x:v>drift</x:v>
      </x:c>
      <x:c r="B414" s="192" t="str">
        <x:v>v.</x:v>
      </x:c>
      <x:c r="C414" s="194" t="str">
        <x:v>дрейф</x:v>
      </x:c>
      <x:c r="D414" s="195" t="str">
        <x:v>Рухатися повільно, особливо підштовхуваний потоками води, повітря тощо.</x:v>
      </x:c>
      <x:c r="E414" s="192" t="str">
        <x:v>Oxford C1</x:v>
      </x:c>
      <x:c r="F414" s="192" t="str">
        <x:v>Core</x:v>
      </x:c>
      <x:c r="G414" s="192" t="str">
        <x:v>Not Started</x:v>
      </x:c>
      <x:c r="H414" s="192" t="n">
        <x:v>0</x:v>
      </x:c>
    </x:row>
    <x:row r="415" ht="56" customHeight="1">
      <x:c r="A415" s="192" t="str">
        <x:v>driving</x:v>
      </x:c>
      <x:c r="B415" s="192" t="str">
        <x:v>adj.</x:v>
      </x:c>
      <x:c r="C415" s="194" t="str">
        <x:v>водіння</x:v>
      </x:c>
      <x:c r="D415" s="195" t="str">
        <x:v>Що приводить в дію (механізм або процес).</x:v>
      </x:c>
      <x:c r="E415" s="192" t="str">
        <x:v>Oxford C1</x:v>
      </x:c>
      <x:c r="F415" s="192" t="str">
        <x:v>Core</x:v>
      </x:c>
      <x:c r="G415" s="192" t="str">
        <x:v>Not Started</x:v>
      </x:c>
      <x:c r="H415" s="192" t="n">
        <x:v>0</x:v>
      </x:c>
    </x:row>
    <x:row r="416" ht="56" customHeight="1">
      <x:c r="A416" s="192" t="str">
        <x:v>drown</x:v>
      </x:c>
      <x:c r="B416" s="192" t="str">
        <x:v>v.</x:v>
      </x:c>
      <x:c r="C416" s="194" t="str">
        <x:v>топити</x:v>
      </x:c>
      <x:c r="D416" s="195" t="str">
        <x:v>Померти від задухи під час занурення у воду чи іншу рідину.</x:v>
      </x:c>
      <x:c r="E416" s="192" t="str">
        <x:v>Oxford C1</x:v>
      </x:c>
      <x:c r="F416" s="192" t="str">
        <x:v>Core</x:v>
      </x:c>
      <x:c r="G416" s="192" t="str">
        <x:v>Not Started</x:v>
      </x:c>
      <x:c r="H416" s="192" t="n">
        <x:v>0</x:v>
      </x:c>
    </x:row>
    <x:row r="417" ht="56" customHeight="1">
      <x:c r="A417" s="192" t="str">
        <x:v>dual</x:v>
      </x:c>
      <x:c r="B417" s="192" t="str">
        <x:v>adj.</x:v>
      </x:c>
      <x:c r="C417" s="194" t="str">
        <x:v>подвійний</x:v>
      </x:c>
      <x:c r="D417" s="195" t="str">
        <x:v>Характеризується наявністю двох (зазвичай еквівалентних) компонентів.</x:v>
      </x:c>
      <x:c r="E417" s="192" t="str">
        <x:v>Oxford C1</x:v>
      </x:c>
      <x:c r="F417" s="192" t="str">
        <x:v>Core</x:v>
      </x:c>
      <x:c r="G417" s="192" t="str">
        <x:v>Not Started</x:v>
      </x:c>
      <x:c r="H417" s="192" t="n">
        <x:v>0</x:v>
      </x:c>
    </x:row>
    <x:row r="418" ht="56" customHeight="1">
      <x:c r="A418" s="192" t="str">
        <x:v>dub</x:v>
      </x:c>
      <x:c r="B418" s="192" t="str">
        <x:v>v.</x:v>
      </x:c>
      <x:c r="C418" s="194" t="str">
        <x:v>дублювати</x:v>
      </x:c>
      <x:c r="D418" s="195" t="str">
        <x:v>Називати, давати право, називати.</x:v>
      </x:c>
      <x:c r="E418" s="192" t="str">
        <x:v>Oxford C1</x:v>
      </x:c>
      <x:c r="F418" s="192" t="str">
        <x:v>Core</x:v>
      </x:c>
      <x:c r="G418" s="192" t="str">
        <x:v>Not Started</x:v>
      </x:c>
      <x:c r="H418" s="192" t="n">
        <x:v>0</x:v>
      </x:c>
    </x:row>
    <x:row r="419" ht="56" customHeight="1">
      <x:c r="A419" s="192" t="str">
        <x:v>dumb</x:v>
      </x:c>
      <x:c r="B419" s="192" t="str">
        <x:v>adj.</x:v>
      </x:c>
      <x:c r="C419" s="194" t="str">
        <x:v>німий</x:v>
      </x:c>
      <x:c r="D419" s="195" t="str">
        <x:v>Дурний.</x:v>
      </x:c>
      <x:c r="E419" s="192" t="str">
        <x:v>Oxford C1</x:v>
      </x:c>
      <x:c r="F419" s="192" t="str">
        <x:v>Core</x:v>
      </x:c>
      <x:c r="G419" s="192" t="str">
        <x:v>Not Started</x:v>
      </x:c>
      <x:c r="H419" s="192" t="n">
        <x:v>0</x:v>
      </x:c>
    </x:row>
    <x:row r="420" ht="56" customHeight="1">
      <x:c r="A420" s="192" t="str">
        <x:v>duo</x:v>
      </x:c>
      <x:c r="B420" s="192" t="str">
        <x:v>n.</x:v>
      </x:c>
      <x:c r="C420" s="194" t="str">
        <x:v>дует</x:v>
      </x:c>
      <x:c r="D420" s="195" t="str">
        <x:v>Двоє людей, які працюють або співпрацюють разом як партнери; особливо:</x:v>
      </x:c>
      <x:c r="E420" s="192" t="str">
        <x:v>Oxford C1</x:v>
      </x:c>
      <x:c r="F420" s="192" t="str">
        <x:v>Core</x:v>
      </x:c>
      <x:c r="G420" s="192" t="str">
        <x:v>Not Started</x:v>
      </x:c>
      <x:c r="H420" s="192" t="n">
        <x:v>0</x:v>
      </x:c>
    </x:row>
    <x:row r="421" ht="56" customHeight="1">
      <x:c r="A421" s="192" t="str">
        <x:v>dynamic</x:v>
      </x:c>
      <x:c r="B421" s="192" t="str">
        <x:v>n.</x:v>
      </x:c>
      <x:c r="C421" s="194" t="str">
        <x:v>динамічний</x:v>
      </x:c>
      <x:c r="D421" s="195" t="str">
        <x:v>Рухома сила.</x:v>
      </x:c>
      <x:c r="E421" s="192" t="str">
        <x:v>Oxford C1 + AWL 7</x:v>
      </x:c>
      <x:c r="F421" s="192" t="str">
        <x:v>High</x:v>
      </x:c>
      <x:c r="G421" s="192" t="str">
        <x:v>Not Started</x:v>
      </x:c>
      <x:c r="H421" s="192" t="n">
        <x:v>0</x:v>
      </x:c>
    </x:row>
    <x:row r="422" ht="56" customHeight="1">
      <x:c r="A422" s="192" t="str">
        <x:v>eager</x:v>
      </x:c>
      <x:c r="B422" s="192" t="str">
        <x:v>adj.</x:v>
      </x:c>
      <x:c r="C422" s="194" t="str">
        <x:v>нетерплячий</x:v>
      </x:c>
      <x:c r="D422" s="195" t="str">
        <x:v>бажаний; бажання зробити або отримати щось.</x:v>
      </x:c>
      <x:c r="E422" s="192" t="str">
        <x:v>Oxford C1</x:v>
      </x:c>
      <x:c r="F422" s="192" t="str">
        <x:v>Core</x:v>
      </x:c>
      <x:c r="G422" s="192" t="str">
        <x:v>Not Started</x:v>
      </x:c>
      <x:c r="H422" s="192" t="n">
        <x:v>0</x:v>
      </x:c>
    </x:row>
    <x:row r="423" ht="56" customHeight="1">
      <x:c r="A423" s="192" t="str">
        <x:v>earnings</x:v>
      </x:c>
      <x:c r="B423" s="192" t="str">
        <x:v>n.</x:v>
      </x:c>
      <x:c r="C423" s="194" t="str">
        <x:v>заробіток</x:v>
      </x:c>
      <x:c r="D423" s="195" t="str">
        <x:v>Заробітна плата, зароблені гроші, дохід.</x:v>
      </x:c>
      <x:c r="E423" s="192" t="str">
        <x:v>Oxford C1</x:v>
      </x:c>
      <x:c r="F423" s="192" t="str">
        <x:v>High</x:v>
      </x:c>
      <x:c r="G423" s="192" t="str">
        <x:v>Not Started</x:v>
      </x:c>
      <x:c r="H423" s="192" t="n">
        <x:v>0</x:v>
      </x:c>
    </x:row>
    <x:row r="424" ht="56" customHeight="1">
      <x:c r="A424" s="192" t="str">
        <x:v>ease</x:v>
      </x:c>
      <x:c r="B424" s="192" t="str">
        <x:v>n., v.</x:v>
      </x:c>
      <x:c r="C424" s="194" t="str">
        <x:v>легкість</x:v>
      </x:c>
      <x:c r="D424" s="195" t="str">
        <x:v>Звільняти (щось) від болю, хвилювання, хвилювання і т. ін.</x:v>
      </x:c>
      <x:c r="E424" s="192" t="str">
        <x:v>Oxford C1</x:v>
      </x:c>
      <x:c r="F424" s="192" t="str">
        <x:v>Core</x:v>
      </x:c>
      <x:c r="G424" s="192" t="str">
        <x:v>Not Started</x:v>
      </x:c>
      <x:c r="H424" s="192" t="n">
        <x:v>0</x:v>
      </x:c>
    </x:row>
    <x:row r="425" ht="56" customHeight="1">
      <x:c r="A425" s="192" t="str">
        <x:v>echo</x:v>
      </x:c>
      <x:c r="B425" s="192" t="str">
        <x:v>v., n.</x:v>
      </x:c>
      <x:c r="C425" s="194" t="str">
        <x:v>луна; відлунювати</x:v>
      </x:c>
      <x:c r="D425" s="195" t="str">
        <x:v>Звуку або звукових хвиль: відбиватися від поверхні і повертатися; лунати або лунати.</x:v>
      </x:c>
      <x:c r="E425" s="192" t="str">
        <x:v>Oxford C1</x:v>
      </x:c>
      <x:c r="F425" s="192" t="str">
        <x:v>Core</x:v>
      </x:c>
      <x:c r="G425" s="192" t="str">
        <x:v>Not Started</x:v>
      </x:c>
      <x:c r="H425" s="192" t="n">
        <x:v>0</x:v>
      </x:c>
    </x:row>
    <x:row r="426" ht="56" customHeight="1">
      <x:c r="A426" s="192" t="str">
        <x:v>ecological</x:v>
      </x:c>
      <x:c r="B426" s="192" t="str">
        <x:v>adj.</x:v>
      </x:c>
      <x:c r="C426" s="194" t="str">
        <x:v>екологічний</x:v>
      </x:c>
      <x:c r="D426" s="195" t="str">
        <x:v>Пов’язаний з екологією, взаємозв’язками організмів і навколишнього середовища.</x:v>
      </x:c>
      <x:c r="E426" s="192" t="str">
        <x:v>Oxford C1</x:v>
      </x:c>
      <x:c r="F426" s="192" t="str">
        <x:v>High</x:v>
      </x:c>
      <x:c r="G426" s="192" t="str">
        <x:v>Not Started</x:v>
      </x:c>
      <x:c r="H426" s="192" t="n">
        <x:v>0</x:v>
      </x:c>
    </x:row>
    <x:row r="427" ht="56" customHeight="1">
      <x:c r="A427" s="192" t="str">
        <x:v>educator</x:v>
      </x:c>
      <x:c r="B427" s="192" t="str">
        <x:v>n.</x:v>
      </x:c>
      <x:c r="C427" s="194" t="str">
        <x:v>вихователь</x:v>
      </x:c>
      <x:c r="D427" s="195" t="str">
        <x:v>Людина, яка відзначилася виховною роботою, педагог.</x:v>
      </x:c>
      <x:c r="E427" s="192" t="str">
        <x:v>Oxford C1</x:v>
      </x:c>
      <x:c r="F427" s="192" t="str">
        <x:v>High</x:v>
      </x:c>
      <x:c r="G427" s="192" t="str">
        <x:v>Not Started</x:v>
      </x:c>
      <x:c r="H427" s="192" t="n">
        <x:v>0</x:v>
      </x:c>
    </x:row>
    <x:row r="428" ht="56" customHeight="1">
      <x:c r="A428" s="192" t="str">
        <x:v>effectiveness</x:v>
      </x:c>
      <x:c r="B428" s="192" t="str">
        <x:v>n.</x:v>
      </x:c>
      <x:c r="C428" s="194" t="str">
        <x:v>ефективність</x:v>
      </x:c>
      <x:c r="D428" s="195" t="str">
        <x:v>Властивість бути ефективним, досягати результату.</x:v>
      </x:c>
      <x:c r="E428" s="192" t="str">
        <x:v>Oxford C1</x:v>
      </x:c>
      <x:c r="F428" s="192" t="str">
        <x:v>Core</x:v>
      </x:c>
      <x:c r="G428" s="192" t="str">
        <x:v>Not Started</x:v>
      </x:c>
      <x:c r="H428" s="192" t="n">
        <x:v>0</x:v>
      </x:c>
    </x:row>
    <x:row r="429" ht="56" customHeight="1">
      <x:c r="A429" s="192" t="str">
        <x:v>efficiency</x:v>
      </x:c>
      <x:c r="B429" s="192" t="str">
        <x:v>n.</x:v>
      </x:c>
      <x:c r="C429" s="194" t="str">
        <x:v>ефективність</x:v>
      </x:c>
      <x:c r="D429" s="195" t="str">
        <x:v>Ступінь використання ресурсу за призначенням.</x:v>
      </x:c>
      <x:c r="E429" s="192" t="str">
        <x:v>Oxford C1</x:v>
      </x:c>
      <x:c r="F429" s="192" t="str">
        <x:v>Core</x:v>
      </x:c>
      <x:c r="G429" s="192" t="str">
        <x:v>Not Started</x:v>
      </x:c>
      <x:c r="H429" s="192" t="n">
        <x:v>0</x:v>
      </x:c>
    </x:row>
    <x:row r="430" ht="56" customHeight="1">
      <x:c r="A430" s="192" t="str">
        <x:v>ego</x:v>
      </x:c>
      <x:c r="B430" s="192" t="str">
        <x:v>n.</x:v>
      </x:c>
      <x:c r="C430" s="194" t="str">
        <x:v>его</x:v>
      </x:c>
      <x:c r="D430" s="195" t="str">
        <x:v>Я, особливо з почуттям власної значущості.</x:v>
      </x:c>
      <x:c r="E430" s="192" t="str">
        <x:v>Oxford C1</x:v>
      </x:c>
      <x:c r="F430" s="192" t="str">
        <x:v>Core</x:v>
      </x:c>
      <x:c r="G430" s="192" t="str">
        <x:v>Not Started</x:v>
      </x:c>
      <x:c r="H430" s="192" t="n">
        <x:v>0</x:v>
      </x:c>
    </x:row>
    <x:row r="431" ht="56" customHeight="1">
      <x:c r="A431" s="192" t="str">
        <x:v>elaborate</x:v>
      </x:c>
      <x:c r="B431" s="192" t="str">
        <x:v>adj.</x:v>
      </x:c>
      <x:c r="C431" s="194" t="str">
        <x:v>розробити</x:v>
      </x:c>
      <x:c r="D431" s="195" t="str">
        <x:v>Складний, детальний або складний.</x:v>
      </x:c>
      <x:c r="E431" s="192" t="str">
        <x:v>Oxford C1</x:v>
      </x:c>
      <x:c r="F431" s="192" t="str">
        <x:v>Core</x:v>
      </x:c>
      <x:c r="G431" s="192" t="str">
        <x:v>Not Started</x:v>
      </x:c>
      <x:c r="H431" s="192" t="n">
        <x:v>0</x:v>
      </x:c>
    </x:row>
    <x:row r="432" ht="56" customHeight="1">
      <x:c r="A432" s="192" t="str">
        <x:v>electoral</x:v>
      </x:c>
      <x:c r="B432" s="192" t="str">
        <x:v>adj.</x:v>
      </x:c>
      <x:c r="C432" s="194" t="str">
        <x:v>виборчий</x:v>
      </x:c>
      <x:c r="D432" s="195" t="str">
        <x:v>Щодо виборів або щодо них.</x:v>
      </x:c>
      <x:c r="E432" s="192" t="str">
        <x:v>Oxford C1</x:v>
      </x:c>
      <x:c r="F432" s="192" t="str">
        <x:v>Core</x:v>
      </x:c>
      <x:c r="G432" s="192" t="str">
        <x:v>Not Started</x:v>
      </x:c>
      <x:c r="H432" s="192" t="n">
        <x:v>0</x:v>
      </x:c>
    </x:row>
    <x:row r="433" ht="56" customHeight="1">
      <x:c r="A433" s="192" t="str">
        <x:v>elevate</x:v>
      </x:c>
      <x:c r="B433" s="192" t="str">
        <x:v>v.</x:v>
      </x:c>
      <x:c r="C433" s="194" t="str">
        <x:v>підняти</x:v>
      </x:c>
      <x:c r="D433" s="195" t="str">
        <x:v>Підняти (щось) на вищу посаду.</x:v>
      </x:c>
      <x:c r="E433" s="192" t="str">
        <x:v>Oxford C1</x:v>
      </x:c>
      <x:c r="F433" s="192" t="str">
        <x:v>Core</x:v>
      </x:c>
      <x:c r="G433" s="192" t="str">
        <x:v>Not Started</x:v>
      </x:c>
      <x:c r="H433" s="192" t="n">
        <x:v>0</x:v>
      </x:c>
    </x:row>
    <x:row r="434" ht="56" customHeight="1">
      <x:c r="A434" s="192" t="str">
        <x:v>eligible</x:v>
      </x:c>
      <x:c r="B434" s="192" t="str">
        <x:v>adj.</x:v>
      </x:c>
      <x:c r="C434" s="194" t="str">
        <x:v>придатний</x:v>
      </x:c>
      <x:c r="D434" s="195" t="str">
        <x:v>Дозвіл і відповідність необхідним умовам для участі в чомусь або бути обраним для чогось</x:v>
      </x:c>
      <x:c r="E434" s="192" t="str">
        <x:v>Oxford C1</x:v>
      </x:c>
      <x:c r="F434" s="192" t="str">
        <x:v>Core</x:v>
      </x:c>
      <x:c r="G434" s="192" t="str">
        <x:v>Not Started</x:v>
      </x:c>
      <x:c r="H434" s="192" t="n">
        <x:v>0</x:v>
      </x:c>
    </x:row>
    <x:row r="435" ht="56" customHeight="1">
      <x:c r="A435" s="192" t="str">
        <x:v>elite</x:v>
      </x:c>
      <x:c r="B435" s="192" t="str">
        <x:v>n.</x:v>
      </x:c>
      <x:c r="C435" s="194" t="str">
        <x:v>еліта</x:v>
      </x:c>
      <x:c r="D435" s="195" t="str">
        <x:v>Особлива група або соціальний клас людей, які мають вищий соціальний чи економічний статус і відповідну владу, переваги чи привілеї в суспільстві; член такої групи.</x:v>
      </x:c>
      <x:c r="E435" s="192" t="str">
        <x:v>Oxford C1</x:v>
      </x:c>
      <x:c r="F435" s="192" t="str">
        <x:v>Core</x:v>
      </x:c>
      <x:c r="G435" s="192" t="str">
        <x:v>Not Started</x:v>
      </x:c>
      <x:c r="H435" s="192" t="n">
        <x:v>0</x:v>
      </x:c>
    </x:row>
    <x:row r="436" ht="56" customHeight="1">
      <x:c r="A436" s="192" t="str">
        <x:v>embark</x:v>
      </x:c>
      <x:c r="B436" s="192" t="str">
        <x:v>v.</x:v>
      </x:c>
      <x:c r="C436" s="194" t="str">
        <x:v>відправитися на борт</x:v>
      </x:c>
      <x:c r="D436" s="195" t="str">
        <x:v>Щоб почати, почніть.</x:v>
      </x:c>
      <x:c r="E436" s="192" t="str">
        <x:v>Oxford C1</x:v>
      </x:c>
      <x:c r="F436" s="192" t="str">
        <x:v>Core</x:v>
      </x:c>
      <x:c r="G436" s="192" t="str">
        <x:v>Not Started</x:v>
      </x:c>
      <x:c r="H436" s="192" t="n">
        <x:v>0</x:v>
      </x:c>
    </x:row>
    <x:row r="437" ht="56" customHeight="1">
      <x:c r="A437" s="192" t="str">
        <x:v>embarrassment</x:v>
      </x:c>
      <x:c r="B437" s="192" t="str">
        <x:v>n.</x:v>
      </x:c>
      <x:c r="C437" s="194" t="str">
        <x:v>збентеження</x:v>
      </x:c>
      <x:c r="D437" s="195" t="str">
        <x:v>Стан дискомфорту, що виникає через сором'язливість або свідомість порушення соціального правила; приниження.</x:v>
      </x:c>
      <x:c r="E437" s="192" t="str">
        <x:v>Oxford C1</x:v>
      </x:c>
      <x:c r="F437" s="192" t="str">
        <x:v>Core</x:v>
      </x:c>
      <x:c r="G437" s="192" t="str">
        <x:v>Not Started</x:v>
      </x:c>
      <x:c r="H437" s="192" t="n">
        <x:v>0</x:v>
      </x:c>
    </x:row>
    <x:row r="438" ht="56" customHeight="1">
      <x:c r="A438" s="192" t="str">
        <x:v>embassy</x:v>
      </x:c>
      <x:c r="B438" s="192" t="str">
        <x:v>n.</x:v>
      </x:c>
      <x:c r="C438" s="194" t="str">
        <x:v>посольство</x:v>
      </x:c>
      <x:c r="D438" s="195" t="str">
        <x:v>Організація або група офіційних осіб, які постійно представляють суверенну державу в другій суверенній державі або щодо міжнародної організації, такої як ООН.</x:v>
      </x:c>
      <x:c r="E438" s="192" t="str">
        <x:v>Oxford C1</x:v>
      </x:c>
      <x:c r="F438" s="192" t="str">
        <x:v>Core</x:v>
      </x:c>
      <x:c r="G438" s="192" t="str">
        <x:v>Not Started</x:v>
      </x:c>
      <x:c r="H438" s="192" t="n">
        <x:v>0</x:v>
      </x:c>
    </x:row>
    <x:row r="439" ht="56" customHeight="1">
      <x:c r="A439" s="192" t="str">
        <x:v>embed</x:v>
      </x:c>
      <x:c r="B439" s="192" t="str">
        <x:v>v.</x:v>
      </x:c>
      <x:c r="C439" s="194" t="str">
        <x:v>вбудовувати</x:v>
      </x:c>
      <x:c r="D439" s="195" t="str">
        <x:v>Для інкапсуляції в інший документ або файл даних.</x:v>
      </x:c>
      <x:c r="E439" s="192" t="str">
        <x:v>Oxford C1</x:v>
      </x:c>
      <x:c r="F439" s="192" t="str">
        <x:v>Core</x:v>
      </x:c>
      <x:c r="G439" s="192" t="str">
        <x:v>Not Started</x:v>
      </x:c>
      <x:c r="H439" s="192" t="n">
        <x:v>0</x:v>
      </x:c>
    </x:row>
    <x:row r="440" ht="56" customHeight="1">
      <x:c r="A440" s="192" t="str">
        <x:v>embody</x:v>
      </x:c>
      <x:c r="B440" s="192" t="str">
        <x:v>v.</x:v>
      </x:c>
      <x:c r="C440" s="194" t="str">
        <x:v>втілювати</x:v>
      </x:c>
      <x:c r="D440" s="195" t="str">
        <x:v>Представляти у фізичній або конкретній формі; втілювати чи персоніфікувати.</x:v>
      </x:c>
      <x:c r="E440" s="192" t="str">
        <x:v>Oxford C1</x:v>
      </x:c>
      <x:c r="F440" s="192" t="str">
        <x:v>Core</x:v>
      </x:c>
      <x:c r="G440" s="192" t="str">
        <x:v>Not Started</x:v>
      </x:c>
      <x:c r="H440" s="192" t="n">
        <x:v>0</x:v>
      </x:c>
    </x:row>
    <x:row r="441" ht="56" customHeight="1">
      <x:c r="A441" s="192" t="str">
        <x:v>emergence</x:v>
      </x:c>
      <x:c r="B441" s="192" t="str">
        <x:v>n.</x:v>
      </x:c>
      <x:c r="C441" s="194" t="str">
        <x:v>поява</x:v>
      </x:c>
      <x:c r="D441" s="195" t="str">
        <x:v>Акт підйому з рідини, виходу з огортання чи приховування, або підняття в поле зору; зовнішній вигляд.</x:v>
      </x:c>
      <x:c r="E441" s="192" t="str">
        <x:v>Oxford C1</x:v>
      </x:c>
      <x:c r="F441" s="192" t="str">
        <x:v>Core</x:v>
      </x:c>
      <x:c r="G441" s="192" t="str">
        <x:v>Not Started</x:v>
      </x:c>
      <x:c r="H441" s="192" t="n">
        <x:v>0</x:v>
      </x:c>
    </x:row>
    <x:row r="442" ht="56" customHeight="1">
      <x:c r="A442" s="192" t="str">
        <x:v>empirical</x:v>
      </x:c>
      <x:c r="B442" s="192" t="str">
        <x:v>adj.</x:v>
      </x:c>
      <x:c r="C442" s="194" t="str">
        <x:v>емпіричний</x:v>
      </x:c>
      <x:c r="D442" s="195" t="str">
        <x:v>Стосовно або засноване на досвіді, на відміну від теорії.</x:v>
      </x:c>
      <x:c r="E442" s="192" t="str">
        <x:v>Oxford C1 + AWL 7</x:v>
      </x:c>
      <x:c r="F442" s="192" t="str">
        <x:v>High</x:v>
      </x:c>
      <x:c r="G442" s="192" t="str">
        <x:v>Not Started</x:v>
      </x:c>
      <x:c r="H442" s="192" t="n">
        <x:v>0</x:v>
      </x:c>
    </x:row>
    <x:row r="443" ht="56" customHeight="1">
      <x:c r="A443" s="192" t="str">
        <x:v>empower</x:v>
      </x:c>
      <x:c r="B443" s="192" t="str">
        <x:v>v.</x:v>
      </x:c>
      <x:c r="C443" s="194" t="str">
        <x:v>уповноважити</x:v>
      </x:c>
      <x:c r="D443" s="195" t="str">
        <x:v>Щоб надати комусь більше впевненості та/або сили зробити щось, часто дозволяючи їм посилити контроль над власним життям або ситуацією.</x:v>
      </x:c>
      <x:c r="E443" s="192" t="str">
        <x:v>Oxford C1</x:v>
      </x:c>
      <x:c r="F443" s="192" t="str">
        <x:v>Core</x:v>
      </x:c>
      <x:c r="G443" s="192" t="str">
        <x:v>Not Started</x:v>
      </x:c>
      <x:c r="H443" s="192" t="n">
        <x:v>0</x:v>
      </x:c>
    </x:row>
    <x:row r="444" ht="56" customHeight="1">
      <x:c r="A444" s="192" t="str">
        <x:v>enact</x:v>
      </x:c>
      <x:c r="B444" s="192" t="str">
        <x:v>v.</x:v>
      </x:c>
      <x:c r="C444" s="194" t="str">
        <x:v>постановити</x:v>
      </x:c>
      <x:c r="D444" s="195" t="str">
        <x:v>Оформити (законопроект) законом.</x:v>
      </x:c>
      <x:c r="E444" s="192" t="str">
        <x:v>Oxford C1</x:v>
      </x:c>
      <x:c r="F444" s="192" t="str">
        <x:v>Core</x:v>
      </x:c>
      <x:c r="G444" s="192" t="str">
        <x:v>Not Started</x:v>
      </x:c>
      <x:c r="H444" s="192" t="n">
        <x:v>0</x:v>
      </x:c>
    </x:row>
    <x:row r="445" ht="56" customHeight="1">
      <x:c r="A445" s="192" t="str">
        <x:v>encompass</x:v>
      </x:c>
      <x:c r="B445" s="192" t="str">
        <x:v>v.</x:v>
      </x:c>
      <x:c r="C445" s="194" t="str">
        <x:v>охоплювати</x:v>
      </x:c>
      <x:c r="D445" s="195" t="str">
        <x:v>Включити в його сферу дії; обвести або обійти так, щоб оточити; підкладати; містити.</x:v>
      </x:c>
      <x:c r="E445" s="192" t="str">
        <x:v>Oxford C1</x:v>
      </x:c>
      <x:c r="F445" s="192" t="str">
        <x:v>Core</x:v>
      </x:c>
      <x:c r="G445" s="192" t="str">
        <x:v>Not Started</x:v>
      </x:c>
      <x:c r="H445" s="192" t="n">
        <x:v>0</x:v>
      </x:c>
    </x:row>
    <x:row r="446" ht="56" customHeight="1">
      <x:c r="A446" s="192" t="str">
        <x:v>encouragement</x:v>
      </x:c>
      <x:c r="B446" s="192" t="str">
        <x:v>n.</x:v>
      </x:c>
      <x:c r="C446" s="194" t="str">
        <x:v>заохочення</x:v>
      </x:c>
      <x:c r="D446" s="195" t="str">
        <x:v>Слова чи дії, які підвищують чиюсь впевненість</x:v>
      </x:c>
      <x:c r="E446" s="192" t="str">
        <x:v>Oxford C1</x:v>
      </x:c>
      <x:c r="F446" s="192" t="str">
        <x:v>Core</x:v>
      </x:c>
      <x:c r="G446" s="192" t="str">
        <x:v>Not Started</x:v>
      </x:c>
      <x:c r="H446" s="192" t="n">
        <x:v>0</x:v>
      </x:c>
    </x:row>
    <x:row r="447" ht="56" customHeight="1">
      <x:c r="A447" s="192" t="str">
        <x:v>encouraging</x:v>
      </x:c>
      <x:c r="B447" s="192" t="str">
        <x:v>adj.</x:v>
      </x:c>
      <x:c r="C447" s="194" t="str">
        <x:v>заохочувальний</x:v>
      </x:c>
      <x:c r="D447" s="195" t="str">
        <x:v>Надає сміливості, впевненості чи надії; сприятливий.</x:v>
      </x:c>
      <x:c r="E447" s="192" t="str">
        <x:v>Oxford C1</x:v>
      </x:c>
      <x:c r="F447" s="192" t="str">
        <x:v>Core</x:v>
      </x:c>
      <x:c r="G447" s="192" t="str">
        <x:v>Not Started</x:v>
      </x:c>
      <x:c r="H447" s="192" t="n">
        <x:v>0</x:v>
      </x:c>
    </x:row>
    <x:row r="448" ht="56" customHeight="1">
      <x:c r="A448" s="192" t="str">
        <x:v>endeavour</x:v>
      </x:c>
      <x:c r="B448" s="192" t="str">
        <x:v>n.</x:v>
      </x:c>
      <x:c r="C448" s="194" t="str">
        <x:v>зусилля</x:v>
      </x:c>
      <x:c r="D448" s="195" t="str">
        <x:v>Серйозна або наполеглива спроба досягти певної мети.</x:v>
      </x:c>
      <x:c r="E448" s="192" t="str">
        <x:v>Oxford C1</x:v>
      </x:c>
      <x:c r="F448" s="192" t="str">
        <x:v>Core</x:v>
      </x:c>
      <x:c r="G448" s="192" t="str">
        <x:v>Not Started</x:v>
      </x:c>
      <x:c r="H448" s="192" t="n">
        <x:v>0</x:v>
      </x:c>
    </x:row>
    <x:row r="449" ht="56" customHeight="1">
      <x:c r="A449" s="192" t="str">
        <x:v>endless</x:v>
      </x:c>
      <x:c r="B449" s="192" t="str">
        <x:v>adj.</x:v>
      </x:c>
      <x:c r="C449" s="194" t="str">
        <x:v>нескінченний</x:v>
      </x:c>
      <x:c r="D449" s="195" t="str">
        <x:v>Не маючи кінця.</x:v>
      </x:c>
      <x:c r="E449" s="192" t="str">
        <x:v>Oxford C1</x:v>
      </x:c>
      <x:c r="F449" s="192" t="str">
        <x:v>Core</x:v>
      </x:c>
      <x:c r="G449" s="192" t="str">
        <x:v>Not Started</x:v>
      </x:c>
      <x:c r="H449" s="192" t="n">
        <x:v>0</x:v>
      </x:c>
    </x:row>
    <x:row r="450" ht="56" customHeight="1">
      <x:c r="A450" s="192" t="str">
        <x:v>endorse</x:v>
      </x:c>
      <x:c r="B450" s="192" t="str">
        <x:v>v.</x:v>
      </x:c>
      <x:c r="C450" s="194" t="str">
        <x:v>схвалити</x:v>
      </x:c>
      <x:c r="D450" s="195" t="str">
        <x:v>Виражати підтримку чи схвалення, особливо офіційно чи публічно; надати індосамент.</x:v>
      </x:c>
      <x:c r="E450" s="192" t="str">
        <x:v>Oxford C1</x:v>
      </x:c>
      <x:c r="F450" s="192" t="str">
        <x:v>Core</x:v>
      </x:c>
      <x:c r="G450" s="192" t="str">
        <x:v>Not Started</x:v>
      </x:c>
      <x:c r="H450" s="192" t="n">
        <x:v>0</x:v>
      </x:c>
    </x:row>
    <x:row r="451" ht="56" customHeight="1">
      <x:c r="A451" s="192" t="str">
        <x:v>endorsement</x:v>
      </x:c>
      <x:c r="B451" s="192" t="str">
        <x:v>n.</x:v>
      </x:c>
      <x:c r="C451" s="194" t="str">
        <x:v>індосамент</x:v>
      </x:c>
      <x:c r="D451" s="195" t="str">
        <x:v>Акт або якість індосування</x:v>
      </x:c>
      <x:c r="E451" s="192" t="str">
        <x:v>Oxford C1</x:v>
      </x:c>
      <x:c r="F451" s="192" t="str">
        <x:v>Core</x:v>
      </x:c>
      <x:c r="G451" s="192" t="str">
        <x:v>Not Started</x:v>
      </x:c>
      <x:c r="H451" s="192" t="n">
        <x:v>0</x:v>
      </x:c>
    </x:row>
    <x:row r="452" ht="56" customHeight="1">
      <x:c r="A452" s="192" t="str">
        <x:v>endure</x:v>
      </x:c>
      <x:c r="B452" s="192" t="str">
        <x:v>v.</x:v>
      </x:c>
      <x:c r="C452" s="194" t="str">
        <x:v>терпіти</x:v>
      </x:c>
      <x:c r="D452" s="195" t="str">
        <x:v>Продовжувати або продовжувати, незважаючи на перешкоди чи труднощі; наполягати.</x:v>
      </x:c>
      <x:c r="E452" s="192" t="str">
        <x:v>Oxford C1</x:v>
      </x:c>
      <x:c r="F452" s="192" t="str">
        <x:v>Core</x:v>
      </x:c>
      <x:c r="G452" s="192" t="str">
        <x:v>Not Started</x:v>
      </x:c>
      <x:c r="H452" s="192" t="n">
        <x:v>0</x:v>
      </x:c>
    </x:row>
    <x:row r="453" ht="56" customHeight="1">
      <x:c r="A453" s="192" t="str">
        <x:v>enforce</x:v>
      </x:c>
      <x:c r="B453" s="192" t="str">
        <x:v>v.</x:v>
      </x:c>
      <x:c r="C453" s="194" t="str">
        <x:v>примушувати</x:v>
      </x:c>
      <x:c r="D453" s="195" t="str">
        <x:v>Не відставати, нав'язувати або приводити в дію щось, не обов'язково силою.</x:v>
      </x:c>
      <x:c r="E453" s="192" t="str">
        <x:v>Oxford C1</x:v>
      </x:c>
      <x:c r="F453" s="192" t="str">
        <x:v>Core</x:v>
      </x:c>
      <x:c r="G453" s="192" t="str">
        <x:v>Not Started</x:v>
      </x:c>
      <x:c r="H453" s="192" t="n">
        <x:v>0</x:v>
      </x:c>
    </x:row>
    <x:row r="454" ht="56" customHeight="1">
      <x:c r="A454" s="192" t="str">
        <x:v>enforcement</x:v>
      </x:c>
      <x:c r="B454" s="192" t="str">
        <x:v>n.</x:v>
      </x:c>
      <x:c r="C454" s="194" t="str">
        <x:v>виконання</x:v>
      </x:c>
      <x:c r="D454" s="195" t="str">
        <x:v>Акт примусового виконання; примус.</x:v>
      </x:c>
      <x:c r="E454" s="192" t="str">
        <x:v>Oxford C1 + AWL 5</x:v>
      </x:c>
      <x:c r="F454" s="192" t="str">
        <x:v>High</x:v>
      </x:c>
      <x:c r="G454" s="192" t="str">
        <x:v>Not Started</x:v>
      </x:c>
      <x:c r="H454" s="192" t="n">
        <x:v>0</x:v>
      </x:c>
    </x:row>
    <x:row r="455" ht="56" customHeight="1">
      <x:c r="A455" s="192" t="str">
        <x:v>engagement</x:v>
      </x:c>
      <x:c r="B455" s="192" t="str">
        <x:v>n.</x:v>
      </x:c>
      <x:c r="C455" s="194" t="str">
        <x:v>заручини</x:v>
      </x:c>
      <x:c r="D455" s="195" t="str">
        <x:v>Відчуття спонукання, захоплення, пов’язаності з тим, що відбувається, зацікавленості в тому, що станеться далі.</x:v>
      </x:c>
      <x:c r="E455" s="192" t="str">
        <x:v>Oxford C1</x:v>
      </x:c>
      <x:c r="F455" s="192" t="str">
        <x:v>Core</x:v>
      </x:c>
      <x:c r="G455" s="192" t="str">
        <x:v>Not Started</x:v>
      </x:c>
      <x:c r="H455" s="192" t="n">
        <x:v>0</x:v>
      </x:c>
    </x:row>
    <x:row r="456" ht="56" customHeight="1">
      <x:c r="A456" s="192" t="str">
        <x:v>engaging</x:v>
      </x:c>
      <x:c r="B456" s="192" t="str">
        <x:v>adj.</x:v>
      </x:c>
      <x:c r="C456" s="194" t="str">
        <x:v>залучення</x:v>
      </x:c>
      <x:c r="D456" s="195" t="str">
        <x:v>Прагнення привернути увагу або інтерес; захоплюючий, цікавий; захоплюючий.</x:v>
      </x:c>
      <x:c r="E456" s="192" t="str">
        <x:v>Oxford C1</x:v>
      </x:c>
      <x:c r="F456" s="192" t="str">
        <x:v>Core</x:v>
      </x:c>
      <x:c r="G456" s="192" t="str">
        <x:v>Not Started</x:v>
      </x:c>
      <x:c r="H456" s="192" t="n">
        <x:v>0</x:v>
      </x:c>
    </x:row>
    <x:row r="457" ht="56" customHeight="1">
      <x:c r="A457" s="192" t="str">
        <x:v>enquire</x:v>
      </x:c>
      <x:c r="B457" s="192" t="str">
        <x:v>v.</x:v>
      </x:c>
      <x:c r="C457" s="194" t="str">
        <x:v>запитувати</x:v>
      </x:c>
      <x:c r="D457" s="195" t="str">
        <x:v>Просити інформацію або ставити запитання, щоб щось з’ясувати.</x:v>
      </x:c>
      <x:c r="E457" s="192" t="str">
        <x:v>Oxford C1</x:v>
      </x:c>
      <x:c r="F457" s="192" t="str">
        <x:v>Core</x:v>
      </x:c>
      <x:c r="G457" s="192" t="str">
        <x:v>Not Started</x:v>
      </x:c>
      <x:c r="H457" s="192" t="n">
        <x:v>0</x:v>
      </x:c>
    </x:row>
    <x:row r="458" ht="56" customHeight="1">
      <x:c r="A458" s="192" t="str">
        <x:v>enrich</x:v>
      </x:c>
      <x:c r="B458" s="192" t="str">
        <x:v>v.</x:v>
      </x:c>
      <x:c r="C458" s="194" t="str">
        <x:v>збагачувати</x:v>
      </x:c>
      <x:c r="D458" s="195" t="str">
        <x:v>Робити (когось, що-небудь) багатим або багатшим. [з 14 ст.]</x:v>
      </x:c>
      <x:c r="E458" s="192" t="str">
        <x:v>Oxford C1</x:v>
      </x:c>
      <x:c r="F458" s="192" t="str">
        <x:v>Core</x:v>
      </x:c>
      <x:c r="G458" s="192" t="str">
        <x:v>Not Started</x:v>
      </x:c>
      <x:c r="H458" s="192" t="n">
        <x:v>0</x:v>
      </x:c>
    </x:row>
    <x:row r="459" ht="56" customHeight="1">
      <x:c r="A459" s="192" t="str">
        <x:v>enrol</x:v>
      </x:c>
      <x:c r="B459" s="192" t="str">
        <x:v>v.</x:v>
      </x:c>
      <x:c r="C459" s="194" t="str">
        <x:v>зарахувати</x:v>
      </x:c>
      <x:c r="D459" s="195" t="str">
        <x:v>Офіційно записати або записатися на курс, програму чи до установи.</x:v>
      </x:c>
      <x:c r="E459" s="192" t="str">
        <x:v>Oxford C1</x:v>
      </x:c>
      <x:c r="F459" s="192" t="str">
        <x:v>Core</x:v>
      </x:c>
      <x:c r="G459" s="192" t="str">
        <x:v>Not Started</x:v>
      </x:c>
      <x:c r="H459" s="192" t="n">
        <x:v>0</x:v>
      </x:c>
    </x:row>
    <x:row r="460" ht="56" customHeight="1">
      <x:c r="A460" s="192" t="str">
        <x:v>ensue</x:v>
      </x:c>
      <x:c r="B460" s="192" t="str">
        <x:v>v.</x:v>
      </x:c>
      <x:c r="C460" s="194" t="str">
        <x:v>наступати</x:v>
      </x:c>
      <x:c r="D460" s="195" t="str">
        <x:v>Відбутися потім, як наслідок або наслідок.</x:v>
      </x:c>
      <x:c r="E460" s="192" t="str">
        <x:v>Oxford C1</x:v>
      </x:c>
      <x:c r="F460" s="192" t="str">
        <x:v>Core</x:v>
      </x:c>
      <x:c r="G460" s="192" t="str">
        <x:v>Not Started</x:v>
      </x:c>
      <x:c r="H460" s="192" t="n">
        <x:v>0</x:v>
      </x:c>
    </x:row>
    <x:row r="461" ht="56" customHeight="1">
      <x:c r="A461" s="192" t="str">
        <x:v>enterprise</x:v>
      </x:c>
      <x:c r="B461" s="192" t="str">
        <x:v>n.</x:v>
      </x:c>
      <x:c r="C461" s="194" t="str">
        <x:v>підприємство</x:v>
      </x:c>
      <x:c r="D461" s="195" t="str">
        <x:v>Компанія, бізнес, організація чи інша цілеспрямована діяльність.</x:v>
      </x:c>
      <x:c r="E461" s="192" t="str">
        <x:v>Oxford C1</x:v>
      </x:c>
      <x:c r="F461" s="192" t="str">
        <x:v>High</x:v>
      </x:c>
      <x:c r="G461" s="192" t="str">
        <x:v>Not Started</x:v>
      </x:c>
      <x:c r="H461" s="192" t="n">
        <x:v>0</x:v>
      </x:c>
    </x:row>
    <x:row r="462" ht="56" customHeight="1">
      <x:c r="A462" s="192" t="str">
        <x:v>enthusiast</x:v>
      </x:c>
      <x:c r="B462" s="192" t="str">
        <x:v>n.</x:v>
      </x:c>
      <x:c r="C462" s="194" t="str">
        <x:v>ентузіаст</x:v>
      </x:c>
      <x:c r="D462" s="195" t="str">
        <x:v>Людина, сповнена або керована ентузіазмом.</x:v>
      </x:c>
      <x:c r="E462" s="192" t="str">
        <x:v>Oxford C1</x:v>
      </x:c>
      <x:c r="F462" s="192" t="str">
        <x:v>Core</x:v>
      </x:c>
      <x:c r="G462" s="192" t="str">
        <x:v>Not Started</x:v>
      </x:c>
      <x:c r="H462" s="192" t="n">
        <x:v>0</x:v>
      </x:c>
    </x:row>
    <x:row r="463" ht="56" customHeight="1">
      <x:c r="A463" s="192" t="str">
        <x:v>entitle</x:v>
      </x:c>
      <x:c r="B463" s="192" t="str">
        <x:v>v.</x:v>
      </x:c>
      <x:c r="C463" s="194" t="str">
        <x:v>заголовок</x:v>
      </x:c>
      <x:c r="D463" s="195" t="str">
        <x:v>Дати назву.</x:v>
      </x:c>
      <x:c r="E463" s="192" t="str">
        <x:v>Oxford C1</x:v>
      </x:c>
      <x:c r="F463" s="192" t="str">
        <x:v>Core</x:v>
      </x:c>
      <x:c r="G463" s="192" t="str">
        <x:v>Not Started</x:v>
      </x:c>
      <x:c r="H463" s="192" t="n">
        <x:v>0</x:v>
      </x:c>
    </x:row>
    <x:row r="464" ht="56" customHeight="1">
      <x:c r="A464" s="192" t="str">
        <x:v>entity</x:v>
      </x:c>
      <x:c r="B464" s="192" t="str">
        <x:v>n.</x:v>
      </x:c>
      <x:c r="C464" s="194" t="str">
        <x:v>сутність</x:v>
      </x:c>
      <x:c r="D464" s="195" t="str">
        <x:v>Те, що існує як окрема одиниця, часто використовується для організацій, які не мають фізичної форми.</x:v>
      </x:c>
      <x:c r="E464" s="192" t="str">
        <x:v>Oxford C1</x:v>
      </x:c>
      <x:c r="F464" s="192" t="str">
        <x:v>Core</x:v>
      </x:c>
      <x:c r="G464" s="192" t="str">
        <x:v>Not Started</x:v>
      </x:c>
      <x:c r="H464" s="192" t="n">
        <x:v>0</x:v>
      </x:c>
    </x:row>
    <x:row r="465" ht="56" customHeight="1">
      <x:c r="A465" s="192" t="str">
        <x:v>epidemic</x:v>
      </x:c>
      <x:c r="B465" s="192" t="str">
        <x:v>n.</x:v>
      </x:c>
      <x:c r="C465" s="194" t="str">
        <x:v>епідемія</x:v>
      </x:c>
      <x:c r="D465" s="195" t="str">
        <x:v>Широко поширене захворювання, яке вражає багато людей у ​​популяції.</x:v>
      </x:c>
      <x:c r="E465" s="192" t="str">
        <x:v>Oxford C1</x:v>
      </x:c>
      <x:c r="F465" s="192" t="str">
        <x:v>High</x:v>
      </x:c>
      <x:c r="G465" s="192" t="str">
        <x:v>Not Started</x:v>
      </x:c>
      <x:c r="H465" s="192" t="n">
        <x:v>0</x:v>
      </x:c>
    </x:row>
    <x:row r="466" ht="56" customHeight="1">
      <x:c r="A466" s="192" t="str">
        <x:v>equality</x:v>
      </x:c>
      <x:c r="B466" s="192" t="str">
        <x:v>n.</x:v>
      </x:c>
      <x:c r="C466" s="194" t="str">
        <x:v>рівність</x:v>
      </x:c>
      <x:c r="D466" s="195" t="str">
        <x:v>Факт рівності.</x:v>
      </x:c>
      <x:c r="E466" s="192" t="str">
        <x:v>Oxford C1</x:v>
      </x:c>
      <x:c r="F466" s="192" t="str">
        <x:v>Core</x:v>
      </x:c>
      <x:c r="G466" s="192" t="str">
        <x:v>Not Started</x:v>
      </x:c>
      <x:c r="H466" s="192" t="n">
        <x:v>0</x:v>
      </x:c>
    </x:row>
    <x:row r="467" ht="56" customHeight="1">
      <x:c r="A467" s="192" t="str">
        <x:v>equation</x:v>
      </x:c>
      <x:c r="B467" s="192" t="str">
        <x:v>n.</x:v>
      </x:c>
      <x:c r="C467" s="194" t="str">
        <x:v>рівняння</x:v>
      </x:c>
      <x:c r="D467" s="195" t="str">
        <x:v>Твердження про рівність двох виразів, виражене записом двох виразів, розділених знаком рівності;</x:v>
      </x:c>
      <x:c r="E467" s="192" t="str">
        <x:v>Oxford C1 + AWL 2</x:v>
      </x:c>
      <x:c r="F467" s="192" t="str">
        <x:v>High</x:v>
      </x:c>
      <x:c r="G467" s="192" t="str">
        <x:v>Not Started</x:v>
      </x:c>
      <x:c r="H467" s="192" t="n">
        <x:v>0</x:v>
      </x:c>
    </x:row>
    <x:row r="468" ht="56" customHeight="1">
      <x:c r="A468" s="192" t="str">
        <x:v>erect</x:v>
      </x:c>
      <x:c r="B468" s="192" t="str">
        <x:v>v.</x:v>
      </x:c>
      <x:c r="C468" s="194" t="str">
        <x:v>звести</x:v>
      </x:c>
      <x:c r="D468" s="195" t="str">
        <x:v>Збирати шляхом з’єднання матеріалів або частин.</x:v>
      </x:c>
      <x:c r="E468" s="192" t="str">
        <x:v>Oxford C1</x:v>
      </x:c>
      <x:c r="F468" s="192" t="str">
        <x:v>Core</x:v>
      </x:c>
      <x:c r="G468" s="192" t="str">
        <x:v>Not Started</x:v>
      </x:c>
      <x:c r="H468" s="192" t="n">
        <x:v>0</x:v>
      </x:c>
    </x:row>
    <x:row r="469" ht="56" customHeight="1">
      <x:c r="A469" s="192" t="str">
        <x:v>escalate</x:v>
      </x:c>
      <x:c r="B469" s="192" t="str">
        <x:v>v.</x:v>
      </x:c>
      <x:c r="C469" s="194" t="str">
        <x:v>загострювати</x:v>
      </x:c>
      <x:c r="D469" s="195" t="str">
        <x:v>Збільшувати (щось) обсяг або інтенсивність; посилити або посилити.</x:v>
      </x:c>
      <x:c r="E469" s="192" t="str">
        <x:v>Oxford C1</x:v>
      </x:c>
      <x:c r="F469" s="192" t="str">
        <x:v>Core</x:v>
      </x:c>
      <x:c r="G469" s="192" t="str">
        <x:v>Not Started</x:v>
      </x:c>
      <x:c r="H469" s="192" t="n">
        <x:v>0</x:v>
      </x:c>
    </x:row>
    <x:row r="470" ht="56" customHeight="1">
      <x:c r="A470" s="192" t="str">
        <x:v>essence</x:v>
      </x:c>
      <x:c r="B470" s="192" t="str">
        <x:v>n.</x:v>
      </x:c>
      <x:c r="C470" s="194" t="str">
        <x:v>суть</x:v>
      </x:c>
      <x:c r="D470" s="195" t="str">
        <x:v>Внутрішня природа речі або ідеї.</x:v>
      </x:c>
      <x:c r="E470" s="192" t="str">
        <x:v>Oxford C1</x:v>
      </x:c>
      <x:c r="F470" s="192" t="str">
        <x:v>Core</x:v>
      </x:c>
      <x:c r="G470" s="192" t="str">
        <x:v>Not Started</x:v>
      </x:c>
      <x:c r="H470" s="192" t="n">
        <x:v>0</x:v>
      </x:c>
    </x:row>
    <x:row r="471" ht="56" customHeight="1">
      <x:c r="A471" s="192" t="str">
        <x:v>establishment</x:v>
      </x:c>
      <x:c r="B471" s="192" t="str">
        <x:v>n.</x:v>
      </x:c>
      <x:c r="C471" s="194" t="str">
        <x:v>заклад</x:v>
      </x:c>
      <x:c r="D471" s="195" t="str">
        <x:v>Те, що встановлено; як форма правління, постійна організація, бізнес або сила, або місце, де людина постійно проживає.</x:v>
      </x:c>
      <x:c r="E471" s="192" t="str">
        <x:v>Oxford C1</x:v>
      </x:c>
      <x:c r="F471" s="192" t="str">
        <x:v>Core</x:v>
      </x:c>
      <x:c r="G471" s="192" t="str">
        <x:v>Not Started</x:v>
      </x:c>
      <x:c r="H471" s="192" t="n">
        <x:v>0</x:v>
      </x:c>
    </x:row>
    <x:row r="472" ht="56" customHeight="1">
      <x:c r="A472" s="192" t="str">
        <x:v>eternal</x:v>
      </x:c>
      <x:c r="B472" s="192" t="str">
        <x:v>adj.</x:v>
      </x:c>
      <x:c r="C472" s="194" t="str">
        <x:v>вічний</x:v>
      </x:c>
      <x:c r="D472" s="195" t="str">
        <x:v>Триває назавжди; нескінченний.</x:v>
      </x:c>
      <x:c r="E472" s="192" t="str">
        <x:v>Oxford C1</x:v>
      </x:c>
      <x:c r="F472" s="192" t="str">
        <x:v>Core</x:v>
      </x:c>
      <x:c r="G472" s="192" t="str">
        <x:v>Not Started</x:v>
      </x:c>
      <x:c r="H472" s="192" t="n">
        <x:v>0</x:v>
      </x:c>
    </x:row>
    <x:row r="473" ht="56" customHeight="1">
      <x:c r="A473" s="192" t="str">
        <x:v>evacuate</x:v>
      </x:c>
      <x:c r="B473" s="192" t="str">
        <x:v>v.</x:v>
      </x:c>
      <x:c r="C473" s="194" t="str">
        <x:v>евакуювати</x:v>
      </x:c>
      <x:c r="D473" s="195" t="str">
        <x:v>Вийти або вийти з; кинути; піти на пенсію.</x:v>
      </x:c>
      <x:c r="E473" s="192" t="str">
        <x:v>Oxford C1</x:v>
      </x:c>
      <x:c r="F473" s="192" t="str">
        <x:v>Core</x:v>
      </x:c>
      <x:c r="G473" s="192" t="str">
        <x:v>Not Started</x:v>
      </x:c>
      <x:c r="H473" s="192" t="n">
        <x:v>0</x:v>
      </x:c>
    </x:row>
    <x:row r="474" ht="56" customHeight="1">
      <x:c r="A474" s="192" t="str">
        <x:v>evoke</x:v>
      </x:c>
      <x:c r="B474" s="192" t="str">
        <x:v>v.</x:v>
      </x:c>
      <x:c r="C474" s="194" t="str">
        <x:v>викликати</x:v>
      </x:c>
      <x:c r="D474" s="195" t="str">
        <x:v>Викликати прояв чогось (емоції, картини тощо) в чиємусь розумі чи уяві.</x:v>
      </x:c>
      <x:c r="E474" s="192" t="str">
        <x:v>Oxford C1</x:v>
      </x:c>
      <x:c r="F474" s="192" t="str">
        <x:v>Core</x:v>
      </x:c>
      <x:c r="G474" s="192" t="str">
        <x:v>Not Started</x:v>
      </x:c>
      <x:c r="H474" s="192" t="n">
        <x:v>0</x:v>
      </x:c>
    </x:row>
    <x:row r="475" ht="56" customHeight="1">
      <x:c r="A475" s="192" t="str">
        <x:v>evolutionary</x:v>
      </x:c>
      <x:c r="B475" s="192" t="str">
        <x:v>adj.</x:v>
      </x:c>
      <x:c r="C475" s="194" t="str">
        <x:v>еволюційний</x:v>
      </x:c>
      <x:c r="D475" s="195" t="str">
        <x:v>Відносно біологічної теорії еволюції або до неї.</x:v>
      </x:c>
      <x:c r="E475" s="192" t="str">
        <x:v>Oxford C1</x:v>
      </x:c>
      <x:c r="F475" s="192" t="str">
        <x:v>Core</x:v>
      </x:c>
      <x:c r="G475" s="192" t="str">
        <x:v>Not Started</x:v>
      </x:c>
      <x:c r="H475" s="192" t="n">
        <x:v>0</x:v>
      </x:c>
    </x:row>
    <x:row r="476" ht="56" customHeight="1">
      <x:c r="A476" s="192" t="str">
        <x:v>exaggerate</x:v>
      </x:c>
      <x:c r="B476" s="192" t="str">
        <x:v>v.</x:v>
      </x:c>
      <x:c r="C476" s="194" t="str">
        <x:v>перебільшувати</x:v>
      </x:c>
      <x:c r="D476" s="195" t="str">
        <x:v>Перебільшувати, описувати більше, ніж факт.</x:v>
      </x:c>
      <x:c r="E476" s="192" t="str">
        <x:v>Oxford C1</x:v>
      </x:c>
      <x:c r="F476" s="192" t="str">
        <x:v>Core</x:v>
      </x:c>
      <x:c r="G476" s="192" t="str">
        <x:v>Not Started</x:v>
      </x:c>
      <x:c r="H476" s="192" t="n">
        <x:v>0</x:v>
      </x:c>
    </x:row>
    <x:row r="477" ht="56" customHeight="1">
      <x:c r="A477" s="192" t="str">
        <x:v>excellence</x:v>
      </x:c>
      <x:c r="B477" s="192" t="str">
        <x:v>n.</x:v>
      </x:c>
      <x:c r="C477" s="194" t="str">
        <x:v>відмінність</x:v>
      </x:c>
      <x:c r="D477" s="195" t="str">
        <x:v>Якість бути відмінною; блиск</x:v>
      </x:c>
      <x:c r="E477" s="192" t="str">
        <x:v>Oxford C1</x:v>
      </x:c>
      <x:c r="F477" s="192" t="str">
        <x:v>Core</x:v>
      </x:c>
      <x:c r="G477" s="192" t="str">
        <x:v>Not Started</x:v>
      </x:c>
      <x:c r="H477" s="192" t="n">
        <x:v>0</x:v>
      </x:c>
    </x:row>
    <x:row r="478" ht="56" customHeight="1">
      <x:c r="A478" s="192" t="str">
        <x:v>exceptional</x:v>
      </x:c>
      <x:c r="B478" s="192" t="str">
        <x:v>adj.</x:v>
      </x:c>
      <x:c r="C478" s="194" t="str">
        <x:v>винятковий</x:v>
      </x:c>
      <x:c r="D478" s="195" t="str">
        <x:v>Формування винятку; не звичайний; незвичайний; рідкісні.</x:v>
      </x:c>
      <x:c r="E478" s="192" t="str">
        <x:v>Oxford C1</x:v>
      </x:c>
      <x:c r="F478" s="192" t="str">
        <x:v>Core</x:v>
      </x:c>
      <x:c r="G478" s="192" t="str">
        <x:v>Not Started</x:v>
      </x:c>
      <x:c r="H478" s="192" t="n">
        <x:v>0</x:v>
      </x:c>
    </x:row>
    <x:row r="479" ht="56" customHeight="1">
      <x:c r="A479" s="192" t="str">
        <x:v>excess</x:v>
      </x:c>
      <x:c r="B479" s="192" t="str">
        <x:v>n., adj.</x:v>
      </x:c>
      <x:c r="C479" s="194" t="str">
        <x:v>надлишок</x:v>
      </x:c>
      <x:c r="D479" s="195" t="str">
        <x:v>Стан перевищення або виходу за межі; стан поза достатністю, необхідністю або обов'язком; більше, ніж те, що є звичайним або належним.</x:v>
      </x:c>
      <x:c r="E479" s="192" t="str">
        <x:v>Oxford C1</x:v>
      </x:c>
      <x:c r="F479" s="192" t="str">
        <x:v>Core</x:v>
      </x:c>
      <x:c r="G479" s="192" t="str">
        <x:v>Not Started</x:v>
      </x:c>
      <x:c r="H479" s="192" t="n">
        <x:v>0</x:v>
      </x:c>
    </x:row>
    <x:row r="480" ht="56" customHeight="1">
      <x:c r="A480" s="192" t="str">
        <x:v>exclusion</x:v>
      </x:c>
      <x:c r="B480" s="192" t="str">
        <x:v>n.</x:v>
      </x:c>
      <x:c r="C480" s="194" t="str">
        <x:v>виключення</x:v>
      </x:c>
      <x:c r="D480" s="195" t="str">
        <x:v>Акт виключення або виключення; зняття з розгляду або участі.</x:v>
      </x:c>
      <x:c r="E480" s="192" t="str">
        <x:v>Oxford C1</x:v>
      </x:c>
      <x:c r="F480" s="192" t="str">
        <x:v>Core</x:v>
      </x:c>
      <x:c r="G480" s="192" t="str">
        <x:v>Not Started</x:v>
      </x:c>
      <x:c r="H480" s="192" t="n">
        <x:v>0</x:v>
      </x:c>
    </x:row>
    <x:row r="481" ht="56" customHeight="1">
      <x:c r="A481" s="192" t="str">
        <x:v>exclusive</x:v>
      </x:c>
      <x:c r="B481" s="192" t="str">
        <x:v>adj.</x:v>
      </x:c>
      <x:c r="C481" s="194" t="str">
        <x:v>винятковий</x:v>
      </x:c>
      <x:c r="D481" s="195" t="str">
        <x:v>Виключення елементів або учасників, які не відповідають певним умовам.</x:v>
      </x:c>
      <x:c r="E481" s="192" t="str">
        <x:v>Oxford C1</x:v>
      </x:c>
      <x:c r="F481" s="192" t="str">
        <x:v>Core</x:v>
      </x:c>
      <x:c r="G481" s="192" t="str">
        <x:v>Not Started</x:v>
      </x:c>
      <x:c r="H481" s="192" t="n">
        <x:v>0</x:v>
      </x:c>
    </x:row>
    <x:row r="482" ht="56" customHeight="1">
      <x:c r="A482" s="192" t="str">
        <x:v>exclusively</x:v>
      </x:c>
      <x:c r="B482" s="192" t="str">
        <x:v>adv.</x:v>
      </x:c>
      <x:c r="C482" s="194" t="str">
        <x:v>виключно</x:v>
      </x:c>
      <x:c r="D482" s="195" t="str">
        <x:v>на виключення будь-чого або будь-кого іншого; виключно або цілком</x:v>
      </x:c>
      <x:c r="E482" s="192" t="str">
        <x:v>Oxford C1</x:v>
      </x:c>
      <x:c r="F482" s="192" t="str">
        <x:v>Core</x:v>
      </x:c>
      <x:c r="G482" s="192" t="str">
        <x:v>Not Started</x:v>
      </x:c>
      <x:c r="H482" s="192" t="n">
        <x:v>0</x:v>
      </x:c>
    </x:row>
    <x:row r="483" ht="56" customHeight="1">
      <x:c r="A483" s="192" t="str">
        <x:v>execute</x:v>
      </x:c>
      <x:c r="B483" s="192" t="str">
        <x:v>v.</x:v>
      </x:c>
      <x:c r="C483" s="194" t="str">
        <x:v>виконувати</x:v>
      </x:c>
      <x:c r="D483" s="195" t="str">
        <x:v>Здійснювати; ввести в дію.</x:v>
      </x:c>
      <x:c r="E483" s="192" t="str">
        <x:v>Oxford C1</x:v>
      </x:c>
      <x:c r="F483" s="192" t="str">
        <x:v>Core</x:v>
      </x:c>
      <x:c r="G483" s="192" t="str">
        <x:v>Not Started</x:v>
      </x:c>
      <x:c r="H483" s="192" t="n">
        <x:v>0</x:v>
      </x:c>
    </x:row>
    <x:row r="484" ht="56" customHeight="1">
      <x:c r="A484" s="192" t="str">
        <x:v>execution</x:v>
      </x:c>
      <x:c r="B484" s="192" t="str">
        <x:v>n.</x:v>
      </x:c>
      <x:c r="C484" s="194" t="str">
        <x:v>виконання</x:v>
      </x:c>
      <x:c r="D484" s="195" t="str">
        <x:v>Дія, спосіб або стиль виконання (дій, маневрів, вистав).</x:v>
      </x:c>
      <x:c r="E484" s="192" t="str">
        <x:v>Oxford C1</x:v>
      </x:c>
      <x:c r="F484" s="192" t="str">
        <x:v>Core</x:v>
      </x:c>
      <x:c r="G484" s="192" t="str">
        <x:v>Not Started</x:v>
      </x:c>
      <x:c r="H484" s="192" t="n">
        <x:v>0</x:v>
      </x:c>
    </x:row>
    <x:row r="485" ht="56" customHeight="1">
      <x:c r="A485" s="192" t="str">
        <x:v>exert</x:v>
      </x:c>
      <x:c r="B485" s="192" t="str">
        <x:v>v.</x:v>
      </x:c>
      <x:c r="C485" s="194" t="str">
        <x:v>прикладати</x:v>
      </x:c>
      <x:c r="D485" s="195" t="str">
        <x:v>Використовувати, застосовувати, особливо щось нематеріальне; довести до ладу.</x:v>
      </x:c>
      <x:c r="E485" s="192" t="str">
        <x:v>Oxford C1</x:v>
      </x:c>
      <x:c r="F485" s="192" t="str">
        <x:v>Core</x:v>
      </x:c>
      <x:c r="G485" s="192" t="str">
        <x:v>Not Started</x:v>
      </x:c>
      <x:c r="H485" s="192" t="n">
        <x:v>0</x:v>
      </x:c>
    </x:row>
    <x:row r="486" ht="56" customHeight="1">
      <x:c r="A486" s="192" t="str">
        <x:v>exile</x:v>
      </x:c>
      <x:c r="B486" s="192" t="str">
        <x:v>n.</x:v>
      </x:c>
      <x:c r="C486" s="194" t="str">
        <x:v>вигнання</x:v>
      </x:c>
      <x:c r="D486" s="195" t="str">
        <x:v>Стан вигнання з дому чи країни.</x:v>
      </x:c>
      <x:c r="E486" s="192" t="str">
        <x:v>Oxford C1</x:v>
      </x:c>
      <x:c r="F486" s="192" t="str">
        <x:v>Core</x:v>
      </x:c>
      <x:c r="G486" s="192" t="str">
        <x:v>Not Started</x:v>
      </x:c>
      <x:c r="H486" s="192" t="n">
        <x:v>0</x:v>
      </x:c>
    </x:row>
    <x:row r="487" ht="56" customHeight="1">
      <x:c r="A487" s="192" t="str">
        <x:v>exit</x:v>
      </x:c>
      <x:c r="B487" s="192" t="str">
        <x:v>v.</x:v>
      </x:c>
      <x:c r="C487" s="194" t="str">
        <x:v>вихід</x:v>
      </x:c>
      <x:c r="D487" s="195" t="str">
        <x:v>Вийти або піти з місця чи ситуації; відійти, відійти.</x:v>
      </x:c>
      <x:c r="E487" s="192" t="str">
        <x:v>Oxford C1</x:v>
      </x:c>
      <x:c r="F487" s="192" t="str">
        <x:v>Core</x:v>
      </x:c>
      <x:c r="G487" s="192" t="str">
        <x:v>Not Started</x:v>
      </x:c>
      <x:c r="H487" s="192" t="n">
        <x:v>0</x:v>
      </x:c>
    </x:row>
    <x:row r="488" ht="56" customHeight="1">
      <x:c r="A488" s="192" t="str">
        <x:v>expenditure</x:v>
      </x:c>
      <x:c r="B488" s="192" t="str">
        <x:v>n.</x:v>
      </x:c>
      <x:c r="C488" s="194" t="str">
        <x:v>витрати</x:v>
      </x:c>
      <x:c r="D488" s="195" t="str">
        <x:v>Витрачена сума; витрати; витрати.</x:v>
      </x:c>
      <x:c r="E488" s="192" t="str">
        <x:v>Oxford C1</x:v>
      </x:c>
      <x:c r="F488" s="192" t="str">
        <x:v>High</x:v>
      </x:c>
      <x:c r="G488" s="192" t="str">
        <x:v>Not Started</x:v>
      </x:c>
      <x:c r="H488" s="192" t="n">
        <x:v>0</x:v>
      </x:c>
    </x:row>
    <x:row r="489" ht="56" customHeight="1">
      <x:c r="A489" s="192" t="str">
        <x:v>experimental</x:v>
      </x:c>
      <x:c r="B489" s="192" t="str">
        <x:v>adj.</x:v>
      </x:c>
      <x:c r="C489" s="194" t="str">
        <x:v>експериментальний</x:v>
      </x:c>
      <x:c r="D489" s="195" t="str">
        <x:v>Відносно або засноване на експерименті.</x:v>
      </x:c>
      <x:c r="E489" s="192" t="str">
        <x:v>Oxford C1</x:v>
      </x:c>
      <x:c r="F489" s="192" t="str">
        <x:v>Core</x:v>
      </x:c>
      <x:c r="G489" s="192" t="str">
        <x:v>Not Started</x:v>
      </x:c>
      <x:c r="H489" s="192" t="n">
        <x:v>0</x:v>
      </x:c>
    </x:row>
    <x:row r="490" ht="56" customHeight="1">
      <x:c r="A490" s="192" t="str">
        <x:v>expire</x:v>
      </x:c>
      <x:c r="B490" s="192" t="str">
        <x:v>v.</x:v>
      </x:c>
      <x:c r="C490" s="194" t="str">
        <x:v>минає</x:v>
      </x:c>
      <x:c r="D490" s="195" t="str">
        <x:v>Втратити чинність і стати недійсним.</x:v>
      </x:c>
      <x:c r="E490" s="192" t="str">
        <x:v>Oxford C1</x:v>
      </x:c>
      <x:c r="F490" s="192" t="str">
        <x:v>Core</x:v>
      </x:c>
      <x:c r="G490" s="192" t="str">
        <x:v>Not Started</x:v>
      </x:c>
      <x:c r="H490" s="192" t="n">
        <x:v>0</x:v>
      </x:c>
    </x:row>
    <x:row r="491" ht="56" customHeight="1">
      <x:c r="A491" s="192" t="str">
        <x:v>explicit</x:v>
      </x:c>
      <x:c r="B491" s="192" t="str">
        <x:v>adj.</x:v>
      </x:c>
      <x:c r="C491" s="194" t="str">
        <x:v>явний</x:v>
      </x:c>
      <x:c r="D491" s="195" t="str">
        <x:v>Дуже конкретний, чіткий або детальний.</x:v>
      </x:c>
      <x:c r="E491" s="192" t="str">
        <x:v>Oxford C1 + AWL 6</x:v>
      </x:c>
      <x:c r="F491" s="192" t="str">
        <x:v>High</x:v>
      </x:c>
      <x:c r="G491" s="192" t="str">
        <x:v>Not Started</x:v>
      </x:c>
      <x:c r="H491" s="192" t="n">
        <x:v>0</x:v>
      </x:c>
    </x:row>
    <x:row r="492" ht="56" customHeight="1">
      <x:c r="A492" s="192" t="str">
        <x:v>explicitly</x:v>
      </x:c>
      <x:c r="B492" s="192" t="str">
        <x:v>adv.</x:v>
      </x:c>
      <x:c r="C492" s="194" t="str">
        <x:v>явно</x:v>
      </x:c>
      <x:c r="D492" s="195" t="str">
        <x:v>У явному вигляді.</x:v>
      </x:c>
      <x:c r="E492" s="192" t="str">
        <x:v>Oxford C1</x:v>
      </x:c>
      <x:c r="F492" s="192" t="str">
        <x:v>Core</x:v>
      </x:c>
      <x:c r="G492" s="192" t="str">
        <x:v>Not Started</x:v>
      </x:c>
      <x:c r="H492" s="192" t="n">
        <x:v>0</x:v>
      </x:c>
    </x:row>
    <x:row r="493" ht="56" customHeight="1">
      <x:c r="A493" s="192" t="str">
        <x:v>exploitation</x:v>
      </x:c>
      <x:c r="B493" s="192" t="str">
        <x:v>n.</x:v>
      </x:c>
      <x:c r="C493" s="194" t="str">
        <x:v>експлуатація</x:v>
      </x:c>
      <x:c r="D493" s="195" t="str">
        <x:v>Неправомірне використання чого-небудь в корисливих цілях.</x:v>
      </x:c>
      <x:c r="E493" s="192" t="str">
        <x:v>Oxford C1 + AWL 8</x:v>
      </x:c>
      <x:c r="F493" s="192" t="str">
        <x:v>High</x:v>
      </x:c>
      <x:c r="G493" s="192" t="str">
        <x:v>Not Started</x:v>
      </x:c>
      <x:c r="H493" s="192" t="n">
        <x:v>0</x:v>
      </x:c>
    </x:row>
    <x:row r="494" ht="56" customHeight="1">
      <x:c r="A494" s="192" t="str">
        <x:v>explosive</x:v>
      </x:c>
      <x:c r="B494" s="192" t="str">
        <x:v>adj., n.</x:v>
      </x:c>
      <x:c r="C494" s="194" t="str">
        <x:v>вибуховий</x:v>
      </x:c>
      <x:c r="D494" s="195" t="str">
        <x:v>Будь-які вибухові речовини.</x:v>
      </x:c>
      <x:c r="E494" s="192" t="str">
        <x:v>Oxford C1</x:v>
      </x:c>
      <x:c r="F494" s="192" t="str">
        <x:v>Core</x:v>
      </x:c>
      <x:c r="G494" s="192" t="str">
        <x:v>Not Started</x:v>
      </x:c>
      <x:c r="H494" s="192" t="n">
        <x:v>0</x:v>
      </x:c>
    </x:row>
    <x:row r="495" ht="56" customHeight="1">
      <x:c r="A495" s="192" t="str">
        <x:v>extract</x:v>
      </x:c>
      <x:c r="B495" s="192" t="str">
        <x:v>v.</x:v>
      </x:c>
      <x:c r="C495" s="194" t="str">
        <x:v>екстракт</x:v>
      </x:c>
      <x:c r="D495" s="195" t="str">
        <x:v>Витягувати; висмикувати; примусово виводити з фіксованого положення, наприклад, за допомогою тяги або відсмоктування тощо.</x:v>
      </x:c>
      <x:c r="E495" s="192" t="str">
        <x:v>Oxford C1 + AWL 7</x:v>
      </x:c>
      <x:c r="F495" s="192" t="str">
        <x:v>High</x:v>
      </x:c>
      <x:c r="G495" s="192" t="str">
        <x:v>Not Started</x:v>
      </x:c>
      <x:c r="H495" s="192" t="n">
        <x:v>0</x:v>
      </x:c>
    </x:row>
    <x:row r="496" ht="56" customHeight="1">
      <x:c r="A496" s="192" t="str">
        <x:v>extremist</x:v>
      </x:c>
      <x:c r="B496" s="192" t="str">
        <x:v>n.</x:v>
      </x:c>
      <x:c r="C496" s="194" t="str">
        <x:v>екстреміст</x:v>
      </x:c>
      <x:c r="D496" s="195" t="str">
        <x:v>Людина, яка дотримується крайніх поглядів, особливо той, хто відстоює такі погляди; радикал або фанатик.</x:v>
      </x:c>
      <x:c r="E496" s="192" t="str">
        <x:v>Oxford C1</x:v>
      </x:c>
      <x:c r="F496" s="192" t="str">
        <x:v>Core</x:v>
      </x:c>
      <x:c r="G496" s="192" t="str">
        <x:v>Not Started</x:v>
      </x:c>
      <x:c r="H496" s="192" t="n">
        <x:v>0</x:v>
      </x:c>
    </x:row>
    <x:row r="497" ht="56" customHeight="1">
      <x:c r="A497" s="192" t="str">
        <x:v>facilitate</x:v>
      </x:c>
      <x:c r="B497" s="192" t="str">
        <x:v>v.</x:v>
      </x:c>
      <x:c r="C497" s="194" t="str">
        <x:v>сприяти</x:v>
      </x:c>
      <x:c r="D497" s="195" t="str">
        <x:v>Зробити легко або легше.</x:v>
      </x:c>
      <x:c r="E497" s="192" t="str">
        <x:v>Oxford C1 + AWL 5</x:v>
      </x:c>
      <x:c r="F497" s="192" t="str">
        <x:v>High</x:v>
      </x:c>
      <x:c r="G497" s="192" t="str">
        <x:v>Not Started</x:v>
      </x:c>
      <x:c r="H497" s="192" t="n">
        <x:v>0</x:v>
      </x:c>
    </x:row>
    <x:row r="498" ht="56" customHeight="1">
      <x:c r="A498" s="192" t="str">
        <x:v>faction</x:v>
      </x:c>
      <x:c r="B498" s="192" t="str">
        <x:v>n.</x:v>
      </x:c>
      <x:c r="C498" s="194" t="str">
        <x:v>фракція</x:v>
      </x:c>
      <x:c r="D498" s="195" t="str">
        <x:v>Група людей, особливо всередині політичної організації, яка висловлює спільні переконання або думку, відмінну від людей, які не є частиною групи.</x:v>
      </x:c>
      <x:c r="E498" s="192" t="str">
        <x:v>Oxford C1</x:v>
      </x:c>
      <x:c r="F498" s="192" t="str">
        <x:v>Core</x:v>
      </x:c>
      <x:c r="G498" s="192" t="str">
        <x:v>Not Started</x:v>
      </x:c>
      <x:c r="H498" s="192" t="n">
        <x:v>0</x:v>
      </x:c>
    </x:row>
    <x:row r="499" ht="56" customHeight="1">
      <x:c r="A499" s="192" t="str">
        <x:v>faculty</x:v>
      </x:c>
      <x:c r="B499" s="192" t="str">
        <x:v>n.</x:v>
      </x:c>
      <x:c r="C499" s="194" t="str">
        <x:v>факультет</x:v>
      </x:c>
      <x:c r="D499" s="195" t="str">
        <x:v>Академічний персонал у школах, коледжах, університетах або некомерційних науково-дослідних інститутах, на відміну від студентів або допоміжного персоналу.</x:v>
      </x:c>
      <x:c r="E499" s="192" t="str">
        <x:v>Oxford C1</x:v>
      </x:c>
      <x:c r="F499" s="192" t="str">
        <x:v>High</x:v>
      </x:c>
      <x:c r="G499" s="192" t="str">
        <x:v>Not Started</x:v>
      </x:c>
      <x:c r="H499" s="192" t="n">
        <x:v>0</x:v>
      </x:c>
    </x:row>
    <x:row r="500" ht="56" customHeight="1">
      <x:c r="A500" s="192" t="str">
        <x:v>fade</x:v>
      </x:c>
      <x:c r="B500" s="192" t="str">
        <x:v>v.</x:v>
      </x:c>
      <x:c r="C500" s="194" t="str">
        <x:v>зникати</x:v>
      </x:c>
      <x:c r="D500" s="195" t="str">
        <x:v>Слабнути; втрачати силу; розкладатися; поступово гинути; в’янути, як рослина.</x:v>
      </x:c>
      <x:c r="E500" s="192" t="str">
        <x:v>Oxford C1</x:v>
      </x:c>
      <x:c r="F500" s="192" t="str">
        <x:v>Core</x:v>
      </x:c>
      <x:c r="G500" s="192" t="str">
        <x:v>Not Started</x:v>
      </x:c>
      <x:c r="H500" s="192" t="n">
        <x:v>0</x:v>
      </x:c>
    </x:row>
    <x:row r="501" ht="56" customHeight="1">
      <x:c r="A501" s="192" t="str">
        <x:v>fairness</x:v>
      </x:c>
      <x:c r="B501" s="192" t="str">
        <x:v>n.</x:v>
      </x:c>
      <x:c r="C501" s="194" t="str">
        <x:v>справедливість</x:v>
      </x:c>
      <x:c r="D501" s="195" t="str">
        <x:v>Властивість бути справедливим або справедливим.</x:v>
      </x:c>
      <x:c r="E501" s="192" t="str">
        <x:v>Oxford C1</x:v>
      </x:c>
      <x:c r="F501" s="192" t="str">
        <x:v>Core</x:v>
      </x:c>
      <x:c r="G501" s="192" t="str">
        <x:v>Not Started</x:v>
      </x:c>
      <x:c r="H501" s="192" t="n">
        <x:v>0</x:v>
      </x:c>
    </x:row>
    <x:row r="502" ht="56" customHeight="1">
      <x:c r="A502" s="192" t="str">
        <x:v>fatal</x:v>
      </x:c>
      <x:c r="B502" s="192" t="str">
        <x:v>adj.</x:v>
      </x:c>
      <x:c r="C502" s="194" t="str">
        <x:v>фатальний</x:v>
      </x:c>
      <x:c r="D502" s="195" t="str">
        <x:v>Заподіяння смерті або руйнування.</x:v>
      </x:c>
      <x:c r="E502" s="192" t="str">
        <x:v>Oxford C1</x:v>
      </x:c>
      <x:c r="F502" s="192" t="str">
        <x:v>Core</x:v>
      </x:c>
      <x:c r="G502" s="192" t="str">
        <x:v>Not Started</x:v>
      </x:c>
      <x:c r="H502" s="192" t="n">
        <x:v>0</x:v>
      </x:c>
    </x:row>
    <x:row r="503" ht="56" customHeight="1">
      <x:c r="A503" s="192" t="str">
        <x:v>fate</x:v>
      </x:c>
      <x:c r="B503" s="192" t="str">
        <x:v>n.</x:v>
      </x:c>
      <x:c r="C503" s="194" t="str">
        <x:v>доля</x:v>
      </x:c>
      <x:c r="D503" s="195" t="str">
        <x:v>Передбачувана причина, сила, принцип або божественна воля, яка визначає події.</x:v>
      </x:c>
      <x:c r="E503" s="192" t="str">
        <x:v>Oxford C1</x:v>
      </x:c>
      <x:c r="F503" s="192" t="str">
        <x:v>Core</x:v>
      </x:c>
      <x:c r="G503" s="192" t="str">
        <x:v>Not Started</x:v>
      </x:c>
      <x:c r="H503" s="192" t="n">
        <x:v>0</x:v>
      </x:c>
    </x:row>
    <x:row r="504" ht="56" customHeight="1">
      <x:c r="A504" s="192" t="str">
        <x:v>favourable</x:v>
      </x:c>
      <x:c r="B504" s="192" t="str">
        <x:v>adj.</x:v>
      </x:c>
      <x:c r="C504" s="194" t="str">
        <x:v>сприятливий</x:v>
      </x:c>
      <x:c r="D504" s="195" t="str">
        <x:v>Вираження або вказівка ​​на прихильність чи доброзичливість; схвалюючи, заохочуючи.</x:v>
      </x:c>
      <x:c r="E504" s="192" t="str">
        <x:v>Oxford C1</x:v>
      </x:c>
      <x:c r="F504" s="192" t="str">
        <x:v>Core</x:v>
      </x:c>
      <x:c r="G504" s="192" t="str">
        <x:v>Not Started</x:v>
      </x:c>
      <x:c r="H504" s="192" t="n">
        <x:v>0</x:v>
      </x:c>
    </x:row>
    <x:row r="505" ht="56" customHeight="1">
      <x:c r="A505" s="192" t="str">
        <x:v>feat</x:v>
      </x:c>
      <x:c r="B505" s="192" t="str">
        <x:v>n.</x:v>
      </x:c>
      <x:c r="C505" s="194" t="str">
        <x:v>подвиг; визначне досягнення</x:v>
      </x:c>
      <x:c r="D505" s="195" t="str">
        <x:v>Відносно рідкісне або важке досягнення.</x:v>
      </x:c>
      <x:c r="E505" s="192" t="str">
        <x:v>Oxford C1</x:v>
      </x:c>
      <x:c r="F505" s="192" t="str">
        <x:v>Core</x:v>
      </x:c>
      <x:c r="G505" s="192" t="str">
        <x:v>Not Started</x:v>
      </x:c>
      <x:c r="H505" s="192" t="n">
        <x:v>0</x:v>
      </x:c>
    </x:row>
    <x:row r="506" ht="56" customHeight="1">
      <x:c r="A506" s="192" t="str">
        <x:v>feminist</x:v>
      </x:c>
      <x:c r="B506" s="192" t="str">
        <x:v>adj., n.</x:v>
      </x:c>
      <x:c r="C506" s="194" t="str">
        <x:v>феміністка</x:v>
      </x:c>
      <x:c r="D506" s="195" t="str">
        <x:v>Прихильниця фемінізму; людина, яка вірить у забезпечення рівності статей (жінок і чоловіків) у всіх аспектах суспільного та приватного життя.</x:v>
      </x:c>
      <x:c r="E506" s="192" t="str">
        <x:v>Oxford C1</x:v>
      </x:c>
      <x:c r="F506" s="192" t="str">
        <x:v>Core</x:v>
      </x:c>
      <x:c r="G506" s="192" t="str">
        <x:v>Not Started</x:v>
      </x:c>
      <x:c r="H506" s="192" t="n">
        <x:v>0</x:v>
      </x:c>
    </x:row>
    <x:row r="507" ht="56" customHeight="1">
      <x:c r="A507" s="192" t="str">
        <x:v>fibre</x:v>
      </x:c>
      <x:c r="B507" s="192" t="str">
        <x:v>n.</x:v>
      </x:c>
      <x:c r="C507" s="194" t="str">
        <x:v>клітковина</x:v>
      </x:c>
      <x:c r="D507" s="195" t="str">
        <x:v>Харчові волокна.</x:v>
      </x:c>
      <x:c r="E507" s="192" t="str">
        <x:v>Oxford C1</x:v>
      </x:c>
      <x:c r="F507" s="192" t="str">
        <x:v>Core</x:v>
      </x:c>
      <x:c r="G507" s="192" t="str">
        <x:v>Not Started</x:v>
      </x:c>
      <x:c r="H507" s="192" t="n">
        <x:v>0</x:v>
      </x:c>
    </x:row>
    <x:row r="508" ht="56" customHeight="1">
      <x:c r="A508" s="192" t="str">
        <x:v>fierce</x:v>
      </x:c>
      <x:c r="B508" s="192" t="str">
        <x:v>adj.</x:v>
      </x:c>
      <x:c r="C508" s="194" t="str">
        <x:v>лютий</x:v>
      </x:c>
      <x:c r="D508" s="195" t="str">
        <x:v>Надзвичайно насильницький, жорстокий, лютий, жорстокий або жорстокий.</x:v>
      </x:c>
      <x:c r="E508" s="192" t="str">
        <x:v>Oxford C1</x:v>
      </x:c>
      <x:c r="F508" s="192" t="str">
        <x:v>Core</x:v>
      </x:c>
      <x:c r="G508" s="192" t="str">
        <x:v>Not Started</x:v>
      </x:c>
      <x:c r="H508" s="192" t="n">
        <x:v>0</x:v>
      </x:c>
    </x:row>
    <x:row r="509" ht="56" customHeight="1">
      <x:c r="A509" s="192" t="str">
        <x:v>film-maker</x:v>
      </x:c>
      <x:c r="B509" s="192" t="str">
        <x:v>n.</x:v>
      </x:c>
      <x:c r="C509" s="194" t="str">
        <x:v>кінорежисер</x:v>
      </x:c>
      <x:c r="D509" s="195" t="str">
        <x:v>Людина, яка створює фільми, особливо як режисер або продюсер.</x:v>
      </x:c>
      <x:c r="E509" s="192" t="str">
        <x:v>Oxford C1</x:v>
      </x:c>
      <x:c r="F509" s="192" t="str">
        <x:v>Core</x:v>
      </x:c>
      <x:c r="G509" s="192" t="str">
        <x:v>Not Started</x:v>
      </x:c>
      <x:c r="H509" s="192" t="n">
        <x:v>0</x:v>
      </x:c>
    </x:row>
    <x:row r="510" ht="56" customHeight="1">
      <x:c r="A510" s="192" t="str">
        <x:v>filter</x:v>
      </x:c>
      <x:c r="B510" s="192" t="str">
        <x:v>n., v.</x:v>
      </x:c>
      <x:c r="C510" s="194" t="str">
        <x:v>фільтр</x:v>
      </x:c>
      <x:c r="D510" s="195" t="str">
        <x:v>Для сортування, відсіву або ізоляції.</x:v>
      </x:c>
      <x:c r="E510" s="192" t="str">
        <x:v>Oxford C1</x:v>
      </x:c>
      <x:c r="F510" s="192" t="str">
        <x:v>Core</x:v>
      </x:c>
      <x:c r="G510" s="192" t="str">
        <x:v>Not Started</x:v>
      </x:c>
      <x:c r="H510" s="192" t="n">
        <x:v>0</x:v>
      </x:c>
    </x:row>
    <x:row r="511" ht="56" customHeight="1">
      <x:c r="A511" s="192" t="str">
        <x:v>fine</x:v>
      </x:c>
      <x:c r="B511" s="192" t="str">
        <x:v>n., v.</x:v>
      </x:c>
      <x:c r="C511" s="194" t="str">
        <x:v>добре</x:v>
      </x:c>
      <x:c r="D511" s="195" t="str">
        <x:v>Зробити тоншим, чистішим або чистішим; очистити або прояснити.</x:v>
      </x:c>
      <x:c r="E511" s="192" t="str">
        <x:v>Oxford C1</x:v>
      </x:c>
      <x:c r="F511" s="192" t="str">
        <x:v>Core</x:v>
      </x:c>
      <x:c r="G511" s="192" t="str">
        <x:v>Not Started</x:v>
      </x:c>
      <x:c r="H511" s="192" t="n">
        <x:v>0</x:v>
      </x:c>
    </x:row>
    <x:row r="512" ht="56" customHeight="1">
      <x:c r="A512" s="192" t="str">
        <x:v>firearm</x:v>
      </x:c>
      <x:c r="B512" s="192" t="str">
        <x:v>n.</x:v>
      </x:c>
      <x:c r="C512" s="194" t="str">
        <x:v>вогнепальна зброя</x:v>
      </x:c>
      <x:c r="D512" s="195" t="str">
        <x:v>Особиста зброя, яка використовує вибуховий порох для приведення в дію снаряда, який часто виготовляється зі свинцю.</x:v>
      </x:c>
      <x:c r="E512" s="192" t="str">
        <x:v>Oxford C1</x:v>
      </x:c>
      <x:c r="F512" s="192" t="str">
        <x:v>Core</x:v>
      </x:c>
      <x:c r="G512" s="192" t="str">
        <x:v>Not Started</x:v>
      </x:c>
      <x:c r="H512" s="192" t="n">
        <x:v>0</x:v>
      </x:c>
    </x:row>
    <x:row r="513" ht="56" customHeight="1">
      <x:c r="A513" s="192" t="str">
        <x:v>fit</x:v>
      </x:c>
      <x:c r="B513" s="192" t="str">
        <x:v>n.</x:v>
      </x:c>
      <x:c r="C513" s="194" t="str">
        <x:v>напад; припадок</x:v>
      </x:c>
      <x:c r="D513" s="195" t="str">
        <x:v>Ступінь, до якого щось підходить.</x:v>
      </x:c>
      <x:c r="E513" s="192" t="str">
        <x:v>Oxford C1</x:v>
      </x:c>
      <x:c r="F513" s="192" t="str">
        <x:v>Core</x:v>
      </x:c>
      <x:c r="G513" s="192" t="str">
        <x:v>Not Started</x:v>
      </x:c>
      <x:c r="H513" s="192" t="n">
        <x:v>0</x:v>
      </x:c>
    </x:row>
    <x:row r="514" ht="56" customHeight="1">
      <x:c r="A514" s="192" t="str">
        <x:v>fixture</x:v>
      </x:c>
      <x:c r="B514" s="192" t="str">
        <x:v>n.</x:v>
      </x:c>
      <x:c r="C514" s="194" t="str">
        <x:v>пристосування</x:v>
      </x:c>
      <x:c r="D514" s="195" t="str">
        <x:v>Щось закріплене на місці, особливо постійний прилад або інший предмет особистої власності, який вважається частиною будинку та продається разом з ним; порівняти оздоблення, оздоблення.</x:v>
      </x:c>
      <x:c r="E514" s="192" t="str">
        <x:v>Oxford C1</x:v>
      </x:c>
      <x:c r="F514" s="192" t="str">
        <x:v>Core</x:v>
      </x:c>
      <x:c r="G514" s="192" t="str">
        <x:v>Not Started</x:v>
      </x:c>
      <x:c r="H514" s="192" t="n">
        <x:v>0</x:v>
      </x:c>
    </x:row>
    <x:row r="515" ht="56" customHeight="1">
      <x:c r="A515" s="192" t="str">
        <x:v>flaw</x:v>
      </x:c>
      <x:c r="B515" s="192" t="str">
        <x:v>n.</x:v>
      </x:c>
      <x:c r="C515" s="194" t="str">
        <x:v>недолік</x:v>
      </x:c>
      <x:c r="D515" s="195" t="str">
        <x:v>Дефект, помилка або недосконалість, особливо прихована.</x:v>
      </x:c>
      <x:c r="E515" s="192" t="str">
        <x:v>Oxford C1</x:v>
      </x:c>
      <x:c r="F515" s="192" t="str">
        <x:v>Core</x:v>
      </x:c>
      <x:c r="G515" s="192" t="str">
        <x:v>Not Started</x:v>
      </x:c>
      <x:c r="H515" s="192" t="n">
        <x:v>0</x:v>
      </x:c>
    </x:row>
    <x:row r="516" ht="56" customHeight="1">
      <x:c r="A516" s="192" t="str">
        <x:v>flawed</x:v>
      </x:c>
      <x:c r="B516" s="192" t="str">
        <x:v>adj.</x:v>
      </x:c>
      <x:c r="C516" s="194" t="str">
        <x:v>дефектний</x:v>
      </x:c>
      <x:c r="D516" s="195" t="str">
        <x:v>Наявність недоліку або недосконалості.</x:v>
      </x:c>
      <x:c r="E516" s="192" t="str">
        <x:v>Oxford C1</x:v>
      </x:c>
      <x:c r="F516" s="192" t="str">
        <x:v>Core</x:v>
      </x:c>
      <x:c r="G516" s="192" t="str">
        <x:v>Not Started</x:v>
      </x:c>
      <x:c r="H516" s="192" t="n">
        <x:v>0</x:v>
      </x:c>
    </x:row>
    <x:row r="517" ht="56" customHeight="1">
      <x:c r="A517" s="192" t="str">
        <x:v>flee</x:v>
      </x:c>
      <x:c r="B517" s="192" t="str">
        <x:v>v.</x:v>
      </x:c>
      <x:c r="C517" s="194" t="str">
        <x:v>тікати</x:v>
      </x:c>
      <x:c r="D517" s="195" t="str">
        <x:v>Втікати; втекти.</x:v>
      </x:c>
      <x:c r="E517" s="192" t="str">
        <x:v>Oxford C1</x:v>
      </x:c>
      <x:c r="F517" s="192" t="str">
        <x:v>Core</x:v>
      </x:c>
      <x:c r="G517" s="192" t="str">
        <x:v>Not Started</x:v>
      </x:c>
      <x:c r="H517" s="192" t="n">
        <x:v>0</x:v>
      </x:c>
    </x:row>
    <x:row r="518" ht="56" customHeight="1">
      <x:c r="A518" s="192" t="str">
        <x:v>fleet</x:v>
      </x:c>
      <x:c r="B518" s="192" t="str">
        <x:v>n.</x:v>
      </x:c>
      <x:c r="C518" s="194" t="str">
        <x:v>флот</x:v>
      </x:c>
      <x:c r="D518" s="195" t="str">
        <x:v>Група суден або транспортних засобів.</x:v>
      </x:c>
      <x:c r="E518" s="192" t="str">
        <x:v>Oxford C1</x:v>
      </x:c>
      <x:c r="F518" s="192" t="str">
        <x:v>Core</x:v>
      </x:c>
      <x:c r="G518" s="192" t="str">
        <x:v>Not Started</x:v>
      </x:c>
      <x:c r="H518" s="192" t="n">
        <x:v>0</x:v>
      </x:c>
    </x:row>
    <x:row r="519" ht="56" customHeight="1">
      <x:c r="A519" s="192" t="str">
        <x:v>flesh</x:v>
      </x:c>
      <x:c r="B519" s="192" t="str">
        <x:v>n.</x:v>
      </x:c>
      <x:c r="C519" s="194" t="str">
        <x:v>плоть</x:v>
      </x:c>
      <x:c r="D519" s="195" t="str">
        <x:v>М’які тканини тіла, особливо м’язи та жир.</x:v>
      </x:c>
      <x:c r="E519" s="192" t="str">
        <x:v>Oxford C1</x:v>
      </x:c>
      <x:c r="F519" s="192" t="str">
        <x:v>Core</x:v>
      </x:c>
      <x:c r="G519" s="192" t="str">
        <x:v>Not Started</x:v>
      </x:c>
      <x:c r="H519" s="192" t="n">
        <x:v>0</x:v>
      </x:c>
    </x:row>
    <x:row r="520" ht="56" customHeight="1">
      <x:c r="A520" s="192" t="str">
        <x:v>flexibility</x:v>
      </x:c>
      <x:c r="B520" s="192" t="str">
        <x:v>n.</x:v>
      </x:c>
      <x:c r="C520" s="194" t="str">
        <x:v>гнучкість</x:v>
      </x:c>
      <x:c r="D520" s="195" t="str">
        <x:v>Якість бути гнучким, фізично чи метафорично.</x:v>
      </x:c>
      <x:c r="E520" s="192" t="str">
        <x:v>Oxford C1 + AWL 6</x:v>
      </x:c>
      <x:c r="F520" s="192" t="str">
        <x:v>High</x:v>
      </x:c>
      <x:c r="G520" s="192" t="str">
        <x:v>Not Started</x:v>
      </x:c>
      <x:c r="H520" s="192" t="n">
        <x:v>0</x:v>
      </x:c>
    </x:row>
    <x:row r="521" ht="56" customHeight="1">
      <x:c r="A521" s="192" t="str">
        <x:v>flourish</x:v>
      </x:c>
      <x:c r="B521" s="192" t="str">
        <x:v>v.</x:v>
      </x:c>
      <x:c r="C521" s="194" t="str">
        <x:v>процвітати</x:v>
      </x:c>
      <x:c r="D521" s="195" t="str">
        <x:v>Щоб процвітати або добре рости.</x:v>
      </x:c>
      <x:c r="E521" s="192" t="str">
        <x:v>Oxford C1</x:v>
      </x:c>
      <x:c r="F521" s="192" t="str">
        <x:v>Core</x:v>
      </x:c>
      <x:c r="G521" s="192" t="str">
        <x:v>Not Started</x:v>
      </x:c>
      <x:c r="H521" s="192" t="n">
        <x:v>0</x:v>
      </x:c>
    </x:row>
    <x:row r="522" ht="56" customHeight="1">
      <x:c r="A522" s="192" t="str">
        <x:v>fluid</x:v>
      </x:c>
      <x:c r="B522" s="192" t="str">
        <x:v>n.</x:v>
      </x:c>
      <x:c r="C522" s="194" t="str">
        <x:v>рідина</x:v>
      </x:c>
      <x:c r="D522" s="195" t="str">
        <x:v>Рідина (на відміну від твердого або газоподібного).</x:v>
      </x:c>
      <x:c r="E522" s="192" t="str">
        <x:v>Oxford C1</x:v>
      </x:c>
      <x:c r="F522" s="192" t="str">
        <x:v>Core</x:v>
      </x:c>
      <x:c r="G522" s="192" t="str">
        <x:v>Not Started</x:v>
      </x:c>
      <x:c r="H522" s="192" t="n">
        <x:v>0</x:v>
      </x:c>
    </x:row>
    <x:row r="523" ht="56" customHeight="1">
      <x:c r="A523" s="192" t="str">
        <x:v>footage</x:v>
      </x:c>
      <x:c r="B523" s="192" t="str">
        <x:v>n.</x:v>
      </x:c>
      <x:c r="C523" s="194" t="str">
        <x:v>кадри</x:v>
      </x:c>
      <x:c r="D523" s="195" t="str">
        <x:v>Кількість плівки або стрічки, яка була використана для запису чогось.</x:v>
      </x:c>
      <x:c r="E523" s="192" t="str">
        <x:v>Oxford C1</x:v>
      </x:c>
      <x:c r="F523" s="192" t="str">
        <x:v>Core</x:v>
      </x:c>
      <x:c r="G523" s="192" t="str">
        <x:v>Not Started</x:v>
      </x:c>
      <x:c r="H523" s="192" t="n">
        <x:v>0</x:v>
      </x:c>
    </x:row>
    <x:row r="524" ht="56" customHeight="1">
      <x:c r="A524" s="192" t="str">
        <x:v>foreigner</x:v>
      </x:c>
      <x:c r="B524" s="192" t="str">
        <x:v>n.</x:v>
      </x:c>
      <x:c r="C524" s="194" t="str">
        <x:v>іноземець</x:v>
      </x:c>
      <x:c r="D524" s="195" t="str">
        <x:v>Людина з чужої країни.</x:v>
      </x:c>
      <x:c r="E524" s="192" t="str">
        <x:v>Oxford C1</x:v>
      </x:c>
      <x:c r="F524" s="192" t="str">
        <x:v>Core</x:v>
      </x:c>
      <x:c r="G524" s="192" t="str">
        <x:v>Not Started</x:v>
      </x:c>
      <x:c r="H524" s="192" t="n">
        <x:v>0</x:v>
      </x:c>
    </x:row>
    <x:row r="525" ht="56" customHeight="1">
      <x:c r="A525" s="192" t="str">
        <x:v>forge</x:v>
      </x:c>
      <x:c r="B525" s="192" t="str">
        <x:v>v.</x:v>
      </x:c>
      <x:c r="C525" s="194" t="str">
        <x:v>кузня</x:v>
      </x:c>
      <x:c r="D525" s="195" t="str">
        <x:v>Формувати або створювати спільними зусиллями.</x:v>
      </x:c>
      <x:c r="E525" s="192" t="str">
        <x:v>Oxford C1</x:v>
      </x:c>
      <x:c r="F525" s="192" t="str">
        <x:v>Core</x:v>
      </x:c>
      <x:c r="G525" s="192" t="str">
        <x:v>Not Started</x:v>
      </x:c>
      <x:c r="H525" s="192" t="n">
        <x:v>0</x:v>
      </x:c>
    </x:row>
    <x:row r="526" ht="56" customHeight="1">
      <x:c r="A526" s="192" t="str">
        <x:v>formula</x:v>
      </x:c>
      <x:c r="B526" s="192" t="str">
        <x:v>n.</x:v>
      </x:c>
      <x:c r="C526" s="194" t="str">
        <x:v>формула</x:v>
      </x:c>
      <x:c r="D526" s="195" t="str">
        <x:v>План або метод вирішення проблеми або досягнення результату.</x:v>
      </x:c>
      <x:c r="E526" s="192" t="str">
        <x:v>Oxford C1 + AWL 1</x:v>
      </x:c>
      <x:c r="F526" s="192" t="str">
        <x:v>High</x:v>
      </x:c>
      <x:c r="G526" s="192" t="str">
        <x:v>Not Started</x:v>
      </x:c>
      <x:c r="H526" s="192" t="n">
        <x:v>0</x:v>
      </x:c>
    </x:row>
    <x:row r="527" ht="56" customHeight="1">
      <x:c r="A527" s="192" t="str">
        <x:v>formulate</x:v>
      </x:c>
      <x:c r="B527" s="192" t="str">
        <x:v>v.</x:v>
      </x:c>
      <x:c r="C527" s="194" t="str">
        <x:v>формулювати</x:v>
      </x:c>
      <x:c r="D527" s="195" t="str">
        <x:v>Викласти в ясній і певній формі твердження або вираз.</x:v>
      </x:c>
      <x:c r="E527" s="192" t="str">
        <x:v>Oxford C1</x:v>
      </x:c>
      <x:c r="F527" s="192" t="str">
        <x:v>Core</x:v>
      </x:c>
      <x:c r="G527" s="192" t="str">
        <x:v>Not Started</x:v>
      </x:c>
      <x:c r="H527" s="192" t="n">
        <x:v>0</x:v>
      </x:c>
    </x:row>
    <x:row r="528" ht="56" customHeight="1">
      <x:c r="A528" s="192" t="str">
        <x:v>forth</x:v>
      </x:c>
      <x:c r="B528" s="192" t="str">
        <x:v>adv.</x:v>
      </x:c>
      <x:c r="C528" s="194" t="str">
        <x:v>вперед</x:v>
      </x:c>
      <x:c r="D528" s="195" t="str">
        <x:v>Назовні, уперед або від певного місця; переважно у сталих виразах.</x:v>
      </x:c>
      <x:c r="E528" s="192" t="str">
        <x:v>Oxford C1</x:v>
      </x:c>
      <x:c r="F528" s="192" t="str">
        <x:v>Core</x:v>
      </x:c>
      <x:c r="G528" s="192" t="str">
        <x:v>Not Started</x:v>
      </x:c>
      <x:c r="H528" s="192" t="n">
        <x:v>0</x:v>
      </x:c>
    </x:row>
    <x:row r="529" ht="56" customHeight="1">
      <x:c r="A529" s="192" t="str">
        <x:v>forthcoming</x:v>
      </x:c>
      <x:c r="B529" s="192" t="str">
        <x:v>adj.</x:v>
      </x:c>
      <x:c r="C529" s="194" t="str">
        <x:v>майбутній</x:v>
      </x:c>
      <x:c r="D529" s="195" t="str">
        <x:v>Бажання співпрацювати чи надавати інформацію; щирий, відвертий, чуйний.</x:v>
      </x:c>
      <x:c r="E529" s="192" t="str">
        <x:v>Oxford C1 + AWL 10</x:v>
      </x:c>
      <x:c r="F529" s="192" t="str">
        <x:v>High</x:v>
      </x:c>
      <x:c r="G529" s="192" t="str">
        <x:v>Not Started</x:v>
      </x:c>
      <x:c r="H529" s="192" t="n">
        <x:v>0</x:v>
      </x:c>
    </x:row>
    <x:row r="530" ht="56" customHeight="1">
      <x:c r="A530" s="192" t="str">
        <x:v>foster</x:v>
      </x:c>
      <x:c r="B530" s="192" t="str">
        <x:v>v.</x:v>
      </x:c>
      <x:c r="C530" s="194" t="str">
        <x:v>виховувати</x:v>
      </x:c>
      <x:c r="D530" s="195" t="str">
        <x:v>Для виховання чи виховання нащадків або надання подібного батьківського піклування неспорідненій дитині.</x:v>
      </x:c>
      <x:c r="E530" s="192" t="str">
        <x:v>Oxford C1</x:v>
      </x:c>
      <x:c r="F530" s="192" t="str">
        <x:v>Core</x:v>
      </x:c>
      <x:c r="G530" s="192" t="str">
        <x:v>Not Started</x:v>
      </x:c>
      <x:c r="H530" s="192" t="n">
        <x:v>0</x:v>
      </x:c>
    </x:row>
    <x:row r="531" ht="56" customHeight="1">
      <x:c r="A531" s="192" t="str">
        <x:v>fragile</x:v>
      </x:c>
      <x:c r="B531" s="192" t="str">
        <x:v>adj.</x:v>
      </x:c>
      <x:c r="C531" s="194" t="str">
        <x:v>крихкий</x:v>
      </x:c>
      <x:c r="D531" s="195" t="str">
        <x:v>Легко ламається, не міцний; з ніжного матеріалу.</x:v>
      </x:c>
      <x:c r="E531" s="192" t="str">
        <x:v>Oxford C1</x:v>
      </x:c>
      <x:c r="F531" s="192" t="str">
        <x:v>Core</x:v>
      </x:c>
      <x:c r="G531" s="192" t="str">
        <x:v>Not Started</x:v>
      </x:c>
      <x:c r="H531" s="192" t="n">
        <x:v>0</x:v>
      </x:c>
    </x:row>
    <x:row r="532" ht="56" customHeight="1">
      <x:c r="A532" s="192" t="str">
        <x:v>franchise</x:v>
      </x:c>
      <x:c r="B532" s="192" t="str">
        <x:v>n.</x:v>
      </x:c>
      <x:c r="C532" s="194" t="str">
        <x:v>франшиза; право на здійснення діяльності</x:v>
      </x:c>
      <x:c r="D532" s="195" t="str">
        <x:v>Дозвіл, наданий компанією на продаж або розповсюдження своїх товарів чи послуг на певній території.</x:v>
      </x:c>
      <x:c r="E532" s="192" t="str">
        <x:v>Oxford C1</x:v>
      </x:c>
      <x:c r="F532" s="192" t="str">
        <x:v>Core</x:v>
      </x:c>
      <x:c r="G532" s="192" t="str">
        <x:v>Not Started</x:v>
      </x:c>
      <x:c r="H532" s="192" t="n">
        <x:v>0</x:v>
      </x:c>
    </x:row>
    <x:row r="533" ht="56" customHeight="1">
      <x:c r="A533" s="192" t="str">
        <x:v>frankly</x:v>
      </x:c>
      <x:c r="B533" s="192" t="str">
        <x:v>adv.</x:v>
      </x:c>
      <x:c r="C533" s="194" t="str">
        <x:v>відверто</x:v>
      </x:c>
      <x:c r="D533" s="195" t="str">
        <x:v>У відвертій чи відвертій формі, особливо у спосіб, який може здатися занадто відкритим, надмірно чесним або трохи відвертим.</x:v>
      </x:c>
      <x:c r="E533" s="192" t="str">
        <x:v>Oxford C1</x:v>
      </x:c>
      <x:c r="F533" s="192" t="str">
        <x:v>Core</x:v>
      </x:c>
      <x:c r="G533" s="192" t="str">
        <x:v>Not Started</x:v>
      </x:c>
      <x:c r="H533" s="192" t="n">
        <x:v>0</x:v>
      </x:c>
    </x:row>
    <x:row r="534" ht="56" customHeight="1">
      <x:c r="A534" s="192" t="str">
        <x:v>frustrated</x:v>
      </x:c>
      <x:c r="B534" s="192" t="str">
        <x:v>adj.</x:v>
      </x:c>
      <x:c r="C534" s="194" t="str">
        <x:v>розчарований</x:v>
      </x:c>
      <x:c r="D534" s="195" t="str">
        <x:v>Страждає від фрустрації; незадоволений, схвильований, невдоволений і/або злегка злий через те, що людина не може виконати дію або виконати бажання, або щось трапилося, або хтось інший зробив щось так само, як і ти...</x:v>
      </x:c>
      <x:c r="E534" s="192" t="str">
        <x:v>Oxford C1</x:v>
      </x:c>
      <x:c r="F534" s="192" t="str">
        <x:v>Core</x:v>
      </x:c>
      <x:c r="G534" s="192" t="str">
        <x:v>Not Started</x:v>
      </x:c>
      <x:c r="H534" s="192" t="n">
        <x:v>0</x:v>
      </x:c>
    </x:row>
    <x:row r="535" ht="56" customHeight="1">
      <x:c r="A535" s="192" t="str">
        <x:v>frustrating</x:v>
      </x:c>
      <x:c r="B535" s="192" t="str">
        <x:v>adj.</x:v>
      </x:c>
      <x:c r="C535" s="194" t="str">
        <x:v>розчарування</x:v>
      </x:c>
      <x:c r="D535" s="195" t="str">
        <x:v>Знеохочення; викликання роздратування або гніву через надмірні труднощі.</x:v>
      </x:c>
      <x:c r="E535" s="192" t="str">
        <x:v>Oxford C1</x:v>
      </x:c>
      <x:c r="F535" s="192" t="str">
        <x:v>Core</x:v>
      </x:c>
      <x:c r="G535" s="192" t="str">
        <x:v>Not Started</x:v>
      </x:c>
      <x:c r="H535" s="192" t="n">
        <x:v>0</x:v>
      </x:c>
    </x:row>
    <x:row r="536" ht="56" customHeight="1">
      <x:c r="A536" s="192" t="str">
        <x:v>frustration</x:v>
      </x:c>
      <x:c r="B536" s="192" t="str">
        <x:v>n.</x:v>
      </x:c>
      <x:c r="C536" s="194" t="str">
        <x:v>розчарування</x:v>
      </x:c>
      <x:c r="D536" s="195" t="str">
        <x:v>Почуття роздратування через неможливість від опору або неможливості чогось досягти.</x:v>
      </x:c>
      <x:c r="E536" s="192" t="str">
        <x:v>Oxford C1</x:v>
      </x:c>
      <x:c r="F536" s="192" t="str">
        <x:v>Core</x:v>
      </x:c>
      <x:c r="G536" s="192" t="str">
        <x:v>Not Started</x:v>
      </x:c>
      <x:c r="H536" s="192" t="n">
        <x:v>0</x:v>
      </x:c>
    </x:row>
    <x:row r="537" ht="56" customHeight="1">
      <x:c r="A537" s="192" t="str">
        <x:v>functional</x:v>
      </x:c>
      <x:c r="B537" s="192" t="str">
        <x:v>adj.</x:v>
      </x:c>
      <x:c r="C537" s="194" t="str">
        <x:v>функціональний</x:v>
      </x:c>
      <x:c r="D537" s="195" t="str">
        <x:v>Корисний; служіння меті, виконання функції.</x:v>
      </x:c>
      <x:c r="E537" s="192" t="str">
        <x:v>Oxford C1</x:v>
      </x:c>
      <x:c r="F537" s="192" t="str">
        <x:v>Core</x:v>
      </x:c>
      <x:c r="G537" s="192" t="str">
        <x:v>Not Started</x:v>
      </x:c>
      <x:c r="H537" s="192" t="n">
        <x:v>0</x:v>
      </x:c>
    </x:row>
    <x:row r="538" ht="56" customHeight="1">
      <x:c r="A538" s="192" t="str">
        <x:v>fundraising</x:v>
      </x:c>
      <x:c r="B538" s="192" t="str">
        <x:v>n.</x:v>
      </x:c>
      <x:c r="C538" s="194" t="str">
        <x:v>збір коштів</x:v>
      </x:c>
      <x:c r="D538" s="195" t="str">
        <x:v>Процес збору грошей шляхом запитів пожертвувань від приватних осіб і компаній.</x:v>
      </x:c>
      <x:c r="E538" s="192" t="str">
        <x:v>Oxford C1</x:v>
      </x:c>
      <x:c r="F538" s="192" t="str">
        <x:v>Core</x:v>
      </x:c>
      <x:c r="G538" s="192" t="str">
        <x:v>Not Started</x:v>
      </x:c>
      <x:c r="H538" s="192" t="n">
        <x:v>0</x:v>
      </x:c>
    </x:row>
    <x:row r="539" ht="56" customHeight="1">
      <x:c r="A539" s="192" t="str">
        <x:v>funeral</x:v>
      </x:c>
      <x:c r="B539" s="192" t="str">
        <x:v>n.</x:v>
      </x:c>
      <x:c r="C539" s="194" t="str">
        <x:v>похорон</x:v>
      </x:c>
      <x:c r="D539" s="195" t="str">
        <x:v>Церемонія вшанування та пам’яті померлої людини, яка часто відрізняється від панахиди присутністю тіла померлого.</x:v>
      </x:c>
      <x:c r="E539" s="192" t="str">
        <x:v>Oxford C1</x:v>
      </x:c>
      <x:c r="F539" s="192" t="str">
        <x:v>Core</x:v>
      </x:c>
      <x:c r="G539" s="192" t="str">
        <x:v>Not Started</x:v>
      </x:c>
      <x:c r="H539" s="192" t="n">
        <x:v>0</x:v>
      </x:c>
    </x:row>
    <x:row r="540" ht="56" customHeight="1">
      <x:c r="A540" s="192" t="str">
        <x:v>gallon</x:v>
      </x:c>
      <x:c r="B540" s="192" t="str">
        <x:v>n.</x:v>
      </x:c>
      <x:c r="C540" s="194" t="str">
        <x:v>галон</x:v>
      </x:c>
      <x:c r="D540" s="195" t="str">
        <x:v>231 кубічний дюйм або приблизно 3,785 літра для рідин («рідкий галон США»)</x:v>
      </x:c>
      <x:c r="E540" s="192" t="str">
        <x:v>Oxford C1</x:v>
      </x:c>
      <x:c r="F540" s="192" t="str">
        <x:v>Core</x:v>
      </x:c>
      <x:c r="G540" s="192" t="str">
        <x:v>Not Started</x:v>
      </x:c>
      <x:c r="H540" s="192" t="n">
        <x:v>0</x:v>
      </x:c>
    </x:row>
    <x:row r="541" ht="56" customHeight="1">
      <x:c r="A541" s="192" t="str">
        <x:v>gambling</x:v>
      </x:c>
      <x:c r="B541" s="192" t="str">
        <x:v>n.</x:v>
      </x:c>
      <x:c r="C541" s="194" t="str">
        <x:v>азартні ігри</x:v>
      </x:c>
      <x:c r="D541" s="195" t="str">
        <x:v>Діяльність, що характеризується балансом між виграшем і програшем, що регулюється сумішшю навичок і випадковості, як правило, із ставкою на результат.</x:v>
      </x:c>
      <x:c r="E541" s="192" t="str">
        <x:v>Oxford C1</x:v>
      </x:c>
      <x:c r="F541" s="192" t="str">
        <x:v>Core</x:v>
      </x:c>
      <x:c r="G541" s="192" t="str">
        <x:v>Not Started</x:v>
      </x:c>
      <x:c r="H541" s="192" t="n">
        <x:v>0</x:v>
      </x:c>
    </x:row>
    <x:row r="542" ht="56" customHeight="1">
      <x:c r="A542" s="192" t="str">
        <x:v>gathering</x:v>
      </x:c>
      <x:c r="B542" s="192" t="str">
        <x:v>n.</x:v>
      </x:c>
      <x:c r="C542" s="194" t="str">
        <x:v>збирання</x:v>
      </x:c>
      <x:c r="D542" s="195" t="str">
        <x:v>Зустріч або посиденьки; партійна чи соціальна функція.</x:v>
      </x:c>
      <x:c r="E542" s="192" t="str">
        <x:v>Oxford C1</x:v>
      </x:c>
      <x:c r="F542" s="192" t="str">
        <x:v>Core</x:v>
      </x:c>
      <x:c r="G542" s="192" t="str">
        <x:v>Not Started</x:v>
      </x:c>
      <x:c r="H542" s="192" t="n">
        <x:v>0</x:v>
      </x:c>
    </x:row>
    <x:row r="543" ht="56" customHeight="1">
      <x:c r="A543" s="192" t="str">
        <x:v>gaze</x:v>
      </x:c>
      <x:c r="B543" s="192" t="str">
        <x:v>n., v.</x:v>
      </x:c>
      <x:c r="C543" s="194" t="str">
        <x:v>погляд</x:v>
      </x:c>
      <x:c r="D543" s="195" t="str">
        <x:v>Дивитися пильно або серйозно.</x:v>
      </x:c>
      <x:c r="E543" s="192" t="str">
        <x:v>Oxford C1</x:v>
      </x:c>
      <x:c r="F543" s="192" t="str">
        <x:v>Core</x:v>
      </x:c>
      <x:c r="G543" s="192" t="str">
        <x:v>Not Started</x:v>
      </x:c>
      <x:c r="H543" s="192" t="n">
        <x:v>0</x:v>
      </x:c>
    </x:row>
    <x:row r="544" ht="56" customHeight="1">
      <x:c r="A544" s="192" t="str">
        <x:v>gear</x:v>
      </x:c>
      <x:c r="B544" s="192" t="str">
        <x:v>n.</x:v>
      </x:c>
      <x:c r="C544" s="194" t="str">
        <x:v>шестерня</x:v>
      </x:c>
      <x:c r="D544" s="195" t="str">
        <x:v>Обладнання або атрибутика, особливо те, що використовується для спортивних змагань.</x:v>
      </x:c>
      <x:c r="E544" s="192" t="str">
        <x:v>Oxford C1</x:v>
      </x:c>
      <x:c r="F544" s="192" t="str">
        <x:v>Core</x:v>
      </x:c>
      <x:c r="G544" s="192" t="str">
        <x:v>Not Started</x:v>
      </x:c>
      <x:c r="H544" s="192" t="n">
        <x:v>0</x:v>
      </x:c>
    </x:row>
    <x:row r="545" ht="56" customHeight="1">
      <x:c r="A545" s="192" t="str">
        <x:v>generic</x:v>
      </x:c>
      <x:c r="B545" s="192" t="str">
        <x:v>adj.</x:v>
      </x:c>
      <x:c r="C545" s="194" t="str">
        <x:v>родовий</x:v>
      </x:c>
      <x:c r="D545" s="195" t="str">
        <x:v>продукту або препарату, що не має торгової марки; непатентовані за дизайном або змістом; взаємозамінний з рештою свого класу.</x:v>
      </x:c>
      <x:c r="E545" s="192" t="str">
        <x:v>Oxford C1</x:v>
      </x:c>
      <x:c r="F545" s="192" t="str">
        <x:v>Core</x:v>
      </x:c>
      <x:c r="G545" s="192" t="str">
        <x:v>Not Started</x:v>
      </x:c>
      <x:c r="H545" s="192" t="n">
        <x:v>0</x:v>
      </x:c>
    </x:row>
    <x:row r="546" ht="56" customHeight="1">
      <x:c r="A546" s="192" t="str">
        <x:v>genocide</x:v>
      </x:c>
      <x:c r="B546" s="192" t="str">
        <x:v>n.</x:v>
      </x:c>
      <x:c r="C546" s="194" t="str">
        <x:v>геноцид</x:v>
      </x:c>
      <x:c r="D546" s="195" t="str">
        <x:v>Систематичне та умисне знищення групи людей; як правило, вбиваючи значну кількість з них на основі їхньої етнічної приналежності, релігії чи національності.</x:v>
      </x:c>
      <x:c r="E546" s="192" t="str">
        <x:v>Oxford C1</x:v>
      </x:c>
      <x:c r="F546" s="192" t="str">
        <x:v>Core</x:v>
      </x:c>
      <x:c r="G546" s="192" t="str">
        <x:v>Not Started</x:v>
      </x:c>
      <x:c r="H546" s="192" t="n">
        <x:v>0</x:v>
      </x:c>
    </x:row>
    <x:row r="547" ht="56" customHeight="1">
      <x:c r="A547" s="192" t="str">
        <x:v>glance</x:v>
      </x:c>
      <x:c r="B547" s="192" t="str">
        <x:v>n., v.</x:v>
      </x:c>
      <x:c r="C547" s="194" t="str">
        <x:v>погляд</x:v>
      </x:c>
      <x:c r="D547" s="195" t="str">
        <x:v>Звернути (очі чи погляд) на щось, часто ненадовго.</x:v>
      </x:c>
      <x:c r="E547" s="192" t="str">
        <x:v>Oxford C1</x:v>
      </x:c>
      <x:c r="F547" s="192" t="str">
        <x:v>Core</x:v>
      </x:c>
      <x:c r="G547" s="192" t="str">
        <x:v>Not Started</x:v>
      </x:c>
      <x:c r="H547" s="192" t="n">
        <x:v>0</x:v>
      </x:c>
    </x:row>
    <x:row r="548" ht="56" customHeight="1">
      <x:c r="A548" s="192" t="str">
        <x:v>glimpse</x:v>
      </x:c>
      <x:c r="B548" s="192" t="str">
        <x:v>n.</x:v>
      </x:c>
      <x:c r="C548" s="194" t="str">
        <x:v>проблиск</x:v>
      </x:c>
      <x:c r="D548" s="195" t="str">
        <x:v>В основному після: короткий і неповний огляд.</x:v>
      </x:c>
      <x:c r="E548" s="192" t="str">
        <x:v>Oxford C1</x:v>
      </x:c>
      <x:c r="F548" s="192" t="str">
        <x:v>Core</x:v>
      </x:c>
      <x:c r="G548" s="192" t="str">
        <x:v>Not Started</x:v>
      </x:c>
      <x:c r="H548" s="192" t="n">
        <x:v>0</x:v>
      </x:c>
    </x:row>
    <x:row r="549" ht="56" customHeight="1">
      <x:c r="A549" s="192" t="str">
        <x:v>glorious</x:v>
      </x:c>
      <x:c r="B549" s="192" t="str">
        <x:v>adj.</x:v>
      </x:c>
      <x:c r="C549" s="194" t="str">
        <x:v>славний</x:v>
      </x:c>
      <x:c r="D549" s="195" t="str">
        <x:v>Демонстрація атрибутів, якостей або вчинків, які гідні чи отримують славу.</x:v>
      </x:c>
      <x:c r="E549" s="192" t="str">
        <x:v>Oxford C1</x:v>
      </x:c>
      <x:c r="F549" s="192" t="str">
        <x:v>Core</x:v>
      </x:c>
      <x:c r="G549" s="192" t="str">
        <x:v>Not Started</x:v>
      </x:c>
      <x:c r="H549" s="192" t="n">
        <x:v>0</x:v>
      </x:c>
    </x:row>
    <x:row r="550" ht="56" customHeight="1">
      <x:c r="A550" s="192" t="str">
        <x:v>glory</x:v>
      </x:c>
      <x:c r="B550" s="192" t="str">
        <x:v>n.</x:v>
      </x:c>
      <x:c r="C550" s="194" t="str">
        <x:v>слава</x:v>
      </x:c>
      <x:c r="D550" s="195" t="str">
        <x:v>Честь, захоплення чи відзнака, надані особі чи речі за спільною згодою; висока репутація; відомість.</x:v>
      </x:c>
      <x:c r="E550" s="192" t="str">
        <x:v>Oxford C1</x:v>
      </x:c>
      <x:c r="F550" s="192" t="str">
        <x:v>Core</x:v>
      </x:c>
      <x:c r="G550" s="192" t="str">
        <x:v>Not Started</x:v>
      </x:c>
      <x:c r="H550" s="192" t="n">
        <x:v>0</x:v>
      </x:c>
    </x:row>
    <x:row r="551" ht="56" customHeight="1">
      <x:c r="A551" s="192" t="str">
        <x:v>governance</x:v>
      </x:c>
      <x:c r="B551" s="192" t="str">
        <x:v>n.</x:v>
      </x:c>
      <x:c r="C551" s="194" t="str">
        <x:v>управління</x:v>
      </x:c>
      <x:c r="D551" s="195" t="str">
        <x:v>Процес, або сила, управління; уряд або адміністрація.</x:v>
      </x:c>
      <x:c r="E551" s="192" t="str">
        <x:v>Oxford C1</x:v>
      </x:c>
      <x:c r="F551" s="192" t="str">
        <x:v>High</x:v>
      </x:c>
      <x:c r="G551" s="192" t="str">
        <x:v>Not Started</x:v>
      </x:c>
      <x:c r="H551" s="192" t="n">
        <x:v>0</x:v>
      </x:c>
    </x:row>
    <x:row r="552" ht="56" customHeight="1">
      <x:c r="A552" s="192" t="str">
        <x:v>grace</x:v>
      </x:c>
      <x:c r="B552" s="192" t="str">
        <x:v>n.</x:v>
      </x:c>
      <x:c r="C552" s="194" t="str">
        <x:v>благодать</x:v>
      </x:c>
      <x:c r="D552" s="195" t="str">
        <x:v>Чарівні, приємні якості.</x:v>
      </x:c>
      <x:c r="E552" s="192" t="str">
        <x:v>Oxford C1</x:v>
      </x:c>
      <x:c r="F552" s="192" t="str">
        <x:v>Core</x:v>
      </x:c>
      <x:c r="G552" s="192" t="str">
        <x:v>Not Started</x:v>
      </x:c>
      <x:c r="H552" s="192" t="n">
        <x:v>0</x:v>
      </x:c>
    </x:row>
    <x:row r="553" ht="56" customHeight="1">
      <x:c r="A553" s="192" t="str">
        <x:v>grasp</x:v>
      </x:c>
      <x:c r="B553" s="192" t="str">
        <x:v>v., n.</x:v>
      </x:c>
      <x:c r="C553" s="194" t="str">
        <x:v>хапати</x:v>
      </x:c>
      <x:c r="D553" s="195" t="str">
        <x:v>Щоб зрозуміти.</x:v>
      </x:c>
      <x:c r="E553" s="192" t="str">
        <x:v>Oxford C1</x:v>
      </x:c>
      <x:c r="F553" s="192" t="str">
        <x:v>Core</x:v>
      </x:c>
      <x:c r="G553" s="192" t="str">
        <x:v>Not Started</x:v>
      </x:c>
      <x:c r="H553" s="192" t="n">
        <x:v>0</x:v>
      </x:c>
    </x:row>
    <x:row r="554" ht="56" customHeight="1">
      <x:c r="A554" s="192" t="str">
        <x:v>grave (for dead person)</x:v>
      </x:c>
      <x:c r="B554" s="192" t="str">
        <x:v>n.</x:v>
      </x:c>
      <x:c r="C554" s="194" t="str">
        <x:v>могила</x:v>
      </x:c>
      <x:c r="D554" s="195" t="str">
        <x:v>Місце в землі, де поховано померлу людину.</x:v>
      </x:c>
      <x:c r="E554" s="192" t="str">
        <x:v>Oxford C1</x:v>
      </x:c>
      <x:c r="F554" s="192" t="str">
        <x:v>Core</x:v>
      </x:c>
      <x:c r="G554" s="192" t="str">
        <x:v>Not Started</x:v>
      </x:c>
      <x:c r="H554" s="192" t="n">
        <x:v>0</x:v>
      </x:c>
    </x:row>
    <x:row r="555" ht="56" customHeight="1">
      <x:c r="A555" s="192" t="str">
        <x:v>grave (serious)</x:v>
      </x:c>
      <x:c r="B555" s="192" t="str">
        <x:v>adj.</x:v>
      </x:c>
      <x:c r="C555" s="194" t="str">
        <x:v>серйозний; тяжкий</x:v>
      </x:c>
      <x:c r="D555" s="195" t="str">
        <x:v>Надзвичайно серйозний, небезпечний або такий, що викликає значне занепокоєння.</x:v>
      </x:c>
      <x:c r="E555" s="192" t="str">
        <x:v>Oxford C1</x:v>
      </x:c>
      <x:c r="F555" s="192" t="str">
        <x:v>Core</x:v>
      </x:c>
      <x:c r="G555" s="192" t="str">
        <x:v>Not Started</x:v>
      </x:c>
      <x:c r="H555" s="192" t="n">
        <x:v>0</x:v>
      </x:c>
    </x:row>
    <x:row r="556" ht="56" customHeight="1">
      <x:c r="A556" s="192" t="str">
        <x:v>gravity</x:v>
      </x:c>
      <x:c r="B556" s="192" t="str">
        <x:v>n.</x:v>
      </x:c>
      <x:c r="C556" s="194" t="str">
        <x:v>гравітація</x:v>
      </x:c>
      <x:c r="D556" s="195" t="str">
        <x:v>Явище того, що на землі предмети мають вагу; аналогічне явище на інших небесних тілах, таких як місяць.</x:v>
      </x:c>
      <x:c r="E556" s="192" t="str">
        <x:v>Oxford C1</x:v>
      </x:c>
      <x:c r="F556" s="192" t="str">
        <x:v>Core</x:v>
      </x:c>
      <x:c r="G556" s="192" t="str">
        <x:v>Not Started</x:v>
      </x:c>
      <x:c r="H556" s="192" t="n">
        <x:v>0</x:v>
      </x:c>
    </x:row>
    <x:row r="557" ht="56" customHeight="1">
      <x:c r="A557" s="192" t="str">
        <x:v>grid</x:v>
      </x:c>
      <x:c r="B557" s="192" t="str">
        <x:v>n.</x:v>
      </x:c>
      <x:c r="C557" s="194" t="str">
        <x:v>сітка</x:v>
      </x:c>
      <x:c r="D557" s="195" t="str">
        <x:v>Система доставки електроенергії, що складається з різних підстанцій, трансформаторів і генераторів, з'єднаних дротом.</x:v>
      </x:c>
      <x:c r="E557" s="192" t="str">
        <x:v>Oxford C1</x:v>
      </x:c>
      <x:c r="F557" s="192" t="str">
        <x:v>Core</x:v>
      </x:c>
      <x:c r="G557" s="192" t="str">
        <x:v>Not Started</x:v>
      </x:c>
      <x:c r="H557" s="192" t="n">
        <x:v>0</x:v>
      </x:c>
    </x:row>
    <x:row r="558" ht="56" customHeight="1">
      <x:c r="A558" s="192" t="str">
        <x:v>grief</x:v>
      </x:c>
      <x:c r="B558" s="192" t="str">
        <x:v>n.</x:v>
      </x:c>
      <x:c r="C558" s="194" t="str">
        <x:v>горе</x:v>
      </x:c>
      <x:c r="D558" s="195" t="str">
        <x:v>Емоційний біль, як правило, виникає через нещастя, значну особисту втрату, втрату, погану поведінку себе чи інших тощо; смуток; смуток.</x:v>
      </x:c>
      <x:c r="E558" s="192" t="str">
        <x:v>Oxford C1</x:v>
      </x:c>
      <x:c r="F558" s="192" t="str">
        <x:v>Core</x:v>
      </x:c>
      <x:c r="G558" s="192" t="str">
        <x:v>Not Started</x:v>
      </x:c>
      <x:c r="H558" s="192" t="n">
        <x:v>0</x:v>
      </x:c>
    </x:row>
    <x:row r="559" ht="56" customHeight="1">
      <x:c r="A559" s="192" t="str">
        <x:v>grin</x:v>
      </x:c>
      <x:c r="B559" s="192" t="str">
        <x:v>v., n.</x:v>
      </x:c>
      <x:c r="C559" s="194" t="str">
        <x:v>посміхатися</x:v>
      </x:c>
      <x:c r="D559" s="195" t="str">
        <x:v>Посміхнутися, розтуливши губи, щоб показати зуби.</x:v>
      </x:c>
      <x:c r="E559" s="192" t="str">
        <x:v>Oxford C1</x:v>
      </x:c>
      <x:c r="F559" s="192" t="str">
        <x:v>Core</x:v>
      </x:c>
      <x:c r="G559" s="192" t="str">
        <x:v>Not Started</x:v>
      </x:c>
      <x:c r="H559" s="192" t="n">
        <x:v>0</x:v>
      </x:c>
    </x:row>
    <x:row r="560" ht="56" customHeight="1">
      <x:c r="A560" s="192" t="str">
        <x:v>grind</x:v>
      </x:c>
      <x:c r="B560" s="192" t="str">
        <x:v>v.</x:v>
      </x:c>
      <x:c r="C560" s="194" t="str">
        <x:v>молоти</x:v>
      </x:c>
      <x:c r="D560" s="195" t="str">
        <x:v>Розрізати на дрібніші шматки шляхом подрібнення бічними рухами.</x:v>
      </x:c>
      <x:c r="E560" s="192" t="str">
        <x:v>Oxford C1</x:v>
      </x:c>
      <x:c r="F560" s="192" t="str">
        <x:v>Core</x:v>
      </x:c>
      <x:c r="G560" s="192" t="str">
        <x:v>Not Started</x:v>
      </x:c>
      <x:c r="H560" s="192" t="n">
        <x:v>0</x:v>
      </x:c>
    </x:row>
    <x:row r="561" ht="56" customHeight="1">
      <x:c r="A561" s="192" t="str">
        <x:v>grip</x:v>
      </x:c>
      <x:c r="B561" s="192" t="str">
        <x:v>n., v.</x:v>
      </x:c>
      <x:c r="C561" s="194" t="str">
        <x:v>зчеплення</x:v>
      </x:c>
      <x:c r="D561" s="195" t="str">
        <x:v>Взяти (за), зокрема, рукою.</x:v>
      </x:c>
      <x:c r="E561" s="192" t="str">
        <x:v>Oxford C1</x:v>
      </x:c>
      <x:c r="F561" s="192" t="str">
        <x:v>Core</x:v>
      </x:c>
      <x:c r="G561" s="192" t="str">
        <x:v>Not Started</x:v>
      </x:c>
      <x:c r="H561" s="192" t="n">
        <x:v>0</x:v>
      </x:c>
    </x:row>
    <x:row r="562" ht="56" customHeight="1">
      <x:c r="A562" s="192" t="str">
        <x:v>gross</x:v>
      </x:c>
      <x:c r="B562" s="192" t="str">
        <x:v>adj.</x:v>
      </x:c>
      <x:c r="C562" s="194" t="str">
        <x:v>грубий</x:v>
      </x:c>
      <x:c r="D562" s="195" t="str">
        <x:v>Без урахування будь-яких відрахувань; включаючи всі відповідні суми.</x:v>
      </x:c>
      <x:c r="E562" s="192" t="str">
        <x:v>Oxford C1</x:v>
      </x:c>
      <x:c r="F562" s="192" t="str">
        <x:v>Core</x:v>
      </x:c>
      <x:c r="G562" s="192" t="str">
        <x:v>Not Started</x:v>
      </x:c>
      <x:c r="H562" s="192" t="n">
        <x:v>0</x:v>
      </x:c>
    </x:row>
    <x:row r="563" ht="56" customHeight="1">
      <x:c r="A563" s="192" t="str">
        <x:v>guerrilla</x:v>
      </x:c>
      <x:c r="B563" s="192" t="str">
        <x:v>n.</x:v>
      </x:c>
      <x:c r="C563" s="194" t="str">
        <x:v>партизан</x:v>
      </x:c>
      <x:c r="D563" s="195" t="str">
        <x:v>Солдат у невеликій незалежній групі, який бореться проти уряду чи регулярних сил шляхом раптових набігів.</x:v>
      </x:c>
      <x:c r="E563" s="192" t="str">
        <x:v>Oxford C1</x:v>
      </x:c>
      <x:c r="F563" s="192" t="str">
        <x:v>Core</x:v>
      </x:c>
      <x:c r="G563" s="192" t="str">
        <x:v>Not Started</x:v>
      </x:c>
      <x:c r="H563" s="192" t="n">
        <x:v>0</x:v>
      </x:c>
    </x:row>
    <x:row r="564" ht="56" customHeight="1">
      <x:c r="A564" s="192" t="str">
        <x:v>guidance</x:v>
      </x:c>
      <x:c r="B564" s="192" t="str">
        <x:v>n.</x:v>
      </x:c>
      <x:c r="C564" s="194" t="str">
        <x:v>керівництво</x:v>
      </x:c>
      <x:c r="D564" s="195" t="str">
        <x:v>Порада або консультація з якоїсь теми.</x:v>
      </x:c>
      <x:c r="E564" s="192" t="str">
        <x:v>Oxford C1</x:v>
      </x:c>
      <x:c r="F564" s="192" t="str">
        <x:v>Core</x:v>
      </x:c>
      <x:c r="G564" s="192" t="str">
        <x:v>Not Started</x:v>
      </x:c>
      <x:c r="H564" s="192" t="n">
        <x:v>0</x:v>
      </x:c>
    </x:row>
    <x:row r="565" ht="56" customHeight="1">
      <x:c r="A565" s="192" t="str">
        <x:v>guilt</x:v>
      </x:c>
      <x:c r="B565" s="192" t="str">
        <x:v>n.</x:v>
      </x:c>
      <x:c r="C565" s="194" t="str">
        <x:v>вина</x:v>
      </x:c>
      <x:c r="D565" s="195" t="str">
        <x:v>Відповідальність за протиправні дії.</x:v>
      </x:c>
      <x:c r="E565" s="192" t="str">
        <x:v>Oxford C1</x:v>
      </x:c>
      <x:c r="F565" s="192" t="str">
        <x:v>Core</x:v>
      </x:c>
      <x:c r="G565" s="192" t="str">
        <x:v>Not Started</x:v>
      </x:c>
      <x:c r="H565" s="192" t="n">
        <x:v>0</x:v>
      </x:c>
    </x:row>
    <x:row r="566" ht="56" customHeight="1">
      <x:c r="A566" s="192" t="str">
        <x:v>gut</x:v>
      </x:c>
      <x:c r="B566" s="192" t="str">
        <x:v>n.</x:v>
      </x:c>
      <x:c r="C566" s="194" t="str">
        <x:v>кишка</x:v>
      </x:c>
      <x:c r="D566" s="195" t="str">
        <x:v>Травний тракт, особливо кишечник.</x:v>
      </x:c>
      <x:c r="E566" s="192" t="str">
        <x:v>Oxford C1</x:v>
      </x:c>
      <x:c r="F566" s="192" t="str">
        <x:v>Core</x:v>
      </x:c>
      <x:c r="G566" s="192" t="str">
        <x:v>Not Started</x:v>
      </x:c>
      <x:c r="H566" s="192" t="n">
        <x:v>0</x:v>
      </x:c>
    </x:row>
    <x:row r="567" ht="56" customHeight="1">
      <x:c r="A567" s="192" t="str">
        <x:v>hail</x:v>
      </x:c>
      <x:c r="B567" s="192" t="str">
        <x:v>v.</x:v>
      </x:c>
      <x:c r="C567" s="194" t="str">
        <x:v>град</x:v>
      </x:c>
      <x:c r="D567" s="195" t="str">
        <x:v>Щоб град з неба падав.</x:v>
      </x:c>
      <x:c r="E567" s="192" t="str">
        <x:v>Oxford C1</x:v>
      </x:c>
      <x:c r="F567" s="192" t="str">
        <x:v>Core</x:v>
      </x:c>
      <x:c r="G567" s="192" t="str">
        <x:v>Not Started</x:v>
      </x:c>
      <x:c r="H567" s="192" t="n">
        <x:v>0</x:v>
      </x:c>
    </x:row>
    <x:row r="568" ht="56" customHeight="1">
      <x:c r="A568" s="192" t="str">
        <x:v>halfway</x:v>
      </x:c>
      <x:c r="B568" s="192" t="str">
        <x:v>adv.</x:v>
      </x:c>
      <x:c r="C568" s="194" t="str">
        <x:v>на півдорозі</x:v>
      </x:c>
      <x:c r="D568" s="195" t="str">
        <x:v>Половина шляху між двома точками.</x:v>
      </x:c>
      <x:c r="E568" s="192" t="str">
        <x:v>Oxford C1</x:v>
      </x:c>
      <x:c r="F568" s="192" t="str">
        <x:v>Core</x:v>
      </x:c>
      <x:c r="G568" s="192" t="str">
        <x:v>Not Started</x:v>
      </x:c>
      <x:c r="H568" s="192" t="n">
        <x:v>0</x:v>
      </x:c>
    </x:row>
    <x:row r="569" ht="56" customHeight="1">
      <x:c r="A569" s="192" t="str">
        <x:v>halt</x:v>
      </x:c>
      <x:c r="B569" s="192" t="str">
        <x:v>v., n.</x:v>
      </x:c>
      <x:c r="C569" s="194" t="str">
        <x:v>зупинка</x:v>
      </x:c>
      <x:c r="D569" s="195" t="str">
        <x:v>Припинити тимчасово або назавжди.</x:v>
      </x:c>
      <x:c r="E569" s="192" t="str">
        <x:v>Oxford C1</x:v>
      </x:c>
      <x:c r="F569" s="192" t="str">
        <x:v>Core</x:v>
      </x:c>
      <x:c r="G569" s="192" t="str">
        <x:v>Not Started</x:v>
      </x:c>
      <x:c r="H569" s="192" t="n">
        <x:v>0</x:v>
      </x:c>
    </x:row>
    <x:row r="570" ht="56" customHeight="1">
      <x:c r="A570" s="192" t="str">
        <x:v>handful</x:v>
      </x:c>
      <x:c r="B570" s="192" t="str">
        <x:v>n.</x:v>
      </x:c>
      <x:c r="C570" s="194" t="str">
        <x:v>жменя</x:v>
      </x:c>
      <x:c r="D570" s="195" t="str">
        <x:v>Кількість, яку рука може схопити або вмістити.</x:v>
      </x:c>
      <x:c r="E570" s="192" t="str">
        <x:v>Oxford C1</x:v>
      </x:c>
      <x:c r="F570" s="192" t="str">
        <x:v>Core</x:v>
      </x:c>
      <x:c r="G570" s="192" t="str">
        <x:v>Not Started</x:v>
      </x:c>
      <x:c r="H570" s="192" t="n">
        <x:v>0</x:v>
      </x:c>
    </x:row>
    <x:row r="571" ht="56" customHeight="1">
      <x:c r="A571" s="192" t="str">
        <x:v>handling</x:v>
      </x:c>
      <x:c r="B571" s="192" t="str">
        <x:v>n.</x:v>
      </x:c>
      <x:c r="C571" s="194" t="str">
        <x:v>поводження</x:v>
      </x:c>
      <x:c r="D571" s="195" t="str">
        <x:v>Торкатися, контролювати, керувати, використовувати, піклуватися тощо рукою або руками або як руками.</x:v>
      </x:c>
      <x:c r="E571" s="192" t="str">
        <x:v>Oxford C1</x:v>
      </x:c>
      <x:c r="F571" s="192" t="str">
        <x:v>Core</x:v>
      </x:c>
      <x:c r="G571" s="192" t="str">
        <x:v>Not Started</x:v>
      </x:c>
      <x:c r="H571" s="192" t="n">
        <x:v>0</x:v>
      </x:c>
    </x:row>
    <x:row r="572" ht="56" customHeight="1">
      <x:c r="A572" s="192" t="str">
        <x:v>handy</x:v>
      </x:c>
      <x:c r="B572" s="192" t="str">
        <x:v>adj.</x:v>
      </x:c>
      <x:c r="C572" s="194" t="str">
        <x:v>зручний</x:v>
      </x:c>
      <x:c r="D572" s="195" t="str">
        <x:v>Простий у використанні, корисний.</x:v>
      </x:c>
      <x:c r="E572" s="192" t="str">
        <x:v>Oxford C1</x:v>
      </x:c>
      <x:c r="F572" s="192" t="str">
        <x:v>Core</x:v>
      </x:c>
      <x:c r="G572" s="192" t="str">
        <x:v>Not Started</x:v>
      </x:c>
      <x:c r="H572" s="192" t="n">
        <x:v>0</x:v>
      </x:c>
    </x:row>
    <x:row r="573" ht="56" customHeight="1">
      <x:c r="A573" s="192" t="str">
        <x:v>harassment</x:v>
      </x:c>
      <x:c r="B573" s="192" t="str">
        <x:v>n.</x:v>
      </x:c>
      <x:c r="C573" s="194" t="str">
        <x:v>переслідування</x:v>
      </x:c>
      <x:c r="D573" s="195" t="str">
        <x:v>Постійні нападки та критика викликають занепокоєння та страждання.</x:v>
      </x:c>
      <x:c r="E573" s="192" t="str">
        <x:v>Oxford C1</x:v>
      </x:c>
      <x:c r="F573" s="192" t="str">
        <x:v>Core</x:v>
      </x:c>
      <x:c r="G573" s="192" t="str">
        <x:v>Not Started</x:v>
      </x:c>
      <x:c r="H573" s="192" t="n">
        <x:v>0</x:v>
      </x:c>
    </x:row>
    <x:row r="574" ht="56" customHeight="1">
      <x:c r="A574" s="192" t="str">
        <x:v>hardware</x:v>
      </x:c>
      <x:c r="B574" s="192" t="str">
        <x:v>n.</x:v>
      </x:c>
      <x:c r="C574" s="194" t="str">
        <x:v>обладнання</x:v>
      </x:c>
      <x:c r="D574" s="195" t="str">
        <x:v>Пристосування, обладнання, кріпильні вироби, інструменти та пристосування, що використовуються для загального будівництва та ремонту споруди чи предмета.</x:v>
      </x:c>
      <x:c r="E574" s="192" t="str">
        <x:v>Oxford C1</x:v>
      </x:c>
      <x:c r="F574" s="192" t="str">
        <x:v>High</x:v>
      </x:c>
      <x:c r="G574" s="192" t="str">
        <x:v>Not Started</x:v>
      </x:c>
      <x:c r="H574" s="192" t="n">
        <x:v>0</x:v>
      </x:c>
    </x:row>
    <x:row r="575" ht="56" customHeight="1">
      <x:c r="A575" s="192" t="str">
        <x:v>harmony</x:v>
      </x:c>
      <x:c r="B575" s="192" t="str">
        <x:v>n.</x:v>
      </x:c>
      <x:c r="C575" s="194" t="str">
        <x:v>гармонія</x:v>
      </x:c>
      <x:c r="D575" s="195" t="str">
        <x:v>Договір чи згода.</x:v>
      </x:c>
      <x:c r="E575" s="192" t="str">
        <x:v>Oxford C1</x:v>
      </x:c>
      <x:c r="F575" s="192" t="str">
        <x:v>Core</x:v>
      </x:c>
      <x:c r="G575" s="192" t="str">
        <x:v>Not Started</x:v>
      </x:c>
      <x:c r="H575" s="192" t="n">
        <x:v>0</x:v>
      </x:c>
    </x:row>
    <x:row r="576" ht="56" customHeight="1">
      <x:c r="A576" s="192" t="str">
        <x:v>harsh</x:v>
      </x:c>
      <x:c r="B576" s="192" t="str">
        <x:v>adj.</x:v>
      </x:c>
      <x:c r="C576" s="194" t="str">
        <x:v>суворий</x:v>
      </x:c>
      <x:c r="D576" s="195" t="str">
        <x:v>Неприємно грубий на дотик або в інших органах чуття.</x:v>
      </x:c>
      <x:c r="E576" s="192" t="str">
        <x:v>Oxford C1</x:v>
      </x:c>
      <x:c r="F576" s="192" t="str">
        <x:v>Core</x:v>
      </x:c>
      <x:c r="G576" s="192" t="str">
        <x:v>Not Started</x:v>
      </x:c>
      <x:c r="H576" s="192" t="n">
        <x:v>0</x:v>
      </x:c>
    </x:row>
    <x:row r="577" ht="56" customHeight="1">
      <x:c r="A577" s="192" t="str">
        <x:v>harvest</x:v>
      </x:c>
      <x:c r="B577" s="192" t="str">
        <x:v>n., v.</x:v>
      </x:c>
      <x:c r="C577" s="194" t="str">
        <x:v>урожай</x:v>
      </x:c>
      <x:c r="D577" s="195" t="str">
        <x:v>Принести врожай; жати; підбирати.</x:v>
      </x:c>
      <x:c r="E577" s="192" t="str">
        <x:v>Oxford C1</x:v>
      </x:c>
      <x:c r="F577" s="192" t="str">
        <x:v>Core</x:v>
      </x:c>
      <x:c r="G577" s="192" t="str">
        <x:v>Not Started</x:v>
      </x:c>
      <x:c r="H577" s="192" t="n">
        <x:v>0</x:v>
      </x:c>
    </x:row>
    <x:row r="578" ht="56" customHeight="1">
      <x:c r="A578" s="192" t="str">
        <x:v>hatred</x:v>
      </x:c>
      <x:c r="B578" s="192" t="str">
        <x:v>n.</x:v>
      </x:c>
      <x:c r="C578" s="194" t="str">
        <x:v>ненависть</x:v>
      </x:c>
      <x:c r="D578" s="195" t="str">
        <x:v>Сильна відраза; сильна неприязнь.</x:v>
      </x:c>
      <x:c r="E578" s="192" t="str">
        <x:v>Oxford C1</x:v>
      </x:c>
      <x:c r="F578" s="192" t="str">
        <x:v>Core</x:v>
      </x:c>
      <x:c r="G578" s="192" t="str">
        <x:v>Not Started</x:v>
      </x:c>
      <x:c r="H578" s="192" t="n">
        <x:v>0</x:v>
      </x:c>
    </x:row>
    <x:row r="579" ht="56" customHeight="1">
      <x:c r="A579" s="192" t="str">
        <x:v>haunt</x:v>
      </x:c>
      <x:c r="B579" s="192" t="str">
        <x:v>v.</x:v>
      </x:c>
      <x:c r="C579" s="194" t="str">
        <x:v>переслідувати</x:v>
      </x:c>
      <x:c r="D579" s="195" t="str">
        <x:v>Населяти або часто відвідувати (найчастіше використовується стосовно привидів).</x:v>
      </x:c>
      <x:c r="E579" s="192" t="str">
        <x:v>Oxford C1</x:v>
      </x:c>
      <x:c r="F579" s="192" t="str">
        <x:v>Core</x:v>
      </x:c>
      <x:c r="G579" s="192" t="str">
        <x:v>Not Started</x:v>
      </x:c>
      <x:c r="H579" s="192" t="n">
        <x:v>0</x:v>
      </x:c>
    </x:row>
    <x:row r="580" ht="56" customHeight="1">
      <x:c r="A580" s="192" t="str">
        <x:v>hazard</x:v>
      </x:c>
      <x:c r="B580" s="192" t="str">
        <x:v>n.</x:v>
      </x:c>
      <x:c r="C580" s="194" t="str">
        <x:v>небезпека; ризик</x:v>
      </x:c>
      <x:c r="D580" s="195" t="str">
        <x:v>Можливість зазнати шкоди; небезпека, небезпека, ризик втрати.</x:v>
      </x:c>
      <x:c r="E580" s="192" t="str">
        <x:v>Oxford C1</x:v>
      </x:c>
      <x:c r="F580" s="192" t="str">
        <x:v>Core</x:v>
      </x:c>
      <x:c r="G580" s="192" t="str">
        <x:v>Not Started</x:v>
      </x:c>
      <x:c r="H580" s="192" t="n">
        <x:v>0</x:v>
      </x:c>
    </x:row>
    <x:row r="581" ht="56" customHeight="1">
      <x:c r="A581" s="192" t="str">
        <x:v>heighten</x:v>
      </x:c>
      <x:c r="B581" s="192" t="str">
        <x:v>v.</x:v>
      </x:c>
      <x:c r="C581" s="194" t="str">
        <x:v>підвищувати</x:v>
      </x:c>
      <x:c r="D581" s="195" t="str">
        <x:v>Просувати, збільшувати, збільшувати, робити більшим, інтенсивнішим, сильнішим тощо.</x:v>
      </x:c>
      <x:c r="E581" s="192" t="str">
        <x:v>Oxford C1</x:v>
      </x:c>
      <x:c r="F581" s="192" t="str">
        <x:v>Core</x:v>
      </x:c>
      <x:c r="G581" s="192" t="str">
        <x:v>Not Started</x:v>
      </x:c>
      <x:c r="H581" s="192" t="n">
        <x:v>0</x:v>
      </x:c>
    </x:row>
    <x:row r="582" ht="56" customHeight="1">
      <x:c r="A582" s="192" t="str">
        <x:v>heritage</x:v>
      </x:c>
      <x:c r="B582" s="192" t="str">
        <x:v>n.</x:v>
      </x:c>
      <x:c r="C582" s="194" t="str">
        <x:v>спадщина</x:v>
      </x:c>
      <x:c r="D582" s="195" t="str">
        <x:v>традиція; практика або набір цінностей, які передаються від попередніх поколінь через сім’ї або через інституційну пам’ять.</x:v>
      </x:c>
      <x:c r="E582" s="192" t="str">
        <x:v>Oxford C1</x:v>
      </x:c>
      <x:c r="F582" s="192" t="str">
        <x:v>High</x:v>
      </x:c>
      <x:c r="G582" s="192" t="str">
        <x:v>Not Started</x:v>
      </x:c>
      <x:c r="H582" s="192" t="n">
        <x:v>0</x:v>
      </x:c>
    </x:row>
    <x:row r="583" ht="56" customHeight="1">
      <x:c r="A583" s="192" t="str">
        <x:v>hierarchy</x:v>
      </x:c>
      <x:c r="B583" s="192" t="str">
        <x:v>n.</x:v>
      </x:c>
      <x:c r="C583" s="194" t="str">
        <x:v>ієрархія</x:v>
      </x:c>
      <x:c r="D583" s="195" t="str">
        <x:v>Соціальна, релігійна, економічна чи політична система або організація, в якій люди або групи людей перевищують інших на основі їхнього статусу, авторитету чи інших рис.</x:v>
      </x:c>
      <x:c r="E583" s="192" t="str">
        <x:v>Oxford C1</x:v>
      </x:c>
      <x:c r="F583" s="192" t="str">
        <x:v>Core</x:v>
      </x:c>
      <x:c r="G583" s="192" t="str">
        <x:v>Not Started</x:v>
      </x:c>
      <x:c r="H583" s="192" t="n">
        <x:v>0</x:v>
      </x:c>
    </x:row>
    <x:row r="584" ht="56" customHeight="1">
      <x:c r="A584" s="192" t="str">
        <x:v>high-profile</x:v>
      </x:c>
      <x:c r="B584" s="192" t="str">
        <x:v>adj.</x:v>
      </x:c>
      <x:c r="C584" s="194" t="str">
        <x:v>гучний</x:v>
      </x:c>
      <x:c r="D584" s="195" t="str">
        <x:v>Важливий або добре розрекламований.</x:v>
      </x:c>
      <x:c r="E584" s="192" t="str">
        <x:v>Oxford C1</x:v>
      </x:c>
      <x:c r="F584" s="192" t="str">
        <x:v>Core</x:v>
      </x:c>
      <x:c r="G584" s="192" t="str">
        <x:v>Not Started</x:v>
      </x:c>
      <x:c r="H584" s="192" t="n">
        <x:v>0</x:v>
      </x:c>
    </x:row>
    <x:row r="585" ht="56" customHeight="1">
      <x:c r="A585" s="192" t="str">
        <x:v>hint</x:v>
      </x:c>
      <x:c r="B585" s="192" t="str">
        <x:v>n., v.</x:v>
      </x:c>
      <x:c r="C585" s="194" t="str">
        <x:v>підказка</x:v>
      </x:c>
      <x:c r="D585" s="195" t="str">
        <x:v>Мати на увазі без прямого твердження; щоб надати підказку.</x:v>
      </x:c>
      <x:c r="E585" s="192" t="str">
        <x:v>Oxford C1</x:v>
      </x:c>
      <x:c r="F585" s="192" t="str">
        <x:v>Core</x:v>
      </x:c>
      <x:c r="G585" s="192" t="str">
        <x:v>Not Started</x:v>
      </x:c>
      <x:c r="H585" s="192" t="n">
        <x:v>0</x:v>
      </x:c>
    </x:row>
    <x:row r="586" ht="56" customHeight="1">
      <x:c r="A586" s="192" t="str">
        <x:v>homeland</x:v>
      </x:c>
      <x:c r="B586" s="192" t="str">
        <x:v>n.</x:v>
      </x:c>
      <x:c r="C586" s="194" t="str">
        <x:v>батьківщина</x:v>
      </x:c>
      <x:c r="D586" s="195" t="str">
        <x:v>Країна, яку людина вважає домом.</x:v>
      </x:c>
      <x:c r="E586" s="192" t="str">
        <x:v>Oxford C1</x:v>
      </x:c>
      <x:c r="F586" s="192" t="str">
        <x:v>Core</x:v>
      </x:c>
      <x:c r="G586" s="192" t="str">
        <x:v>Not Started</x:v>
      </x:c>
      <x:c r="H586" s="192" t="n">
        <x:v>0</x:v>
      </x:c>
    </x:row>
    <x:row r="587" ht="56" customHeight="1">
      <x:c r="A587" s="192" t="str">
        <x:v>hook</x:v>
      </x:c>
      <x:c r="B587" s="192" t="str">
        <x:v>v.</x:v>
      </x:c>
      <x:c r="C587" s="194" t="str">
        <x:v>гачок</x:v>
      </x:c>
      <x:c r="D587" s="195" t="str">
        <x:v>Щоб прикріпити гачок до.</x:v>
      </x:c>
      <x:c r="E587" s="192" t="str">
        <x:v>Oxford C1</x:v>
      </x:c>
      <x:c r="F587" s="192" t="str">
        <x:v>Core</x:v>
      </x:c>
      <x:c r="G587" s="192" t="str">
        <x:v>Not Started</x:v>
      </x:c>
      <x:c r="H587" s="192" t="n">
        <x:v>0</x:v>
      </x:c>
    </x:row>
    <x:row r="588" ht="56" customHeight="1">
      <x:c r="A588" s="192" t="str">
        <x:v>hopeful</x:v>
      </x:c>
      <x:c r="B588" s="192" t="str">
        <x:v>adj.</x:v>
      </x:c>
      <x:c r="C588" s="194" t="str">
        <x:v>обнадійливий</x:v>
      </x:c>
      <x:c r="D588" s="195" t="str">
        <x:v>почуття надії</x:v>
      </x:c>
      <x:c r="E588" s="192" t="str">
        <x:v>Oxford C1</x:v>
      </x:c>
      <x:c r="F588" s="192" t="str">
        <x:v>Core</x:v>
      </x:c>
      <x:c r="G588" s="192" t="str">
        <x:v>Not Started</x:v>
      </x:c>
      <x:c r="H588" s="192" t="n">
        <x:v>0</x:v>
      </x:c>
    </x:row>
    <x:row r="589" ht="56" customHeight="1">
      <x:c r="A589" s="192" t="str">
        <x:v>horizon</x:v>
      </x:c>
      <x:c r="B589" s="192" t="str">
        <x:v>n.</x:v>
      </x:c>
      <x:c r="C589" s="194" t="str">
        <x:v>горизонт</x:v>
      </x:c>
      <x:c r="D589" s="195" t="str">
        <x:v>Видима горизонтальна лінія (у всіх напрямках), де небо, здається, зустрічається з землею на відстані.</x:v>
      </x:c>
      <x:c r="E589" s="192" t="str">
        <x:v>Oxford C1</x:v>
      </x:c>
      <x:c r="F589" s="192" t="str">
        <x:v>Core</x:v>
      </x:c>
      <x:c r="G589" s="192" t="str">
        <x:v>Not Started</x:v>
      </x:c>
      <x:c r="H589" s="192" t="n">
        <x:v>0</x:v>
      </x:c>
    </x:row>
    <x:row r="590" ht="56" customHeight="1">
      <x:c r="A590" s="192" t="str">
        <x:v>horn</x:v>
      </x:c>
      <x:c r="B590" s="192" t="str">
        <x:v>n.</x:v>
      </x:c>
      <x:c r="C590" s="194" t="str">
        <x:v>ріг</x:v>
      </x:c>
      <x:c r="D590" s="195" t="str">
        <x:v>Твердий наріст кератину, який виступає з верхньої частини голови певних тварин, як правило, парний.</x:v>
      </x:c>
      <x:c r="E590" s="192" t="str">
        <x:v>Oxford C1</x:v>
      </x:c>
      <x:c r="F590" s="192" t="str">
        <x:v>Core</x:v>
      </x:c>
      <x:c r="G590" s="192" t="str">
        <x:v>Not Started</x:v>
      </x:c>
      <x:c r="H590" s="192" t="n">
        <x:v>0</x:v>
      </x:c>
    </x:row>
    <x:row r="591" ht="56" customHeight="1">
      <x:c r="A591" s="192" t="str">
        <x:v>hostage</x:v>
      </x:c>
      <x:c r="B591" s="192" t="str">
        <x:v>n.</x:v>
      </x:c>
      <x:c r="C591" s="194" t="str">
        <x:v>заручник</x:v>
      </x:c>
      <x:c r="D591" s="195" t="str">
        <x:v>Особа, захоплена з метою примусити іншу сторону діяти (або утримуватися від дій) певним чином через загрозу заподіяння шкоди заручнику.</x:v>
      </x:c>
      <x:c r="E591" s="192" t="str">
        <x:v>Oxford C1</x:v>
      </x:c>
      <x:c r="F591" s="192" t="str">
        <x:v>Core</x:v>
      </x:c>
      <x:c r="G591" s="192" t="str">
        <x:v>Not Started</x:v>
      </x:c>
      <x:c r="H591" s="192" t="n">
        <x:v>0</x:v>
      </x:c>
    </x:row>
    <x:row r="592" ht="56" customHeight="1">
      <x:c r="A592" s="192" t="str">
        <x:v>hostile</x:v>
      </x:c>
      <x:c r="B592" s="192" t="str">
        <x:v>adj.</x:v>
      </x:c>
      <x:c r="C592" s="194" t="str">
        <x:v>ворожий</x:v>
      </x:c>
      <x:c r="D592" s="195" t="str">
        <x:v>Не доброзичливий; відповідний ворогові; показ розташування ворога; прояв злої волі та зловмисності або бажання перешкодити та завдати шкоди.</x:v>
      </x:c>
      <x:c r="E592" s="192" t="str">
        <x:v>Oxford C1</x:v>
      </x:c>
      <x:c r="F592" s="192" t="str">
        <x:v>Core</x:v>
      </x:c>
      <x:c r="G592" s="192" t="str">
        <x:v>Not Started</x:v>
      </x:c>
      <x:c r="H592" s="192" t="n">
        <x:v>0</x:v>
      </x:c>
    </x:row>
    <x:row r="593" ht="56" customHeight="1">
      <x:c r="A593" s="192" t="str">
        <x:v>hostility</x:v>
      </x:c>
      <x:c r="B593" s="192" t="str">
        <x:v>n.</x:v>
      </x:c>
      <x:c r="C593" s="194" t="str">
        <x:v>ворожість</x:v>
      </x:c>
      <x:c r="D593" s="195" t="str">
        <x:v>Стан ворожості.</x:v>
      </x:c>
      <x:c r="E593" s="192" t="str">
        <x:v>Oxford C1</x:v>
      </x:c>
      <x:c r="F593" s="192" t="str">
        <x:v>Core</x:v>
      </x:c>
      <x:c r="G593" s="192" t="str">
        <x:v>Not Started</x:v>
      </x:c>
      <x:c r="H593" s="192" t="n">
        <x:v>0</x:v>
      </x:c>
    </x:row>
    <x:row r="594" ht="56" customHeight="1">
      <x:c r="A594" s="192" t="str">
        <x:v>humanitarian</x:v>
      </x:c>
      <x:c r="B594" s="192" t="str">
        <x:v>adj.</x:v>
      </x:c>
      <x:c r="C594" s="194" t="str">
        <x:v>гуманітарний</x:v>
      </x:c>
      <x:c r="D594" s="195" t="str">
        <x:v>Що стосується добробуту людей.</x:v>
      </x:c>
      <x:c r="E594" s="192" t="str">
        <x:v>Oxford C1</x:v>
      </x:c>
      <x:c r="F594" s="192" t="str">
        <x:v>High</x:v>
      </x:c>
      <x:c r="G594" s="192" t="str">
        <x:v>Not Started</x:v>
      </x:c>
      <x:c r="H594" s="192" t="n">
        <x:v>0</x:v>
      </x:c>
    </x:row>
    <x:row r="595" ht="56" customHeight="1">
      <x:c r="A595" s="192" t="str">
        <x:v>humanity</x:v>
      </x:c>
      <x:c r="B595" s="192" t="str">
        <x:v>n.</x:v>
      </x:c>
      <x:c r="C595" s="194" t="str">
        <x:v>людство</x:v>
      </x:c>
      <x:c r="D595" s="195" t="str">
        <x:v>Людство; люди як група.</x:v>
      </x:c>
      <x:c r="E595" s="192" t="str">
        <x:v>Oxford C1</x:v>
      </x:c>
      <x:c r="F595" s="192" t="str">
        <x:v>Core</x:v>
      </x:c>
      <x:c r="G595" s="192" t="str">
        <x:v>Not Started</x:v>
      </x:c>
      <x:c r="H595" s="192" t="n">
        <x:v>0</x:v>
      </x:c>
    </x:row>
    <x:row r="596" ht="56" customHeight="1">
      <x:c r="A596" s="192" t="str">
        <x:v>humble</x:v>
      </x:c>
      <x:c r="B596" s="192" t="str">
        <x:v>adj.</x:v>
      </x:c>
      <x:c r="C596" s="194" t="str">
        <x:v>скромний</x:v>
      </x:c>
      <x:c r="D596" s="195" t="str">
        <x:v>Мати низьку думку про себе; не гордий, зарозумілий або самовпевнений; скромний.</x:v>
      </x:c>
      <x:c r="E596" s="192" t="str">
        <x:v>Oxford C1</x:v>
      </x:c>
      <x:c r="F596" s="192" t="str">
        <x:v>Core</x:v>
      </x:c>
      <x:c r="G596" s="192" t="str">
        <x:v>Not Started</x:v>
      </x:c>
      <x:c r="H596" s="192" t="n">
        <x:v>0</x:v>
      </x:c>
    </x:row>
    <x:row r="597" ht="56" customHeight="1">
      <x:c r="A597" s="192" t="str">
        <x:v>hydrogen</x:v>
      </x:c>
      <x:c r="B597" s="192" t="str">
        <x:v>n.</x:v>
      </x:c>
      <x:c r="C597" s="194" t="str">
        <x:v>водень</x:v>
      </x:c>
      <x:c r="D597" s="195" t="str">
        <x:v>Найлегший хімічний елемент (символ H), з атомним номером 1 і атомною вагою 1,008.</x:v>
      </x:c>
      <x:c r="E597" s="192" t="str">
        <x:v>Oxford C1</x:v>
      </x:c>
      <x:c r="F597" s="192" t="str">
        <x:v>Core</x:v>
      </x:c>
      <x:c r="G597" s="192" t="str">
        <x:v>Not Started</x:v>
      </x:c>
      <x:c r="H597" s="192" t="n">
        <x:v>0</x:v>
      </x:c>
    </x:row>
    <x:row r="598" ht="56" customHeight="1">
      <x:c r="A598" s="192" t="str">
        <x:v>identification</x:v>
      </x:c>
      <x:c r="B598" s="192" t="str">
        <x:v>n.</x:v>
      </x:c>
      <x:c r="C598" s="194" t="str">
        <x:v>ідентифікація</x:v>
      </x:c>
      <x:c r="D598" s="195" t="str">
        <x:v>Документ або документи, що посвідчують особу.</x:v>
      </x:c>
      <x:c r="E598" s="192" t="str">
        <x:v>Oxford C1</x:v>
      </x:c>
      <x:c r="F598" s="192" t="str">
        <x:v>Core</x:v>
      </x:c>
      <x:c r="G598" s="192" t="str">
        <x:v>Not Started</x:v>
      </x:c>
      <x:c r="H598" s="192" t="n">
        <x:v>0</x:v>
      </x:c>
    </x:row>
    <x:row r="599" ht="56" customHeight="1">
      <x:c r="A599" s="192" t="str">
        <x:v>ideological</x:v>
      </x:c>
      <x:c r="B599" s="192" t="str">
        <x:v>adj.</x:v>
      </x:c>
      <x:c r="C599" s="194" t="str">
        <x:v>ідеологічний</x:v>
      </x:c>
      <x:c r="D599" s="195" t="str">
        <x:v>Що стосується однієї чи кількох ідеологій.</x:v>
      </x:c>
      <x:c r="E599" s="192" t="str">
        <x:v>Oxford C1</x:v>
      </x:c>
      <x:c r="F599" s="192" t="str">
        <x:v>Core</x:v>
      </x:c>
      <x:c r="G599" s="192" t="str">
        <x:v>Not Started</x:v>
      </x:c>
      <x:c r="H599" s="192" t="n">
        <x:v>0</x:v>
      </x:c>
    </x:row>
    <x:row r="600" ht="56" customHeight="1">
      <x:c r="A600" s="192" t="str">
        <x:v>ideology</x:v>
      </x:c>
      <x:c r="B600" s="192" t="str">
        <x:v>n.</x:v>
      </x:c>
      <x:c r="C600" s="194" t="str">
        <x:v>ідеологія</x:v>
      </x:c>
      <x:c r="D600" s="195" t="str">
        <x:v>Доктрина, філософія, сукупність переконань або принципів, що належать окремій особі чи групі.</x:v>
      </x:c>
      <x:c r="E600" s="192" t="str">
        <x:v>Oxford C1 + AWL 7</x:v>
      </x:c>
      <x:c r="F600" s="192" t="str">
        <x:v>High</x:v>
      </x:c>
      <x:c r="G600" s="192" t="str">
        <x:v>Not Started</x:v>
      </x:c>
      <x:c r="H600" s="192" t="n">
        <x:v>0</x:v>
      </x:c>
    </x:row>
    <x:row r="601" ht="56" customHeight="1">
      <x:c r="A601" s="192" t="str">
        <x:v>idiot</x:v>
      </x:c>
      <x:c r="B601" s="192" t="str">
        <x:v>n.</x:v>
      </x:c>
      <x:c r="C601" s="194" t="str">
        <x:v>ідіот</x:v>
      </x:c>
      <x:c r="D601" s="195" t="str">
        <x:v>Людина низького загального інтелекту.</x:v>
      </x:c>
      <x:c r="E601" s="192" t="str">
        <x:v>Oxford C1</x:v>
      </x:c>
      <x:c r="F601" s="192" t="str">
        <x:v>Core</x:v>
      </x:c>
      <x:c r="G601" s="192" t="str">
        <x:v>Not Started</x:v>
      </x:c>
      <x:c r="H601" s="192" t="n">
        <x:v>0</x:v>
      </x:c>
    </x:row>
    <x:row r="602" ht="56" customHeight="1">
      <x:c r="A602" s="192" t="str">
        <x:v>ignorance</x:v>
      </x:c>
      <x:c r="B602" s="192" t="str">
        <x:v>n.</x:v>
      </x:c>
      <x:c r="C602" s="194" t="str">
        <x:v>незнання</x:v>
      </x:c>
      <x:c r="D602" s="195" t="str">
        <x:v>Стан необізнаності або неосвіченості; брак знань або інформації.</x:v>
      </x:c>
      <x:c r="E602" s="192" t="str">
        <x:v>Oxford C1</x:v>
      </x:c>
      <x:c r="F602" s="192" t="str">
        <x:v>Core</x:v>
      </x:c>
      <x:c r="G602" s="192" t="str">
        <x:v>Not Started</x:v>
      </x:c>
      <x:c r="H602" s="192" t="n">
        <x:v>0</x:v>
      </x:c>
    </x:row>
    <x:row r="603" ht="56" customHeight="1">
      <x:c r="A603" s="192" t="str">
        <x:v>imagery</x:v>
      </x:c>
      <x:c r="B603" s="192" t="str">
        <x:v>n.</x:v>
      </x:c>
      <x:c r="C603" s="194" t="str">
        <x:v>зображення</x:v>
      </x:c>
      <x:c r="D603" s="195" t="str">
        <x:v>Риторичне оформлення в письмовій чи усній формі; яскраві описи, що представляють або навіюють образи чуттєвих об'єктів; фігури в дискурсі.</x:v>
      </x:c>
      <x:c r="E603" s="192" t="str">
        <x:v>Oxford C1</x:v>
      </x:c>
      <x:c r="F603" s="192" t="str">
        <x:v>Core</x:v>
      </x:c>
      <x:c r="G603" s="192" t="str">
        <x:v>Not Started</x:v>
      </x:c>
      <x:c r="H603" s="192" t="n">
        <x:v>0</x:v>
      </x:c>
    </x:row>
    <x:row r="604" ht="56" customHeight="1">
      <x:c r="A604" s="192" t="str">
        <x:v>immense</x:v>
      </x:c>
      <x:c r="B604" s="192" t="str">
        <x:v>adj.</x:v>
      </x:c>
      <x:c r="C604" s="194" t="str">
        <x:v>величезний</x:v>
      </x:c>
      <x:c r="D604" s="195" t="str">
        <x:v>Величезний, гігантський, дуже великий.</x:v>
      </x:c>
      <x:c r="E604" s="192" t="str">
        <x:v>Oxford C1</x:v>
      </x:c>
      <x:c r="F604" s="192" t="str">
        <x:v>Core</x:v>
      </x:c>
      <x:c r="G604" s="192" t="str">
        <x:v>Not Started</x:v>
      </x:c>
      <x:c r="H604" s="192" t="n">
        <x:v>0</x:v>
      </x:c>
    </x:row>
    <x:row r="605" ht="56" customHeight="1">
      <x:c r="A605" s="192" t="str">
        <x:v>imminent</x:v>
      </x:c>
      <x:c r="B605" s="192" t="str">
        <x:v>adj.</x:v>
      </x:c>
      <x:c r="C605" s="194" t="str">
        <x:v>неминучий</x:v>
      </x:c>
      <x:c r="D605" s="195" t="str">
        <x:v>Має статися, відбутися або відбутися дуже скоро, особливо те, що триватиме недовго.</x:v>
      </x:c>
      <x:c r="E605" s="192" t="str">
        <x:v>Oxford C1</x:v>
      </x:c>
      <x:c r="F605" s="192" t="str">
        <x:v>Core</x:v>
      </x:c>
      <x:c r="G605" s="192" t="str">
        <x:v>Not Started</x:v>
      </x:c>
      <x:c r="H605" s="192" t="n">
        <x:v>0</x:v>
      </x:c>
    </x:row>
    <x:row r="606" ht="56" customHeight="1">
      <x:c r="A606" s="192" t="str">
        <x:v>implementation</x:v>
      </x:c>
      <x:c r="B606" s="192" t="str">
        <x:v>n.</x:v>
      </x:c>
      <x:c r="C606" s="194" t="str">
        <x:v>впровадження</x:v>
      </x:c>
      <x:c r="D606" s="195" t="str">
        <x:v>Процес переходу ідеї від концепції до реальності. У бізнесі, інженерії та інших сферах реалізація відноситься до процесу будівництва, а не до процесу проектування.</x:v>
      </x:c>
      <x:c r="E606" s="192" t="str">
        <x:v>Oxford C1 + AWL 4</x:v>
      </x:c>
      <x:c r="F606" s="192" t="str">
        <x:v>High</x:v>
      </x:c>
      <x:c r="G606" s="192" t="str">
        <x:v>Not Started</x:v>
      </x:c>
      <x:c r="H606" s="192" t="n">
        <x:v>0</x:v>
      </x:c>
    </x:row>
    <x:row r="607" ht="56" customHeight="1">
      <x:c r="A607" s="192" t="str">
        <x:v>imprison</x:v>
      </x:c>
      <x:c r="B607" s="192" t="str">
        <x:v>v.</x:v>
      </x:c>
      <x:c r="C607" s="194" t="str">
        <x:v>ув'язнити</x:v>
      </x:c>
      <x:c r="D607" s="195" t="str">
        <x:v>Посадити чи ніби в тюрму; утримувати когось проти їх волі.</x:v>
      </x:c>
      <x:c r="E607" s="192" t="str">
        <x:v>Oxford C1</x:v>
      </x:c>
      <x:c r="F607" s="192" t="str">
        <x:v>Core</x:v>
      </x:c>
      <x:c r="G607" s="192" t="str">
        <x:v>Not Started</x:v>
      </x:c>
      <x:c r="H607" s="192" t="n">
        <x:v>0</x:v>
      </x:c>
    </x:row>
    <x:row r="608" ht="56" customHeight="1">
      <x:c r="A608" s="192" t="str">
        <x:v>imprisonment</x:v>
      </x:c>
      <x:c r="B608" s="192" t="str">
        <x:v>n.</x:v>
      </x:c>
      <x:c r="C608" s="194" t="str">
        <x:v>ув'язнення</x:v>
      </x:c>
      <x:c r="D608" s="195" t="str">
        <x:v>Ув’язнення в якомусь місці, особливо у в’язниці чи в’язниці, особливо як покарання за злочин.</x:v>
      </x:c>
      <x:c r="E608" s="192" t="str">
        <x:v>Oxford C1</x:v>
      </x:c>
      <x:c r="F608" s="192" t="str">
        <x:v>Core</x:v>
      </x:c>
      <x:c r="G608" s="192" t="str">
        <x:v>Not Started</x:v>
      </x:c>
      <x:c r="H608" s="192" t="n">
        <x:v>0</x:v>
      </x:c>
    </x:row>
    <x:row r="609" ht="56" customHeight="1">
      <x:c r="A609" s="192" t="str">
        <x:v>inability</x:v>
      </x:c>
      <x:c r="B609" s="192" t="str">
        <x:v>n.</x:v>
      </x:c>
      <x:c r="C609" s="194" t="str">
        <x:v>неспроможність</x:v>
      </x:c>
      <x:c r="D609" s="195" t="str">
        <x:v>Відсутність вміння щось робити; недієздатність.</x:v>
      </x:c>
      <x:c r="E609" s="192" t="str">
        <x:v>Oxford C1</x:v>
      </x:c>
      <x:c r="F609" s="192" t="str">
        <x:v>Core</x:v>
      </x:c>
      <x:c r="G609" s="192" t="str">
        <x:v>Not Started</x:v>
      </x:c>
      <x:c r="H609" s="192" t="n">
        <x:v>0</x:v>
      </x:c>
    </x:row>
    <x:row r="610" ht="56" customHeight="1">
      <x:c r="A610" s="192" t="str">
        <x:v>inadequate</x:v>
      </x:c>
      <x:c r="B610" s="192" t="str">
        <x:v>adj.</x:v>
      </x:c>
      <x:c r="C610" s="194" t="str">
        <x:v>неадекватний</x:v>
      </x:c>
      <x:c r="D610" s="195" t="str">
        <x:v>Неадекватний; відсутність необхідної якості або кількості; недостатньо для певної мети.</x:v>
      </x:c>
      <x:c r="E610" s="192" t="str">
        <x:v>Oxford C1</x:v>
      </x:c>
      <x:c r="F610" s="192" t="str">
        <x:v>Core</x:v>
      </x:c>
      <x:c r="G610" s="192" t="str">
        <x:v>Not Started</x:v>
      </x:c>
      <x:c r="H610" s="192" t="n">
        <x:v>0</x:v>
      </x:c>
    </x:row>
    <x:row r="611" ht="56" customHeight="1">
      <x:c r="A611" s="192" t="str">
        <x:v>inappropriate</x:v>
      </x:c>
      <x:c r="B611" s="192" t="str">
        <x:v>adj.</x:v>
      </x:c>
      <x:c r="C611" s="194" t="str">
        <x:v>недоречний</x:v>
      </x:c>
      <x:c r="D611" s="195" t="str">
        <x:v>Не підходить; не підходить для ситуації, часу чи місця.</x:v>
      </x:c>
      <x:c r="E611" s="192" t="str">
        <x:v>Oxford C1</x:v>
      </x:c>
      <x:c r="F611" s="192" t="str">
        <x:v>Core</x:v>
      </x:c>
      <x:c r="G611" s="192" t="str">
        <x:v>Not Started</x:v>
      </x:c>
      <x:c r="H611" s="192" t="n">
        <x:v>0</x:v>
      </x:c>
    </x:row>
    <x:row r="612" ht="56" customHeight="1">
      <x:c r="A612" s="192" t="str">
        <x:v>incidence</x:v>
      </x:c>
      <x:c r="B612" s="192" t="str">
        <x:v>n.</x:v>
      </x:c>
      <x:c r="C612" s="194" t="str">
        <x:v>випадковість</x:v>
      </x:c>
      <x:c r="D612" s="195" t="str">
        <x:v>Акт чогось, що відбувається; виникнення.</x:v>
      </x:c>
      <x:c r="E612" s="192" t="str">
        <x:v>Oxford C1 + AWL 6</x:v>
      </x:c>
      <x:c r="F612" s="192" t="str">
        <x:v>High</x:v>
      </x:c>
      <x:c r="G612" s="192" t="str">
        <x:v>Not Started</x:v>
      </x:c>
      <x:c r="H612" s="192" t="n">
        <x:v>0</x:v>
      </x:c>
    </x:row>
    <x:row r="613" ht="56" customHeight="1">
      <x:c r="A613" s="192" t="str">
        <x:v>inclined</x:v>
      </x:c>
      <x:c r="B613" s="192" t="str">
        <x:v>adj.</x:v>
      </x:c>
      <x:c r="C613" s="194" t="str">
        <x:v>нахилений</x:v>
      </x:c>
      <x:c r="D613" s="195" t="str">
        <x:v>Наявність схильності, переваги, ймовірності або схильності.</x:v>
      </x:c>
      <x:c r="E613" s="192" t="str">
        <x:v>Oxford C1</x:v>
      </x:c>
      <x:c r="F613" s="192" t="str">
        <x:v>Core</x:v>
      </x:c>
      <x:c r="G613" s="192" t="str">
        <x:v>Not Started</x:v>
      </x:c>
      <x:c r="H613" s="192" t="n">
        <x:v>0</x:v>
      </x:c>
    </x:row>
    <x:row r="614" ht="56" customHeight="1">
      <x:c r="A614" s="192" t="str">
        <x:v>inclusion</x:v>
      </x:c>
      <x:c r="B614" s="192" t="str">
        <x:v>n.</x:v>
      </x:c>
      <x:c r="C614" s="194" t="str">
        <x:v>включення</x:v>
      </x:c>
      <x:c r="D614" s="195" t="str">
        <x:v>Акт включення, тобто додавання або анексування (чогось) до групи, набору або сукупності.</x:v>
      </x:c>
      <x:c r="E614" s="192" t="str">
        <x:v>Oxford C1</x:v>
      </x:c>
      <x:c r="F614" s="192" t="str">
        <x:v>Core</x:v>
      </x:c>
      <x:c r="G614" s="192" t="str">
        <x:v>Not Started</x:v>
      </x:c>
      <x:c r="H614" s="192" t="n">
        <x:v>0</x:v>
      </x:c>
    </x:row>
    <x:row r="615" ht="56" customHeight="1">
      <x:c r="A615" s="192" t="str">
        <x:v>incur</x:v>
      </x:c>
      <x:c r="B615" s="192" t="str">
        <x:v>v.</x:v>
      </x:c>
      <x:c r="C615" s="194" t="str">
        <x:v>понести</x:v>
      </x:c>
      <x:c r="D615" s="195" t="str">
        <x:v>Накликати на себе або піддаватися, особливо чомусь незручному, шкідливому чи обтяжливому; стати відповідальним або підлягати.</x:v>
      </x:c>
      <x:c r="E615" s="192" t="str">
        <x:v>Oxford C1</x:v>
      </x:c>
      <x:c r="F615" s="192" t="str">
        <x:v>Core</x:v>
      </x:c>
      <x:c r="G615" s="192" t="str">
        <x:v>Not Started</x:v>
      </x:c>
      <x:c r="H615" s="192" t="n">
        <x:v>0</x:v>
      </x:c>
    </x:row>
    <x:row r="616" ht="56" customHeight="1">
      <x:c r="A616" s="192" t="str">
        <x:v>indicator</x:v>
      </x:c>
      <x:c r="B616" s="192" t="str">
        <x:v>n.</x:v>
      </x:c>
      <x:c r="C616" s="194" t="str">
        <x:v>індикатор</x:v>
      </x:c>
      <x:c r="D616" s="195" t="str">
        <x:v>Покажчик або індекс, який щось вказує.</x:v>
      </x:c>
      <x:c r="E616" s="192" t="str">
        <x:v>Oxford C1</x:v>
      </x:c>
      <x:c r="F616" s="192" t="str">
        <x:v>High</x:v>
      </x:c>
      <x:c r="G616" s="192" t="str">
        <x:v>Not Started</x:v>
      </x:c>
      <x:c r="H616" s="192" t="n">
        <x:v>0</x:v>
      </x:c>
    </x:row>
    <x:row r="617" ht="56" customHeight="1">
      <x:c r="A617" s="192" t="str">
        <x:v>indictment</x:v>
      </x:c>
      <x:c r="B617" s="192" t="str">
        <x:v>n.</x:v>
      </x:c>
      <x:c r="C617" s="194" t="str">
        <x:v>звинувачення</x:v>
      </x:c>
      <x:c r="D617" s="195" t="str">
        <x:v>Офіційне офіційне звинувачення у вчиненні кримінального правопорушення або процес, за допомогою якого воно доводиться до суду присяжних.</x:v>
      </x:c>
      <x:c r="E617" s="192" t="str">
        <x:v>Oxford C1</x:v>
      </x:c>
      <x:c r="F617" s="192" t="str">
        <x:v>Core</x:v>
      </x:c>
      <x:c r="G617" s="192" t="str">
        <x:v>Not Started</x:v>
      </x:c>
      <x:c r="H617" s="192" t="n">
        <x:v>0</x:v>
      </x:c>
    </x:row>
    <x:row r="618" ht="56" customHeight="1">
      <x:c r="A618" s="192" t="str">
        <x:v>indigenous</x:v>
      </x:c>
      <x:c r="B618" s="192" t="str">
        <x:v>adj.</x:v>
      </x:c>
      <x:c r="C618" s="194" t="str">
        <x:v>корінний</x:v>
      </x:c>
      <x:c r="D618" s="195" t="str">
        <x:v>Народився або походить з країни чи регіону, особливо до вторгнення.</x:v>
      </x:c>
      <x:c r="E618" s="192" t="str">
        <x:v>Oxford C1</x:v>
      </x:c>
      <x:c r="F618" s="192" t="str">
        <x:v>High</x:v>
      </x:c>
      <x:c r="G618" s="192" t="str">
        <x:v>Not Started</x:v>
      </x:c>
      <x:c r="H618" s="192" t="n">
        <x:v>0</x:v>
      </x:c>
    </x:row>
    <x:row r="619" ht="56" customHeight="1">
      <x:c r="A619" s="192" t="str">
        <x:v>induce</x:v>
      </x:c>
      <x:c r="B619" s="192" t="str">
        <x:v>v.</x:v>
      </x:c>
      <x:c r="C619" s="194" t="str">
        <x:v>спонукати</x:v>
      </x:c>
      <x:c r="D619" s="195" t="str">
        <x:v>Спричиняти, викликати, призводити до.</x:v>
      </x:c>
      <x:c r="E619" s="192" t="str">
        <x:v>Oxford C1</x:v>
      </x:c>
      <x:c r="F619" s="192" t="str">
        <x:v>Core</x:v>
      </x:c>
      <x:c r="G619" s="192" t="str">
        <x:v>Not Started</x:v>
      </x:c>
      <x:c r="H619" s="192" t="n">
        <x:v>0</x:v>
      </x:c>
    </x:row>
    <x:row r="620" ht="56" customHeight="1">
      <x:c r="A620" s="192" t="str">
        <x:v>indulge</x:v>
      </x:c>
      <x:c r="B620" s="192" t="str">
        <x:v>v.</x:v>
      </x:c>
      <x:c r="C620" s="194" t="str">
        <x:v>балуватися</x:v>
      </x:c>
      <x:c r="D620" s="195" t="str">
        <x:v>: піддатися спокусі чи бажанню.</x:v>
      </x:c>
      <x:c r="E620" s="192" t="str">
        <x:v>Oxford C1</x:v>
      </x:c>
      <x:c r="F620" s="192" t="str">
        <x:v>Core</x:v>
      </x:c>
      <x:c r="G620" s="192" t="str">
        <x:v>Not Started</x:v>
      </x:c>
      <x:c r="H620" s="192" t="n">
        <x:v>0</x:v>
      </x:c>
    </x:row>
    <x:row r="621" ht="56" customHeight="1">
      <x:c r="A621" s="192" t="str">
        <x:v>inequality</x:v>
      </x:c>
      <x:c r="B621" s="192" t="str">
        <x:v>n.</x:v>
      </x:c>
      <x:c r="C621" s="194" t="str">
        <x:v>нерівність</x:v>
      </x:c>
      <x:c r="D621" s="195" t="str">
        <x:v>Стан або стан (соціальних, культурних чи правових питань), який не є рівним; особливо така умова, яка також є несправедливою.</x:v>
      </x:c>
      <x:c r="E621" s="192" t="str">
        <x:v>Oxford C1</x:v>
      </x:c>
      <x:c r="F621" s="192" t="str">
        <x:v>High</x:v>
      </x:c>
      <x:c r="G621" s="192" t="str">
        <x:v>Not Started</x:v>
      </x:c>
      <x:c r="H621" s="192" t="n">
        <x:v>0</x:v>
      </x:c>
    </x:row>
    <x:row r="622" ht="56" customHeight="1">
      <x:c r="A622" s="192" t="str">
        <x:v>infamous</x:v>
      </x:c>
      <x:c r="B622" s="192" t="str">
        <x:v>adj.</x:v>
      </x:c>
      <x:c r="C622" s="194" t="str">
        <x:v>сумно відомий</x:v>
      </x:c>
      <x:c r="D622" s="195" t="str">
        <x:v>Мати погану репутацію; безсолідний; горезвісний; неприємний або злий; широко відомий, особливо за щось зневажливе.</x:v>
      </x:c>
      <x:c r="E622" s="192" t="str">
        <x:v>Oxford C1</x:v>
      </x:c>
      <x:c r="F622" s="192" t="str">
        <x:v>Core</x:v>
      </x:c>
      <x:c r="G622" s="192" t="str">
        <x:v>Not Started</x:v>
      </x:c>
      <x:c r="H622" s="192" t="n">
        <x:v>0</x:v>
      </x:c>
    </x:row>
    <x:row r="623" ht="56" customHeight="1">
      <x:c r="A623" s="192" t="str">
        <x:v>infant</x:v>
      </x:c>
      <x:c r="B623" s="192" t="str">
        <x:v>n.</x:v>
      </x:c>
      <x:c r="C623" s="194" t="str">
        <x:v>немовля</x:v>
      </x:c>
      <x:c r="D623" s="195" t="str">
        <x:v>Дуже молода людська істота, від народження до віку від шести місяців до двох років після народження, яка потребує майже постійного догляду та уваги.</x:v>
      </x:c>
      <x:c r="E623" s="192" t="str">
        <x:v>Oxford C1</x:v>
      </x:c>
      <x:c r="F623" s="192" t="str">
        <x:v>High</x:v>
      </x:c>
      <x:c r="G623" s="192" t="str">
        <x:v>Not Started</x:v>
      </x:c>
      <x:c r="H623" s="192" t="n">
        <x:v>0</x:v>
      </x:c>
    </x:row>
    <x:row r="624" ht="56" customHeight="1">
      <x:c r="A624" s="192" t="str">
        <x:v>infect</x:v>
      </x:c>
      <x:c r="B624" s="192" t="str">
        <x:v>v.</x:v>
      </x:c>
      <x:c r="C624" s="194" t="str">
        <x:v>заразити</x:v>
      </x:c>
      <x:c r="D624" s="195" t="str">
        <x:v>Привести (тіло або його частину) в контакт з речовиною, що викликає хворобу (збудником), щоб збудник почав діяти на організм;</x:v>
      </x:c>
      <x:c r="E624" s="192" t="str">
        <x:v>Oxford C1</x:v>
      </x:c>
      <x:c r="F624" s="192" t="str">
        <x:v>Core</x:v>
      </x:c>
      <x:c r="G624" s="192" t="str">
        <x:v>Not Started</x:v>
      </x:c>
      <x:c r="H624" s="192" t="n">
        <x:v>0</x:v>
      </x:c>
    </x:row>
    <x:row r="625" ht="56" customHeight="1">
      <x:c r="A625" s="192" t="str">
        <x:v>inflict</x:v>
      </x:c>
      <x:c r="B625" s="192" t="str">
        <x:v>v.</x:v>
      </x:c>
      <x:c r="C625" s="194" t="str">
        <x:v>наносити</x:v>
      </x:c>
      <x:c r="D625" s="195" t="str">
        <x:v>Накидатися на; накладати.</x:v>
      </x:c>
      <x:c r="E625" s="192" t="str">
        <x:v>Oxford C1</x:v>
      </x:c>
      <x:c r="F625" s="192" t="str">
        <x:v>Core</x:v>
      </x:c>
      <x:c r="G625" s="192" t="str">
        <x:v>Not Started</x:v>
      </x:c>
      <x:c r="H625" s="192" t="n">
        <x:v>0</x:v>
      </x:c>
    </x:row>
    <x:row r="626" ht="56" customHeight="1">
      <x:c r="A626" s="192" t="str">
        <x:v>influential</x:v>
      </x:c>
      <x:c r="B626" s="192" t="str">
        <x:v>adj.</x:v>
      </x:c>
      <x:c r="C626" s="194" t="str">
        <x:v>впливовий</x:v>
      </x:c>
      <x:c r="D626" s="195" t="str">
        <x:v>Володіння чи здійснення впливу.</x:v>
      </x:c>
      <x:c r="E626" s="192" t="str">
        <x:v>Oxford C1</x:v>
      </x:c>
      <x:c r="F626" s="192" t="str">
        <x:v>Core</x:v>
      </x:c>
      <x:c r="G626" s="192" t="str">
        <x:v>Not Started</x:v>
      </x:c>
      <x:c r="H626" s="192" t="n">
        <x:v>0</x:v>
      </x:c>
    </x:row>
    <x:row r="627" ht="56" customHeight="1">
      <x:c r="A627" s="192" t="str">
        <x:v>inherent</x:v>
      </x:c>
      <x:c r="B627" s="192" t="str">
        <x:v>adj.</x:v>
      </x:c>
      <x:c r="C627" s="194" t="str">
        <x:v>властивий</x:v>
      </x:c>
      <x:c r="D627" s="195" t="str">
        <x:v>Природно, як частина або наслідок чогось.</x:v>
      </x:c>
      <x:c r="E627" s="192" t="str">
        <x:v>Oxford C1 + AWL 9</x:v>
      </x:c>
      <x:c r="F627" s="192" t="str">
        <x:v>High</x:v>
      </x:c>
      <x:c r="G627" s="192" t="str">
        <x:v>Not Started</x:v>
      </x:c>
      <x:c r="H627" s="192" t="n">
        <x:v>0</x:v>
      </x:c>
    </x:row>
    <x:row r="628" ht="56" customHeight="1">
      <x:c r="A628" s="192" t="str">
        <x:v>inhibit</x:v>
      </x:c>
      <x:c r="B628" s="192" t="str">
        <x:v>v.</x:v>
      </x:c>
      <x:c r="C628" s="194" t="str">
        <x:v>гальмувати</x:v>
      </x:c>
      <x:c r="D628" s="195" t="str">
        <x:v>Стримати або стримати; тримати під контролем; стримувати.</x:v>
      </x:c>
      <x:c r="E628" s="192" t="str">
        <x:v>Oxford C1</x:v>
      </x:c>
      <x:c r="F628" s="192" t="str">
        <x:v>Core</x:v>
      </x:c>
      <x:c r="G628" s="192" t="str">
        <x:v>Not Started</x:v>
      </x:c>
      <x:c r="H628" s="192" t="n">
        <x:v>0</x:v>
      </x:c>
    </x:row>
    <x:row r="629" ht="56" customHeight="1">
      <x:c r="A629" s="192" t="str">
        <x:v>initiate</x:v>
      </x:c>
      <x:c r="B629" s="192" t="str">
        <x:v>v.</x:v>
      </x:c>
      <x:c r="C629" s="194" t="str">
        <x:v>ініціювати</x:v>
      </x:c>
      <x:c r="D629" s="195" t="str">
        <x:v>Для початку; почати.</x:v>
      </x:c>
      <x:c r="E629" s="192" t="str">
        <x:v>Oxford C1</x:v>
      </x:c>
      <x:c r="F629" s="192" t="str">
        <x:v>Core</x:v>
      </x:c>
      <x:c r="G629" s="192" t="str">
        <x:v>Not Started</x:v>
      </x:c>
      <x:c r="H629" s="192" t="n">
        <x:v>0</x:v>
      </x:c>
    </x:row>
    <x:row r="630" ht="56" customHeight="1">
      <x:c r="A630" s="192" t="str">
        <x:v>inject</x:v>
      </x:c>
      <x:c r="B630" s="192" t="str">
        <x:v>v.</x:v>
      </x:c>
      <x:c r="C630" s="194" t="str">
        <x:v>вводити</x:v>
      </x:c>
      <x:c r="D630" s="195" t="str">
        <x:v>Робити ін’єкцію (комусь або чомусь), особливо ліків або наркотиків.</x:v>
      </x:c>
      <x:c r="E630" s="192" t="str">
        <x:v>Oxford C1</x:v>
      </x:c>
      <x:c r="F630" s="192" t="str">
        <x:v>Core</x:v>
      </x:c>
      <x:c r="G630" s="192" t="str">
        <x:v>Not Started</x:v>
      </x:c>
      <x:c r="H630" s="192" t="n">
        <x:v>0</x:v>
      </x:c>
    </x:row>
    <x:row r="631" ht="56" customHeight="1">
      <x:c r="A631" s="192" t="str">
        <x:v>injection</x:v>
      </x:c>
      <x:c r="B631" s="192" t="str">
        <x:v>n.</x:v>
      </x:c>
      <x:c r="C631" s="194" t="str">
        <x:v>ін’єкція; вливання</x:v>
      </x:c>
      <x:c r="D631" s="195" t="str">
        <x:v>Акт ін'єкції або щось, що вводять.</x:v>
      </x:c>
      <x:c r="E631" s="192" t="str">
        <x:v>Oxford C1</x:v>
      </x:c>
      <x:c r="F631" s="192" t="str">
        <x:v>Core</x:v>
      </x:c>
      <x:c r="G631" s="192" t="str">
        <x:v>Not Started</x:v>
      </x:c>
      <x:c r="H631" s="192" t="n">
        <x:v>0</x:v>
      </x:c>
    </x:row>
    <x:row r="632" ht="56" customHeight="1">
      <x:c r="A632" s="192" t="str">
        <x:v>injustice</x:v>
      </x:c>
      <x:c r="B632" s="192" t="str">
        <x:v>n.</x:v>
      </x:c>
      <x:c r="C632" s="194" t="str">
        <x:v>несправедливість</x:v>
      </x:c>
      <x:c r="D632" s="195" t="str">
        <x:v>Порушення прав іншої людини чи людей.</x:v>
      </x:c>
      <x:c r="E632" s="192" t="str">
        <x:v>Oxford C1</x:v>
      </x:c>
      <x:c r="F632" s="192" t="str">
        <x:v>Core</x:v>
      </x:c>
      <x:c r="G632" s="192" t="str">
        <x:v>Not Started</x:v>
      </x:c>
      <x:c r="H632" s="192" t="n">
        <x:v>0</x:v>
      </x:c>
    </x:row>
    <x:row r="633" ht="56" customHeight="1">
      <x:c r="A633" s="192" t="str">
        <x:v>inmate</x:v>
      </x:c>
      <x:c r="B633" s="192" t="str">
        <x:v>n.</x:v>
      </x:c>
      <x:c r="C633" s="194" t="str">
        <x:v>в'язень</x:v>
      </x:c>
      <x:c r="D633" s="195" t="str">
        <x:v>Особа, яка перебуває в установі, наприклад, в’язниці (як засуджений) або лікарні (як пацієнт).</x:v>
      </x:c>
      <x:c r="E633" s="192" t="str">
        <x:v>Oxford C1</x:v>
      </x:c>
      <x:c r="F633" s="192" t="str">
        <x:v>Core</x:v>
      </x:c>
      <x:c r="G633" s="192" t="str">
        <x:v>Not Started</x:v>
      </x:c>
      <x:c r="H633" s="192" t="n">
        <x:v>0</x:v>
      </x:c>
    </x:row>
    <x:row r="634" ht="56" customHeight="1">
      <x:c r="A634" s="192" t="str">
        <x:v>insertion</x:v>
      </x:c>
      <x:c r="B634" s="192" t="str">
        <x:v>n.</x:v>
      </x:c>
      <x:c r="C634" s="194" t="str">
        <x:v>вставка</x:v>
      </x:c>
      <x:c r="D634" s="195" t="str">
        <x:v>Акт вставки або щось вставлене.</x:v>
      </x:c>
      <x:c r="E634" s="192" t="str">
        <x:v>Oxford C1</x:v>
      </x:c>
      <x:c r="F634" s="192" t="str">
        <x:v>Core</x:v>
      </x:c>
      <x:c r="G634" s="192" t="str">
        <x:v>Not Started</x:v>
      </x:c>
      <x:c r="H634" s="192" t="n">
        <x:v>0</x:v>
      </x:c>
    </x:row>
    <x:row r="635" ht="56" customHeight="1">
      <x:c r="A635" s="192" t="str">
        <x:v>insider</x:v>
      </x:c>
      <x:c r="B635" s="192" t="str">
        <x:v>n.</x:v>
      </x:c>
      <x:c r="C635" s="194" t="str">
        <x:v>інсайдер</x:v>
      </x:c>
      <x:c r="D635" s="195" t="str">
        <x:v>Особа, яка володіє спеціальними знаннями про внутрішню роботу групи, організації чи установи.</x:v>
      </x:c>
      <x:c r="E635" s="192" t="str">
        <x:v>Oxford C1</x:v>
      </x:c>
      <x:c r="F635" s="192" t="str">
        <x:v>Core</x:v>
      </x:c>
      <x:c r="G635" s="192" t="str">
        <x:v>Not Started</x:v>
      </x:c>
      <x:c r="H635" s="192" t="n">
        <x:v>0</x:v>
      </x:c>
    </x:row>
    <x:row r="636" ht="56" customHeight="1">
      <x:c r="A636" s="192" t="str">
        <x:v>inspect</x:v>
      </x:c>
      <x:c r="B636" s="192" t="str">
        <x:v>v.</x:v>
      </x:c>
      <x:c r="C636" s="194" t="str">
        <x:v>оглядати</x:v>
      </x:c>
      <x:c r="D636" s="195" t="str">
        <x:v>Вивчати критично або уважно; особливо для пошуку проблем або визначення стану; придивлятися.</x:v>
      </x:c>
      <x:c r="E636" s="192" t="str">
        <x:v>Oxford C1</x:v>
      </x:c>
      <x:c r="F636" s="192" t="str">
        <x:v>Core</x:v>
      </x:c>
      <x:c r="G636" s="192" t="str">
        <x:v>Not Started</x:v>
      </x:c>
      <x:c r="H636" s="192" t="n">
        <x:v>0</x:v>
      </x:c>
    </x:row>
    <x:row r="637" ht="56" customHeight="1">
      <x:c r="A637" s="192" t="str">
        <x:v>inspection</x:v>
      </x:c>
      <x:c r="B637" s="192" t="str">
        <x:v>n.</x:v>
      </x:c>
      <x:c r="C637" s="194" t="str">
        <x:v>огляд</x:v>
      </x:c>
      <x:c r="D637" s="195" t="str">
        <x:v>Акт вивчення чогось, часто уважно.</x:v>
      </x:c>
      <x:c r="E637" s="192" t="str">
        <x:v>Oxford C1 + AWL 8</x:v>
      </x:c>
      <x:c r="F637" s="192" t="str">
        <x:v>High</x:v>
      </x:c>
      <x:c r="G637" s="192" t="str">
        <x:v>Not Started</x:v>
      </x:c>
      <x:c r="H637" s="192" t="n">
        <x:v>0</x:v>
      </x:c>
    </x:row>
    <x:row r="638" ht="56" customHeight="1">
      <x:c r="A638" s="192" t="str">
        <x:v>inspiration</x:v>
      </x:c>
      <x:c r="B638" s="192" t="str">
        <x:v>n.</x:v>
      </x:c>
      <x:c r="C638" s="194" t="str">
        <x:v>натхнення</x:v>
      </x:c>
      <x:c r="D638" s="195" t="str">
        <x:v>Акт або процес піднесення чи стимулювання впливу на інтелект, емоції чи творчість.</x:v>
      </x:c>
      <x:c r="E638" s="192" t="str">
        <x:v>Oxford C1</x:v>
      </x:c>
      <x:c r="F638" s="192" t="str">
        <x:v>Core</x:v>
      </x:c>
      <x:c r="G638" s="192" t="str">
        <x:v>Not Started</x:v>
      </x:c>
      <x:c r="H638" s="192" t="n">
        <x:v>0</x:v>
      </x:c>
    </x:row>
    <x:row r="639" ht="56" customHeight="1">
      <x:c r="A639" s="192" t="str">
        <x:v>instinct</x:v>
      </x:c>
      <x:c r="B639" s="192" t="str">
        <x:v>n.</x:v>
      </x:c>
      <x:c r="C639" s="194" t="str">
        <x:v>інстинкт</x:v>
      </x:c>
      <x:c r="D639" s="195" t="str">
        <x:v>Природний або вроджений імпульс або поведінка.</x:v>
      </x:c>
      <x:c r="E639" s="192" t="str">
        <x:v>Oxford C1</x:v>
      </x:c>
      <x:c r="F639" s="192" t="str">
        <x:v>Core</x:v>
      </x:c>
      <x:c r="G639" s="192" t="str">
        <x:v>Not Started</x:v>
      </x:c>
      <x:c r="H639" s="192" t="n">
        <x:v>0</x:v>
      </x:c>
    </x:row>
    <x:row r="640" ht="56" customHeight="1">
      <x:c r="A640" s="192" t="str">
        <x:v>institutional</x:v>
      </x:c>
      <x:c r="B640" s="192" t="str">
        <x:v>adj.</x:v>
      </x:c>
      <x:c r="C640" s="194" t="str">
        <x:v>інституційний</x:v>
      </x:c>
      <x:c r="D640" s="195" t="str">
        <x:v>З, відноситься до, характерний або організований за принципами установи.</x:v>
      </x:c>
      <x:c r="E640" s="192" t="str">
        <x:v>Oxford C1</x:v>
      </x:c>
      <x:c r="F640" s="192" t="str">
        <x:v>Core</x:v>
      </x:c>
      <x:c r="G640" s="192" t="str">
        <x:v>Not Started</x:v>
      </x:c>
      <x:c r="H640" s="192" t="n">
        <x:v>0</x:v>
      </x:c>
    </x:row>
    <x:row r="641" ht="56" customHeight="1">
      <x:c r="A641" s="192" t="str">
        <x:v>instruct</x:v>
      </x:c>
      <x:c r="B641" s="192" t="str">
        <x:v>v.</x:v>
      </x:c>
      <x:c r="C641" s="194" t="str">
        <x:v>інструктувати</x:v>
      </x:c>
      <x:c r="D641" s="195" t="str">
        <x:v>Сказати (комусь), що вони повинні чи повинні робити.</x:v>
      </x:c>
      <x:c r="E641" s="192" t="str">
        <x:v>Oxford C1</x:v>
      </x:c>
      <x:c r="F641" s="192" t="str">
        <x:v>Core</x:v>
      </x:c>
      <x:c r="G641" s="192" t="str">
        <x:v>Not Started</x:v>
      </x:c>
      <x:c r="H641" s="192" t="n">
        <x:v>0</x:v>
      </x:c>
    </x:row>
    <x:row r="642" ht="56" customHeight="1">
      <x:c r="A642" s="192" t="str">
        <x:v>instrumental</x:v>
      </x:c>
      <x:c r="B642" s="192" t="str">
        <x:v>adj.</x:v>
      </x:c>
      <x:c r="C642" s="194" t="str">
        <x:v>орудний</x:v>
      </x:c>
      <x:c r="D642" s="195" t="str">
        <x:v>Відноситься до інструменту, виготовленого або підготовленого для нього, особливо музичного (а не людського голосу).</x:v>
      </x:c>
      <x:c r="E642" s="192" t="str">
        <x:v>Oxford C1</x:v>
      </x:c>
      <x:c r="F642" s="192" t="str">
        <x:v>Core</x:v>
      </x:c>
      <x:c r="G642" s="192" t="str">
        <x:v>Not Started</x:v>
      </x:c>
      <x:c r="H642" s="192" t="n">
        <x:v>0</x:v>
      </x:c>
    </x:row>
    <x:row r="643" ht="56" customHeight="1">
      <x:c r="A643" s="192" t="str">
        <x:v>insufficient</x:v>
      </x:c>
      <x:c r="B643" s="192" t="str">
        <x:v>adj.</x:v>
      </x:c>
      <x:c r="C643" s="194" t="str">
        <x:v>недостатній</x:v>
      </x:c>
      <x:c r="D643" s="195" t="str">
        <x:v>Недостатньо; типу або виду, якого недостатньо, який не задовольняє вимоги чи потреби.</x:v>
      </x:c>
      <x:c r="E643" s="192" t="str">
        <x:v>Oxford C1</x:v>
      </x:c>
      <x:c r="F643" s="192" t="str">
        <x:v>Core</x:v>
      </x:c>
      <x:c r="G643" s="192" t="str">
        <x:v>Not Started</x:v>
      </x:c>
      <x:c r="H643" s="192" t="n">
        <x:v>0</x:v>
      </x:c>
    </x:row>
    <x:row r="644" ht="56" customHeight="1">
      <x:c r="A644" s="192" t="str">
        <x:v>insult</x:v>
      </x:c>
      <x:c r="B644" s="192" t="str">
        <x:v>n., v.</x:v>
      </x:c>
      <x:c r="C644" s="194" t="str">
        <x:v>образа</x:v>
      </x:c>
      <x:c r="D644" s="195" t="str">
        <x:v>Бути нечутливим, зухвалим або грубим до (когось); ображати чи принижувати (когось).</x:v>
      </x:c>
      <x:c r="E644" s="192" t="str">
        <x:v>Oxford C1</x:v>
      </x:c>
      <x:c r="F644" s="192" t="str">
        <x:v>Core</x:v>
      </x:c>
      <x:c r="G644" s="192" t="str">
        <x:v>Not Started</x:v>
      </x:c>
      <x:c r="H644" s="192" t="n">
        <x:v>0</x:v>
      </x:c>
    </x:row>
    <x:row r="645" ht="56" customHeight="1">
      <x:c r="A645" s="192" t="str">
        <x:v>intact</x:v>
      </x:c>
      <x:c r="B645" s="192" t="str">
        <x:v>adj.</x:v>
      </x:c>
      <x:c r="C645" s="194" t="str">
        <x:v>неушкоджений</x:v>
      </x:c>
      <x:c r="D645" s="195" t="str">
        <x:v>Ліва повна або ціла; не торкалися, не оскверняли, не заплямували або іншим чином не пошкоджували.</x:v>
      </x:c>
      <x:c r="E645" s="192" t="str">
        <x:v>Oxford C1</x:v>
      </x:c>
      <x:c r="F645" s="192" t="str">
        <x:v>Core</x:v>
      </x:c>
      <x:c r="G645" s="192" t="str">
        <x:v>Not Started</x:v>
      </x:c>
      <x:c r="H645" s="192" t="n">
        <x:v>0</x:v>
      </x:c>
    </x:row>
    <x:row r="646" ht="56" customHeight="1">
      <x:c r="A646" s="192" t="str">
        <x:v>intake</x:v>
      </x:c>
      <x:c r="B646" s="192" t="str">
        <x:v>n.</x:v>
      </x:c>
      <x:c r="C646" s="194" t="str">
        <x:v>споживання</x:v>
      </x:c>
      <x:c r="D646" s="195" t="str">
        <x:v>Прийнята кількість.</x:v>
      </x:c>
      <x:c r="E646" s="192" t="str">
        <x:v>Oxford C1</x:v>
      </x:c>
      <x:c r="F646" s="192" t="str">
        <x:v>Core</x:v>
      </x:c>
      <x:c r="G646" s="192" t="str">
        <x:v>Not Started</x:v>
      </x:c>
      <x:c r="H646" s="192" t="n">
        <x:v>0</x:v>
      </x:c>
    </x:row>
    <x:row r="647" ht="56" customHeight="1">
      <x:c r="A647" s="192" t="str">
        <x:v>integral</x:v>
      </x:c>
      <x:c r="B647" s="192" t="str">
        <x:v>adj.</x:v>
      </x:c>
      <x:c r="C647" s="194" t="str">
        <x:v>інтегральний</x:v>
      </x:c>
      <x:c r="D647" s="195" t="str">
        <x:v>Складаючи ціле разом з іншими частинами або факторами; не можна пропускати або знімати.</x:v>
      </x:c>
      <x:c r="E647" s="192" t="str">
        <x:v>Oxford C1 + AWL 9</x:v>
      </x:c>
      <x:c r="F647" s="192" t="str">
        <x:v>High</x:v>
      </x:c>
      <x:c r="G647" s="192" t="str">
        <x:v>Not Started</x:v>
      </x:c>
      <x:c r="H647" s="192" t="n">
        <x:v>0</x:v>
      </x:c>
    </x:row>
    <x:row r="648" ht="56" customHeight="1">
      <x:c r="A648" s="192" t="str">
        <x:v>integrated</x:v>
      </x:c>
      <x:c r="B648" s="192" t="str">
        <x:v>adj.</x:v>
      </x:c>
      <x:c r="C648" s="194" t="str">
        <x:v>інтегрований</x:v>
      </x:c>
      <x:c r="D648" s="195" t="str">
        <x:v>складений і скоординований, щоб утворити ціле</x:v>
      </x:c>
      <x:c r="E648" s="192" t="str">
        <x:v>Oxford C1</x:v>
      </x:c>
      <x:c r="F648" s="192" t="str">
        <x:v>Core</x:v>
      </x:c>
      <x:c r="G648" s="192" t="str">
        <x:v>Not Started</x:v>
      </x:c>
      <x:c r="H648" s="192" t="n">
        <x:v>0</x:v>
      </x:c>
    </x:row>
    <x:row r="649" ht="56" customHeight="1">
      <x:c r="A649" s="192" t="str">
        <x:v>integration</x:v>
      </x:c>
      <x:c r="B649" s="192" t="str">
        <x:v>n.</x:v>
      </x:c>
      <x:c r="C649" s="194" t="str">
        <x:v>інтеграція</x:v>
      </x:c>
      <x:c r="D649" s="195" t="str">
        <x:v>Дія або процес створення цілого або цілого.</x:v>
      </x:c>
      <x:c r="E649" s="192" t="str">
        <x:v>Oxford C1 + AWL 4</x:v>
      </x:c>
      <x:c r="F649" s="192" t="str">
        <x:v>High</x:v>
      </x:c>
      <x:c r="G649" s="192" t="str">
        <x:v>Not Started</x:v>
      </x:c>
      <x:c r="H649" s="192" t="n">
        <x:v>0</x:v>
      </x:c>
    </x:row>
    <x:row r="650" ht="56" customHeight="1">
      <x:c r="A650" s="192" t="str">
        <x:v>integrity</x:v>
      </x:c>
      <x:c r="B650" s="192" t="str">
        <x:v>n.</x:v>
      </x:c>
      <x:c r="C650" s="194" t="str">
        <x:v>цілісність</x:v>
      </x:c>
      <x:c r="D650" s="195" t="str">
        <x:v>Неухильне дотримання суворого морального або етичного кодексу.</x:v>
      </x:c>
      <x:c r="E650" s="192" t="str">
        <x:v>Oxford C1 + AWL 10</x:v>
      </x:c>
      <x:c r="F650" s="192" t="str">
        <x:v>High</x:v>
      </x:c>
      <x:c r="G650" s="192" t="str">
        <x:v>Not Started</x:v>
      </x:c>
      <x:c r="H650" s="192" t="n">
        <x:v>0</x:v>
      </x:c>
    </x:row>
    <x:row r="651" ht="56" customHeight="1">
      <x:c r="A651" s="192" t="str">
        <x:v>intellectual</x:v>
      </x:c>
      <x:c r="B651" s="192" t="str">
        <x:v>n.</x:v>
      </x:c>
      <x:c r="C651" s="194" t="str">
        <x:v>інтелектуал</x:v>
      </x:c>
      <x:c r="D651" s="195" t="str">
        <x:v>Розумна, вчена людина, особливо та, яка говорить про вчені питання.</x:v>
      </x:c>
      <x:c r="E651" s="192" t="str">
        <x:v>Oxford C1</x:v>
      </x:c>
      <x:c r="F651" s="192" t="str">
        <x:v>Core</x:v>
      </x:c>
      <x:c r="G651" s="192" t="str">
        <x:v>Not Started</x:v>
      </x:c>
      <x:c r="H651" s="192" t="n">
        <x:v>0</x:v>
      </x:c>
    </x:row>
    <x:row r="652" ht="56" customHeight="1">
      <x:c r="A652" s="192" t="str">
        <x:v>intensify</x:v>
      </x:c>
      <x:c r="B652" s="192" t="str">
        <x:v>v.</x:v>
      </x:c>
      <x:c r="C652" s="194" t="str">
        <x:v>посилити</x:v>
      </x:c>
      <x:c r="D652" s="195" t="str">
        <x:v>Стати інтенсивним або більш інтенсивним; діяти зі зростаючою силою чи енергією.</x:v>
      </x:c>
      <x:c r="E652" s="192" t="str">
        <x:v>Oxford C1</x:v>
      </x:c>
      <x:c r="F652" s="192" t="str">
        <x:v>Core</x:v>
      </x:c>
      <x:c r="G652" s="192" t="str">
        <x:v>Not Started</x:v>
      </x:c>
      <x:c r="H652" s="192" t="n">
        <x:v>0</x:v>
      </x:c>
    </x:row>
    <x:row r="653" ht="56" customHeight="1">
      <x:c r="A653" s="192" t="str">
        <x:v>intensity</x:v>
      </x:c>
      <x:c r="B653" s="192" t="str">
        <x:v>n.</x:v>
      </x:c>
      <x:c r="C653" s="194" t="str">
        <x:v>інтенсивність</x:v>
      </x:c>
      <x:c r="D653" s="195" t="str">
        <x:v>Якість інтенсивності.</x:v>
      </x:c>
      <x:c r="E653" s="192" t="str">
        <x:v>Oxford C1 + AWL 8</x:v>
      </x:c>
      <x:c r="F653" s="192" t="str">
        <x:v>High</x:v>
      </x:c>
      <x:c r="G653" s="192" t="str">
        <x:v>Not Started</x:v>
      </x:c>
      <x:c r="H653" s="192" t="n">
        <x:v>0</x:v>
      </x:c>
    </x:row>
    <x:row r="654" ht="56" customHeight="1">
      <x:c r="A654" s="192" t="str">
        <x:v>intensive</x:v>
      </x:c>
      <x:c r="B654" s="192" t="str">
        <x:v>adj.</x:v>
      </x:c>
      <x:c r="C654" s="194" t="str">
        <x:v>інтенсивний</x:v>
      </x:c>
      <x:c r="D654" s="195" t="str">
        <x:v>Виконується з інтенсивністю або значною мірою; ретельний.</x:v>
      </x:c>
      <x:c r="E654" s="192" t="str">
        <x:v>Oxford C1</x:v>
      </x:c>
      <x:c r="F654" s="192" t="str">
        <x:v>Core</x:v>
      </x:c>
      <x:c r="G654" s="192" t="str">
        <x:v>Not Started</x:v>
      </x:c>
      <x:c r="H654" s="192" t="n">
        <x:v>0</x:v>
      </x:c>
    </x:row>
    <x:row r="655" ht="56" customHeight="1">
      <x:c r="A655" s="192" t="str">
        <x:v>intent</x:v>
      </x:c>
      <x:c r="B655" s="192" t="str">
        <x:v>n.</x:v>
      </x:c>
      <x:c r="C655" s="194" t="str">
        <x:v>намір</x:v>
      </x:c>
      <x:c r="D655" s="195" t="str">
        <x:v>Щось призначене.</x:v>
      </x:c>
      <x:c r="E655" s="192" t="str">
        <x:v>Oxford C1</x:v>
      </x:c>
      <x:c r="F655" s="192" t="str">
        <x:v>Core</x:v>
      </x:c>
      <x:c r="G655" s="192" t="str">
        <x:v>Not Started</x:v>
      </x:c>
      <x:c r="H655" s="192" t="n">
        <x:v>0</x:v>
      </x:c>
    </x:row>
    <x:row r="656" ht="56" customHeight="1">
      <x:c r="A656" s="192" t="str">
        <x:v>interactive</x:v>
      </x:c>
      <x:c r="B656" s="192" t="str">
        <x:v>adj.</x:v>
      </x:c>
      <x:c r="C656" s="194" t="str">
        <x:v>інтерактивний</x:v>
      </x:c>
      <x:c r="D656" s="195" t="str">
        <x:v>Пропозиція або залучення взаємодії з користувачем.</x:v>
      </x:c>
      <x:c r="E656" s="192" t="str">
        <x:v>Oxford C1</x:v>
      </x:c>
      <x:c r="F656" s="192" t="str">
        <x:v>Core</x:v>
      </x:c>
      <x:c r="G656" s="192" t="str">
        <x:v>Not Started</x:v>
      </x:c>
      <x:c r="H656" s="192" t="n">
        <x:v>0</x:v>
      </x:c>
    </x:row>
    <x:row r="657" ht="56" customHeight="1">
      <x:c r="A657" s="192" t="str">
        <x:v>interface</x:v>
      </x:c>
      <x:c r="B657" s="192" t="str">
        <x:v>n.</x:v>
      </x:c>
      <x:c r="C657" s="194" t="str">
        <x:v>інтерфейс</x:v>
      </x:c>
      <x:c r="D657" s="195" t="str">
        <x:v>Точка взаємозв'язку між системами або підсистемами.</x:v>
      </x:c>
      <x:c r="E657" s="192" t="str">
        <x:v>Oxford C1</x:v>
      </x:c>
      <x:c r="F657" s="192" t="str">
        <x:v>High</x:v>
      </x:c>
      <x:c r="G657" s="192" t="str">
        <x:v>Not Started</x:v>
      </x:c>
      <x:c r="H657" s="192" t="n">
        <x:v>0</x:v>
      </x:c>
    </x:row>
    <x:row r="658" ht="56" customHeight="1">
      <x:c r="A658" s="192" t="str">
        <x:v>interfere</x:v>
      </x:c>
      <x:c r="B658" s="192" t="str">
        <x:v>v.</x:v>
      </x:c>
      <x:c r="C658" s="194" t="str">
        <x:v>заважати</x:v>
      </x:c>
      <x:c r="D658" s="195" t="str">
        <x:v>Вплутуватися або втягуватись, завдаючи занепокоєння.</x:v>
      </x:c>
      <x:c r="E658" s="192" t="str">
        <x:v>Oxford C1</x:v>
      </x:c>
      <x:c r="F658" s="192" t="str">
        <x:v>Core</x:v>
      </x:c>
      <x:c r="G658" s="192" t="str">
        <x:v>Not Started</x:v>
      </x:c>
      <x:c r="H658" s="192" t="n">
        <x:v>0</x:v>
      </x:c>
    </x:row>
    <x:row r="659" ht="56" customHeight="1">
      <x:c r="A659" s="192" t="str">
        <x:v>interference</x:v>
      </x:c>
      <x:c r="B659" s="192" t="str">
        <x:v>n.</x:v>
      </x:c>
      <x:c r="C659" s="194" t="str">
        <x:v>інтерференція</x:v>
      </x:c>
      <x:c r="D659" s="195" t="str">
        <x:v>Акт втручання в щось або щось, що заважає.</x:v>
      </x:c>
      <x:c r="E659" s="192" t="str">
        <x:v>Oxford C1</x:v>
      </x:c>
      <x:c r="F659" s="192" t="str">
        <x:v>Core</x:v>
      </x:c>
      <x:c r="G659" s="192" t="str">
        <x:v>Not Started</x:v>
      </x:c>
      <x:c r="H659" s="192" t="n">
        <x:v>0</x:v>
      </x:c>
    </x:row>
    <x:row r="660" ht="56" customHeight="1">
      <x:c r="A660" s="192" t="str">
        <x:v>interim</x:v>
      </x:c>
      <x:c r="B660" s="192" t="str">
        <x:v>adj.</x:v>
      </x:c>
      <x:c r="C660" s="194" t="str">
        <x:v>тимчасовий</x:v>
      </x:c>
      <x:c r="D660" s="195" t="str">
        <x:v>Тимчасовий.</x:v>
      </x:c>
      <x:c r="E660" s="192" t="str">
        <x:v>Oxford C1</x:v>
      </x:c>
      <x:c r="F660" s="192" t="str">
        <x:v>Core</x:v>
      </x:c>
      <x:c r="G660" s="192" t="str">
        <x:v>Not Started</x:v>
      </x:c>
      <x:c r="H660" s="192" t="n">
        <x:v>0</x:v>
      </x:c>
    </x:row>
    <x:row r="661" ht="56" customHeight="1">
      <x:c r="A661" s="192" t="str">
        <x:v>interior</x:v>
      </x:c>
      <x:c r="B661" s="192" t="str">
        <x:v>adj., n.</x:v>
      </x:c>
      <x:c r="C661" s="194" t="str">
        <x:v>інтер'єр</x:v>
      </x:c>
      <x:c r="D661" s="195" t="str">
        <x:v>Внутрішня частина будівлі, контейнера, печери чи іншої закритої конструкції.</x:v>
      </x:c>
      <x:c r="E661" s="192" t="str">
        <x:v>Oxford C1</x:v>
      </x:c>
      <x:c r="F661" s="192" t="str">
        <x:v>Core</x:v>
      </x:c>
      <x:c r="G661" s="192" t="str">
        <x:v>Not Started</x:v>
      </x:c>
      <x:c r="H661" s="192" t="n">
        <x:v>0</x:v>
      </x:c>
    </x:row>
    <x:row r="662" ht="56" customHeight="1">
      <x:c r="A662" s="192" t="str">
        <x:v>intermediate</x:v>
      </x:c>
      <x:c r="B662" s="192" t="str">
        <x:v>adj.</x:v>
      </x:c>
      <x:c r="C662" s="194" t="str">
        <x:v>проміжний</x:v>
      </x:c>
      <x:c r="D662" s="195" t="str">
        <x:v>Знаходження між двома крайнощами або в середині діапазону.</x:v>
      </x:c>
      <x:c r="E662" s="192" t="str">
        <x:v>Oxford C1 + AWL 9</x:v>
      </x:c>
      <x:c r="F662" s="192" t="str">
        <x:v>High</x:v>
      </x:c>
      <x:c r="G662" s="192" t="str">
        <x:v>Not Started</x:v>
      </x:c>
      <x:c r="H662" s="192" t="n">
        <x:v>0</x:v>
      </x:c>
    </x:row>
    <x:row r="663" ht="56" customHeight="1">
      <x:c r="A663" s="192" t="str">
        <x:v>intervene</x:v>
      </x:c>
      <x:c r="B663" s="192" t="str">
        <x:v>v.</x:v>
      </x:c>
      <x:c r="C663" s="194" t="str">
        <x:v>втручатися</x:v>
      </x:c>
      <x:c r="D663" s="195" t="str">
        <x:v>Втягнутися в ситуацію, щоб змінити або запобігти дії. [з в]</x:v>
      </x:c>
      <x:c r="E663" s="192" t="str">
        <x:v>Oxford C1</x:v>
      </x:c>
      <x:c r="F663" s="192" t="str">
        <x:v>Core</x:v>
      </x:c>
      <x:c r="G663" s="192" t="str">
        <x:v>Not Started</x:v>
      </x:c>
      <x:c r="H663" s="192" t="n">
        <x:v>0</x:v>
      </x:c>
    </x:row>
    <x:row r="664" ht="56" customHeight="1">
      <x:c r="A664" s="192" t="str">
        <x:v>intervention</x:v>
      </x:c>
      <x:c r="B664" s="192" t="str">
        <x:v>n.</x:v>
      </x:c>
      <x:c r="C664" s="194" t="str">
        <x:v>втручання</x:v>
      </x:c>
      <x:c r="D664" s="195" t="str">
        <x:v>Дія втручання; втручання в якийсь хід подій.</x:v>
      </x:c>
      <x:c r="E664" s="192" t="str">
        <x:v>Oxford C1 + AWL 7</x:v>
      </x:c>
      <x:c r="F664" s="192" t="str">
        <x:v>High</x:v>
      </x:c>
      <x:c r="G664" s="192" t="str">
        <x:v>Not Started</x:v>
      </x:c>
      <x:c r="H664" s="192" t="n">
        <x:v>0</x:v>
      </x:c>
    </x:row>
    <x:row r="665" ht="56" customHeight="1">
      <x:c r="A665" s="192" t="str">
        <x:v>intimate</x:v>
      </x:c>
      <x:c r="B665" s="192" t="str">
        <x:v>adj.</x:v>
      </x:c>
      <x:c r="C665" s="194" t="str">
        <x:v>інтимний</x:v>
      </x:c>
      <x:c r="D665" s="195" t="str">
        <x:v>Близько знайомий; знайомий.</x:v>
      </x:c>
      <x:c r="E665" s="192" t="str">
        <x:v>Oxford C1</x:v>
      </x:c>
      <x:c r="F665" s="192" t="str">
        <x:v>Core</x:v>
      </x:c>
      <x:c r="G665" s="192" t="str">
        <x:v>Not Started</x:v>
      </x:c>
      <x:c r="H665" s="192" t="n">
        <x:v>0</x:v>
      </x:c>
    </x:row>
    <x:row r="666" ht="56" customHeight="1">
      <x:c r="A666" s="192" t="str">
        <x:v>intriguing</x:v>
      </x:c>
      <x:c r="B666" s="192" t="str">
        <x:v>adj.</x:v>
      </x:c>
      <x:c r="C666" s="194" t="str">
        <x:v>інтригуючий</x:v>
      </x:c>
      <x:c r="D666" s="195" t="str">
        <x:v>Викликання бажання знати більше; таємничий.</x:v>
      </x:c>
      <x:c r="E666" s="192" t="str">
        <x:v>Oxford C1</x:v>
      </x:c>
      <x:c r="F666" s="192" t="str">
        <x:v>Core</x:v>
      </x:c>
      <x:c r="G666" s="192" t="str">
        <x:v>Not Started</x:v>
      </x:c>
      <x:c r="H666" s="192" t="n">
        <x:v>0</x:v>
      </x:c>
    </x:row>
    <x:row r="667" ht="56" customHeight="1">
      <x:c r="A667" s="192" t="str">
        <x:v>investigator</x:v>
      </x:c>
      <x:c r="B667" s="192" t="str">
        <x:v>n.</x:v>
      </x:c>
      <x:c r="C667" s="194" t="str">
        <x:v>слідчий</x:v>
      </x:c>
      <x:c r="D667" s="195" t="str">
        <x:v>Той, хто досліджує.</x:v>
      </x:c>
      <x:c r="E667" s="192" t="str">
        <x:v>Oxford C1</x:v>
      </x:c>
      <x:c r="F667" s="192" t="str">
        <x:v>Core</x:v>
      </x:c>
      <x:c r="G667" s="192" t="str">
        <x:v>Not Started</x:v>
      </x:c>
      <x:c r="H667" s="192" t="n">
        <x:v>0</x:v>
      </x:c>
    </x:row>
    <x:row r="668" ht="56" customHeight="1">
      <x:c r="A668" s="192" t="str">
        <x:v>invisible</x:v>
      </x:c>
      <x:c r="B668" s="192" t="str">
        <x:v>adj.</x:v>
      </x:c>
      <x:c r="C668" s="194" t="str">
        <x:v>невидимий</x:v>
      </x:c>
      <x:c r="D668" s="195" t="str">
        <x:v>Неможливо побачити; з поля зору; не видно.</x:v>
      </x:c>
      <x:c r="E668" s="192" t="str">
        <x:v>Oxford C1</x:v>
      </x:c>
      <x:c r="F668" s="192" t="str">
        <x:v>Core</x:v>
      </x:c>
      <x:c r="G668" s="192" t="str">
        <x:v>Not Started</x:v>
      </x:c>
      <x:c r="H668" s="192" t="n">
        <x:v>0</x:v>
      </x:c>
    </x:row>
    <x:row r="669" ht="56" customHeight="1">
      <x:c r="A669" s="192" t="str">
        <x:v>invoke</x:v>
      </x:c>
      <x:c r="B669" s="192" t="str">
        <x:v>v.</x:v>
      </x:c>
      <x:c r="C669" s="194" t="str">
        <x:v>викликати</x:v>
      </x:c>
      <x:c r="D669" s="195" t="str">
        <x:v>Закликати (людину, бога) про допомогу, допомогу чи керівництво.</x:v>
      </x:c>
      <x:c r="E669" s="192" t="str">
        <x:v>Oxford C1</x:v>
      </x:c>
      <x:c r="F669" s="192" t="str">
        <x:v>Core</x:v>
      </x:c>
      <x:c r="G669" s="192" t="str">
        <x:v>Not Started</x:v>
      </x:c>
      <x:c r="H669" s="192" t="n">
        <x:v>0</x:v>
      </x:c>
    </x:row>
    <x:row r="670" ht="56" customHeight="1">
      <x:c r="A670" s="192" t="str">
        <x:v>involvement</x:v>
      </x:c>
      <x:c r="B670" s="192" t="str">
        <x:v>n.</x:v>
      </x:c>
      <x:c r="C670" s="194" t="str">
        <x:v>участь</x:v>
      </x:c>
      <x:c r="D670" s="195" t="str">
        <x:v>Акт залучення або стан залучення.</x:v>
      </x:c>
      <x:c r="E670" s="192" t="str">
        <x:v>Oxford C1</x:v>
      </x:c>
      <x:c r="F670" s="192" t="str">
        <x:v>Core</x:v>
      </x:c>
      <x:c r="G670" s="192" t="str">
        <x:v>Not Started</x:v>
      </x:c>
      <x:c r="H670" s="192" t="n">
        <x:v>0</x:v>
      </x:c>
    </x:row>
    <x:row r="671" ht="56" customHeight="1">
      <x:c r="A671" s="192" t="str">
        <x:v>ironic</x:v>
      </x:c>
      <x:c r="B671" s="192" t="str">
        <x:v>adj.</x:v>
      </x:c>
      <x:c r="C671" s="194" t="str">
        <x:v>іронічний</x:v>
      </x:c>
      <x:c r="D671" s="195" t="str">
        <x:v>Характеризується іронією або є (будь-яким видом).</x:v>
      </x:c>
      <x:c r="E671" s="192" t="str">
        <x:v>Oxford C1</x:v>
      </x:c>
      <x:c r="F671" s="192" t="str">
        <x:v>Core</x:v>
      </x:c>
      <x:c r="G671" s="192" t="str">
        <x:v>Not Started</x:v>
      </x:c>
      <x:c r="H671" s="192" t="n">
        <x:v>0</x:v>
      </x:c>
    </x:row>
    <x:row r="672" ht="56" customHeight="1">
      <x:c r="A672" s="192" t="str">
        <x:v>ironically</x:v>
      </x:c>
      <x:c r="B672" s="192" t="str">
        <x:v>adv.</x:v>
      </x:c>
      <x:c r="C672" s="194" t="str">
        <x:v>іронічно</x:v>
      </x:c>
      <x:c r="D672" s="195" t="str">
        <x:v>В іронічній манері; певною мірою демонструючи іронію.</x:v>
      </x:c>
      <x:c r="E672" s="192" t="str">
        <x:v>Oxford C1</x:v>
      </x:c>
      <x:c r="F672" s="192" t="str">
        <x:v>Core</x:v>
      </x:c>
      <x:c r="G672" s="192" t="str">
        <x:v>Not Started</x:v>
      </x:c>
      <x:c r="H672" s="192" t="n">
        <x:v>0</x:v>
      </x:c>
    </x:row>
    <x:row r="673" ht="56" customHeight="1">
      <x:c r="A673" s="192" t="str">
        <x:v>irony</x:v>
      </x:c>
      <x:c r="B673" s="192" t="str">
        <x:v>n.</x:v>
      </x:c>
      <x:c r="C673" s="194" t="str">
        <x:v>іронія</x:v>
      </x:c>
      <x:c r="D673" s="195" t="str">
        <x:v>Якість твердження, яке, якщо взяти в контексті, може насправді означати щось відмінне від того, що написано буквально, або протилежне цьому;</x:v>
      </x:c>
      <x:c r="E673" s="192" t="str">
        <x:v>Oxford C1</x:v>
      </x:c>
      <x:c r="F673" s="192" t="str">
        <x:v>Core</x:v>
      </x:c>
      <x:c r="G673" s="192" t="str">
        <x:v>Not Started</x:v>
      </x:c>
      <x:c r="H673" s="192" t="n">
        <x:v>0</x:v>
      </x:c>
    </x:row>
    <x:row r="674" ht="56" customHeight="1">
      <x:c r="A674" s="192" t="str">
        <x:v>irrelevant</x:v>
      </x:c>
      <x:c r="B674" s="192" t="str">
        <x:v>adj.</x:v>
      </x:c>
      <x:c r="C674" s="194" t="str">
        <x:v>невідповідний</x:v>
      </x:c>
      <x:c r="D674" s="195" t="str">
        <x:v>Не актуально, оскільки:</x:v>
      </x:c>
      <x:c r="E674" s="192" t="str">
        <x:v>Oxford C1</x:v>
      </x:c>
      <x:c r="F674" s="192" t="str">
        <x:v>Core</x:v>
      </x:c>
      <x:c r="G674" s="192" t="str">
        <x:v>Not Started</x:v>
      </x:c>
      <x:c r="H674" s="192" t="n">
        <x:v>0</x:v>
      </x:c>
    </x:row>
    <x:row r="675" ht="56" customHeight="1">
      <x:c r="A675" s="192" t="str">
        <x:v>isolation</x:v>
      </x:c>
      <x:c r="B675" s="192" t="str">
        <x:v>n.</x:v>
      </x:c>
      <x:c r="C675" s="194" t="str">
        <x:v>ізоляція</x:v>
      </x:c>
      <x:c r="D675" s="195" t="str">
        <x:v>Стан ізольованості, відчуженості або відокремленості; стан віддаленості від інших людей.</x:v>
      </x:c>
      <x:c r="E675" s="192" t="str">
        <x:v>Oxford C1</x:v>
      </x:c>
      <x:c r="F675" s="192" t="str">
        <x:v>Core</x:v>
      </x:c>
      <x:c r="G675" s="192" t="str">
        <x:v>Not Started</x:v>
      </x:c>
      <x:c r="H675" s="192" t="n">
        <x:v>0</x:v>
      </x:c>
    </x:row>
    <x:row r="676" ht="56" customHeight="1">
      <x:c r="A676" s="192" t="str">
        <x:v>judicial</x:v>
      </x:c>
      <x:c r="B676" s="192" t="str">
        <x:v>adj.</x:v>
      </x:c>
      <x:c r="C676" s="194" t="str">
        <x:v>судовий</x:v>
      </x:c>
      <x:c r="D676" s="195" t="str">
        <x:v>Що стосується відправлення правосуддя.</x:v>
      </x:c>
      <x:c r="E676" s="192" t="str">
        <x:v>Oxford C1</x:v>
      </x:c>
      <x:c r="F676" s="192" t="str">
        <x:v>High</x:v>
      </x:c>
      <x:c r="G676" s="192" t="str">
        <x:v>Not Started</x:v>
      </x:c>
      <x:c r="H676" s="192" t="n">
        <x:v>0</x:v>
      </x:c>
    </x:row>
    <x:row r="677" ht="56" customHeight="1">
      <x:c r="A677" s="192" t="str">
        <x:v>junction</x:v>
      </x:c>
      <x:c r="B677" s="192" t="str">
        <x:v>n.</x:v>
      </x:c>
      <x:c r="C677" s="194" t="str">
        <x:v>перетин</x:v>
      </x:c>
      <x:c r="D677" s="195" t="str">
        <x:v>Місце, де зустрічаються дві речі, особливо там, де зустрічаються дві дороги.</x:v>
      </x:c>
      <x:c r="E677" s="192" t="str">
        <x:v>Oxford C1</x:v>
      </x:c>
      <x:c r="F677" s="192" t="str">
        <x:v>Core</x:v>
      </x:c>
      <x:c r="G677" s="192" t="str">
        <x:v>Not Started</x:v>
      </x:c>
      <x:c r="H677" s="192" t="n">
        <x:v>0</x:v>
      </x:c>
    </x:row>
    <x:row r="678" ht="56" customHeight="1">
      <x:c r="A678" s="192" t="str">
        <x:v>jurisdiction</x:v>
      </x:c>
      <x:c r="B678" s="192" t="str">
        <x:v>n.</x:v>
      </x:c>
      <x:c r="C678" s="194" t="str">
        <x:v>юрисдикція</x:v>
      </x:c>
      <x:c r="D678" s="195" t="str">
        <x:v>Влада, право чи повноваження тлумачити та застосовувати закон.</x:v>
      </x:c>
      <x:c r="E678" s="192" t="str">
        <x:v>Oxford C1</x:v>
      </x:c>
      <x:c r="F678" s="192" t="str">
        <x:v>High</x:v>
      </x:c>
      <x:c r="G678" s="192" t="str">
        <x:v>Not Started</x:v>
      </x:c>
      <x:c r="H678" s="192" t="n">
        <x:v>0</x:v>
      </x:c>
    </x:row>
    <x:row r="679" ht="56" customHeight="1">
      <x:c r="A679" s="192" t="str">
        <x:v>just</x:v>
      </x:c>
      <x:c r="B679" s="192" t="str">
        <x:v>adj.</x:v>
      </x:c>
      <x:c r="C679" s="194" t="str">
        <x:v>справедливий; правомірний</x:v>
      </x:c>
      <x:c r="D679" s="195" t="str">
        <x:v>Морально правильний; чесний, праведний, справедливий; ярмарок.</x:v>
      </x:c>
      <x:c r="E679" s="192" t="str">
        <x:v>Oxford C1</x:v>
      </x:c>
      <x:c r="F679" s="192" t="str">
        <x:v>Core</x:v>
      </x:c>
      <x:c r="G679" s="192" t="str">
        <x:v>Not Started</x:v>
      </x:c>
      <x:c r="H679" s="192" t="n">
        <x:v>0</x:v>
      </x:c>
    </x:row>
    <x:row r="680" ht="56" customHeight="1">
      <x:c r="A680" s="192" t="str">
        <x:v>justification</x:v>
      </x:c>
      <x:c r="B680" s="192" t="str">
        <x:v>n.</x:v>
      </x:c>
      <x:c r="C680" s="194" t="str">
        <x:v>виправдання</x:v>
      </x:c>
      <x:c r="D680" s="195" t="str">
        <x:v>Причина, пояснення або виправдання, які, на думку когось, надають переконливу, морально прийнятну підтримку для поведінки, віри чи події.</x:v>
      </x:c>
      <x:c r="E680" s="192" t="str">
        <x:v>Oxford C1 + AWL 3</x:v>
      </x:c>
      <x:c r="F680" s="192" t="str">
        <x:v>High</x:v>
      </x:c>
      <x:c r="G680" s="192" t="str">
        <x:v>Not Started</x:v>
      </x:c>
      <x:c r="H680" s="192" t="n">
        <x:v>0</x:v>
      </x:c>
    </x:row>
    <x:row r="681" ht="56" customHeight="1">
      <x:c r="A681" s="192" t="str">
        <x:v>kidnap</x:v>
      </x:c>
      <x:c r="B681" s="192" t="str">
        <x:v>v.</x:v>
      </x:c>
      <x:c r="C681" s="194" t="str">
        <x:v>викрадення</x:v>
      </x:c>
      <x:c r="D681" s="195" t="str">
        <x:v>Незаконно захопити або затримати особу, перемістити або приховати її; іноді за викуп.</x:v>
      </x:c>
      <x:c r="E681" s="192" t="str">
        <x:v>Oxford C1</x:v>
      </x:c>
      <x:c r="F681" s="192" t="str">
        <x:v>Core</x:v>
      </x:c>
      <x:c r="G681" s="192" t="str">
        <x:v>Not Started</x:v>
      </x:c>
      <x:c r="H681" s="192" t="n">
        <x:v>0</x:v>
      </x:c>
    </x:row>
    <x:row r="682" ht="56" customHeight="1">
      <x:c r="A682" s="192" t="str">
        <x:v>kidney</x:v>
      </x:c>
      <x:c r="B682" s="192" t="str">
        <x:v>n.</x:v>
      </x:c>
      <x:c r="C682" s="194" t="str">
        <x:v>нирка</x:v>
      </x:c>
      <x:c r="D682" s="195" t="str">
        <x:v>Орган в організмі, який фільтрує кров, утворюючи сечу.</x:v>
      </x:c>
      <x:c r="E682" s="192" t="str">
        <x:v>Oxford C1</x:v>
      </x:c>
      <x:c r="F682" s="192" t="str">
        <x:v>High</x:v>
      </x:c>
      <x:c r="G682" s="192" t="str">
        <x:v>Not Started</x:v>
      </x:c>
      <x:c r="H682" s="192" t="n">
        <x:v>0</x:v>
      </x:c>
    </x:row>
    <x:row r="683" ht="56" customHeight="1">
      <x:c r="A683" s="192" t="str">
        <x:v>kingdom</x:v>
      </x:c>
      <x:c r="B683" s="192" t="str">
        <x:v>n.</x:v>
      </x:c>
      <x:c r="C683" s="194" t="str">
        <x:v>королівство</x:v>
      </x:c>
      <x:c r="D683" s="195" t="str">
        <x:v>Королівство, фактичним або номінальним володарем якого є король або королева.</x:v>
      </x:c>
      <x:c r="E683" s="192" t="str">
        <x:v>Oxford C1</x:v>
      </x:c>
      <x:c r="F683" s="192" t="str">
        <x:v>Core</x:v>
      </x:c>
      <x:c r="G683" s="192" t="str">
        <x:v>Not Started</x:v>
      </x:c>
      <x:c r="H683" s="192" t="n">
        <x:v>0</x:v>
      </x:c>
    </x:row>
    <x:row r="684" ht="56" customHeight="1">
      <x:c r="A684" s="192" t="str">
        <x:v>lad</x:v>
      </x:c>
      <x:c r="B684" s="192" t="str">
        <x:v>n.</x:v>
      </x:c>
      <x:c r="C684" s="194" t="str">
        <x:v>хлопець</x:v>
      </x:c>
      <x:c r="D684" s="195" t="str">
        <x:v>Хлопець чи юнак.</x:v>
      </x:c>
      <x:c r="E684" s="192" t="str">
        <x:v>Oxford C1</x:v>
      </x:c>
      <x:c r="F684" s="192" t="str">
        <x:v>Core</x:v>
      </x:c>
      <x:c r="G684" s="192" t="str">
        <x:v>Not Started</x:v>
      </x:c>
      <x:c r="H684" s="192" t="n">
        <x:v>0</x:v>
      </x:c>
    </x:row>
    <x:row r="685" ht="56" customHeight="1">
      <x:c r="A685" s="192" t="str">
        <x:v>landlord</x:v>
      </x:c>
      <x:c r="B685" s="192" t="str">
        <x:v>n.</x:v>
      </x:c>
      <x:c r="C685" s="194" t="str">
        <x:v>орендодавець</x:v>
      </x:c>
      <x:c r="D685" s="195" t="str">
        <x:v>Особа, яка здає в оренду нерухоме майно; орендодавець.</x:v>
      </x:c>
      <x:c r="E685" s="192" t="str">
        <x:v>Oxford C1</x:v>
      </x:c>
      <x:c r="F685" s="192" t="str">
        <x:v>Core</x:v>
      </x:c>
      <x:c r="G685" s="192" t="str">
        <x:v>Not Started</x:v>
      </x:c>
      <x:c r="H685" s="192" t="n">
        <x:v>0</x:v>
      </x:c>
    </x:row>
    <x:row r="686" ht="56" customHeight="1">
      <x:c r="A686" s="192" t="str">
        <x:v>landmark</x:v>
      </x:c>
      <x:c r="B686" s="192" t="str">
        <x:v>n.</x:v>
      </x:c>
      <x:c r="C686" s="194" t="str">
        <x:v>орієнтир</x:v>
      </x:c>
      <x:c r="D686" s="195" t="str">
        <x:v>Визначне місце з історичним, культурним або географічним значенням.</x:v>
      </x:c>
      <x:c r="E686" s="192" t="str">
        <x:v>Oxford C1</x:v>
      </x:c>
      <x:c r="F686" s="192" t="str">
        <x:v>Core</x:v>
      </x:c>
      <x:c r="G686" s="192" t="str">
        <x:v>Not Started</x:v>
      </x:c>
      <x:c r="H686" s="192" t="n">
        <x:v>0</x:v>
      </x:c>
    </x:row>
    <x:row r="687" ht="56" customHeight="1">
      <x:c r="A687" s="192" t="str">
        <x:v>lap</x:v>
      </x:c>
      <x:c r="B687" s="192" t="str">
        <x:v>n.</x:v>
      </x:c>
      <x:c r="C687" s="194" t="str">
        <x:v>коліна</x:v>
      </x:c>
      <x:c r="D687" s="195" t="str">
        <x:v>Вільна частина пальто; нижня частина одягу, що грає вільно; спідниця; фартух.</x:v>
      </x:c>
      <x:c r="E687" s="192" t="str">
        <x:v>Oxford C1</x:v>
      </x:c>
      <x:c r="F687" s="192" t="str">
        <x:v>Core</x:v>
      </x:c>
      <x:c r="G687" s="192" t="str">
        <x:v>Not Started</x:v>
      </x:c>
      <x:c r="H687" s="192" t="n">
        <x:v>0</x:v>
      </x:c>
    </x:row>
    <x:row r="688" ht="56" customHeight="1">
      <x:c r="A688" s="192" t="str">
        <x:v>large-scale</x:v>
      </x:c>
      <x:c r="B688" s="192" t="str">
        <x:v>adj.</x:v>
      </x:c>
      <x:c r="C688" s="194" t="str">
        <x:v>масштабний</x:v>
      </x:c>
      <x:c r="D688" s="195" t="str">
        <x:v>Великі за кількістю, обсягом або обсягом.</x:v>
      </x:c>
      <x:c r="E688" s="192" t="str">
        <x:v>Oxford C1</x:v>
      </x:c>
      <x:c r="F688" s="192" t="str">
        <x:v>Core</x:v>
      </x:c>
      <x:c r="G688" s="192" t="str">
        <x:v>Not Started</x:v>
      </x:c>
      <x:c r="H688" s="192" t="n">
        <x:v>0</x:v>
      </x:c>
    </x:row>
    <x:row r="689" ht="56" customHeight="1">
      <x:c r="A689" s="192" t="str">
        <x:v>laser</x:v>
      </x:c>
      <x:c r="B689" s="192" t="str">
        <x:v>n.</x:v>
      </x:c>
      <x:c r="C689" s="194" t="str">
        <x:v>лазер</x:v>
      </x:c>
      <x:c r="D689" s="195" t="str">
        <x:v>Пристрій, який створює монохроматичний когерентний пучок світла.</x:v>
      </x:c>
      <x:c r="E689" s="192" t="str">
        <x:v>Oxford C1</x:v>
      </x:c>
      <x:c r="F689" s="192" t="str">
        <x:v>Core</x:v>
      </x:c>
      <x:c r="G689" s="192" t="str">
        <x:v>Not Started</x:v>
      </x:c>
      <x:c r="H689" s="192" t="n">
        <x:v>0</x:v>
      </x:c>
    </x:row>
    <x:row r="690" ht="56" customHeight="1">
      <x:c r="A690" s="192" t="str">
        <x:v>latter</x:v>
      </x:c>
      <x:c r="B690" s="192" t="str">
        <x:v>adj., n.</x:v>
      </x:c>
      <x:c r="C690" s="194" t="str">
        <x:v>останній</x:v>
      </x:c>
      <x:c r="D690" s="195" t="str">
        <x:v>Пов’язаний або є другим із двох предметів.</x:v>
      </x:c>
      <x:c r="E690" s="192" t="str">
        <x:v>Oxford C1</x:v>
      </x:c>
      <x:c r="F690" s="192" t="str">
        <x:v>Core</x:v>
      </x:c>
      <x:c r="G690" s="192" t="str">
        <x:v>Not Started</x:v>
      </x:c>
      <x:c r="H690" s="192" t="n">
        <x:v>0</x:v>
      </x:c>
    </x:row>
    <x:row r="691" ht="56" customHeight="1">
      <x:c r="A691" s="192" t="str">
        <x:v>lawn</x:v>
      </x:c>
      <x:c r="B691" s="192" t="str">
        <x:v>n.</x:v>
      </x:c>
      <x:c r="C691" s="194" t="str">
        <x:v>газон</x:v>
      </x:c>
      <x:c r="D691" s="195" t="str">
        <x:v>Земля (зазвичай перед або навколо будинку), вкрита травою, ретельно підкошена.</x:v>
      </x:c>
      <x:c r="E691" s="192" t="str">
        <x:v>Oxford C1</x:v>
      </x:c>
      <x:c r="F691" s="192" t="str">
        <x:v>Core</x:v>
      </x:c>
      <x:c r="G691" s="192" t="str">
        <x:v>Not Started</x:v>
      </x:c>
      <x:c r="H691" s="192" t="n">
        <x:v>0</x:v>
      </x:c>
    </x:row>
    <x:row r="692" ht="56" customHeight="1">
      <x:c r="A692" s="192" t="str">
        <x:v>lawsuit</x:v>
      </x:c>
      <x:c r="B692" s="192" t="str">
        <x:v>n.</x:v>
      </x:c>
      <x:c r="C692" s="194" t="str">
        <x:v>позов</x:v>
      </x:c>
      <x:c r="D692" s="195" t="str">
        <x:v>У цивільному праві — справа, у якій двоє або більше людей не погоджуються, і одна або більше сторін передають справу до суду для вирішення.</x:v>
      </x:c>
      <x:c r="E692" s="192" t="str">
        <x:v>Oxford C1</x:v>
      </x:c>
      <x:c r="F692" s="192" t="str">
        <x:v>Core</x:v>
      </x:c>
      <x:c r="G692" s="192" t="str">
        <x:v>Not Started</x:v>
      </x:c>
      <x:c r="H692" s="192" t="n">
        <x:v>0</x:v>
      </x:c>
    </x:row>
    <x:row r="693" ht="56" customHeight="1">
      <x:c r="A693" s="192" t="str">
        <x:v>layout</x:v>
      </x:c>
      <x:c r="B693" s="192" t="str">
        <x:v>n.</x:v>
      </x:c>
      <x:c r="C693" s="194" t="str">
        <x:v>макет</x:v>
      </x:c>
      <x:c r="D693" s="195" t="str">
        <x:v>Структуроване розташування елементів у певних межах.</x:v>
      </x:c>
      <x:c r="E693" s="192" t="str">
        <x:v>Oxford C1</x:v>
      </x:c>
      <x:c r="F693" s="192" t="str">
        <x:v>Core</x:v>
      </x:c>
      <x:c r="G693" s="192" t="str">
        <x:v>Not Started</x:v>
      </x:c>
      <x:c r="H693" s="192" t="n">
        <x:v>0</x:v>
      </x:c>
    </x:row>
    <x:row r="694" ht="56" customHeight="1">
      <x:c r="A694" s="192" t="str">
        <x:v>leak</x:v>
      </x:c>
      <x:c r="B694" s="192" t="str">
        <x:v>v., n.</x:v>
      </x:c>
      <x:c r="C694" s="194" t="str">
        <x:v>витік</x:v>
      </x:c>
      <x:c r="D694" s="195" t="str">
        <x:v>Щоб рідина або газ проходили через отвір, який слід закрити.</x:v>
      </x:c>
      <x:c r="E694" s="192" t="str">
        <x:v>Oxford C1</x:v>
      </x:c>
      <x:c r="F694" s="192" t="str">
        <x:v>Core</x:v>
      </x:c>
      <x:c r="G694" s="192" t="str">
        <x:v>Not Started</x:v>
      </x:c>
      <x:c r="H694" s="192" t="n">
        <x:v>0</x:v>
      </x:c>
    </x:row>
    <x:row r="695" ht="56" customHeight="1">
      <x:c r="A695" s="192" t="str">
        <x:v>leap</x:v>
      </x:c>
      <x:c r="B695" s="192" t="str">
        <x:v>v., n.</x:v>
      </x:c>
      <x:c r="C695" s="194" t="str">
        <x:v>стрибок</x:v>
      </x:c>
      <x:c r="D695" s="195" t="str">
        <x:v>Стрибати.</x:v>
      </x:c>
      <x:c r="E695" s="192" t="str">
        <x:v>Oxford C1</x:v>
      </x:c>
      <x:c r="F695" s="192" t="str">
        <x:v>Core</x:v>
      </x:c>
      <x:c r="G695" s="192" t="str">
        <x:v>Not Started</x:v>
      </x:c>
      <x:c r="H695" s="192" t="n">
        <x:v>0</x:v>
      </x:c>
    </x:row>
    <x:row r="696" ht="56" customHeight="1">
      <x:c r="A696" s="192" t="str">
        <x:v>legacy</x:v>
      </x:c>
      <x:c r="B696" s="192" t="str">
        <x:v>n.</x:v>
      </x:c>
      <x:c r="C696" s="194" t="str">
        <x:v>спадок</x:v>
      </x:c>
      <x:c r="D696" s="195" t="str">
        <x:v>Щось успадковане від попередника чи минулого.</x:v>
      </x:c>
      <x:c r="E696" s="192" t="str">
        <x:v>Oxford C1</x:v>
      </x:c>
      <x:c r="F696" s="192" t="str">
        <x:v>Core</x:v>
      </x:c>
      <x:c r="G696" s="192" t="str">
        <x:v>Not Started</x:v>
      </x:c>
      <x:c r="H696" s="192" t="n">
        <x:v>0</x:v>
      </x:c>
    </x:row>
    <x:row r="697" ht="56" customHeight="1">
      <x:c r="A697" s="192" t="str">
        <x:v>legendary</x:v>
      </x:c>
      <x:c r="B697" s="192" t="str">
        <x:v>adj.</x:v>
      </x:c>
      <x:c r="C697" s="194" t="str">
        <x:v>легендарний</x:v>
      </x:c>
      <x:c r="D697" s="195" t="str">
        <x:v>Маючи неймовірну велич; чудовий до такої міри, щоб викликати історії.</x:v>
      </x:c>
      <x:c r="E697" s="192" t="str">
        <x:v>Oxford C1</x:v>
      </x:c>
      <x:c r="F697" s="192" t="str">
        <x:v>Core</x:v>
      </x:c>
      <x:c r="G697" s="192" t="str">
        <x:v>Not Started</x:v>
      </x:c>
      <x:c r="H697" s="192" t="n">
        <x:v>0</x:v>
      </x:c>
    </x:row>
    <x:row r="698" ht="56" customHeight="1">
      <x:c r="A698" s="192" t="str">
        <x:v>legislation</x:v>
      </x:c>
      <x:c r="B698" s="192" t="str">
        <x:v>n.</x:v>
      </x:c>
      <x:c r="C698" s="194" t="str">
        <x:v>законодавство</x:v>
      </x:c>
      <x:c r="D698" s="195" t="str">
        <x:v>Закон, прийнятий законодавчим або іншим керівним органом.</x:v>
      </x:c>
      <x:c r="E698" s="192" t="str">
        <x:v>Oxford C1 + AWL 1</x:v>
      </x:c>
      <x:c r="F698" s="192" t="str">
        <x:v>High</x:v>
      </x:c>
      <x:c r="G698" s="192" t="str">
        <x:v>Not Started</x:v>
      </x:c>
      <x:c r="H698" s="192" t="n">
        <x:v>0</x:v>
      </x:c>
    </x:row>
    <x:row r="699" ht="56" customHeight="1">
      <x:c r="A699" s="192" t="str">
        <x:v>legislative</x:v>
      </x:c>
      <x:c r="B699" s="192" t="str">
        <x:v>adj.</x:v>
      </x:c>
      <x:c r="C699" s="194" t="str">
        <x:v>законодавчий</x:v>
      </x:c>
      <x:c r="D699" s="195" t="str">
        <x:v>Створення закону або законів або наявність повноважень приймати закони; правотворчість.</x:v>
      </x:c>
      <x:c r="E699" s="192" t="str">
        <x:v>Oxford C1</x:v>
      </x:c>
      <x:c r="F699" s="192" t="str">
        <x:v>High</x:v>
      </x:c>
      <x:c r="G699" s="192" t="str">
        <x:v>Not Started</x:v>
      </x:c>
      <x:c r="H699" s="192" t="n">
        <x:v>0</x:v>
      </x:c>
    </x:row>
    <x:row r="700" ht="56" customHeight="1">
      <x:c r="A700" s="192" t="str">
        <x:v>legislature</x:v>
      </x:c>
      <x:c r="B700" s="192" t="str">
        <x:v>n.</x:v>
      </x:c>
      <x:c r="C700" s="194" t="str">
        <x:v>законодавча влада</x:v>
      </x:c>
      <x:c r="D700" s="195" t="str">
        <x:v>Урядовий орган, уповноважений приймати, змінювати та скасовувати закони.</x:v>
      </x:c>
      <x:c r="E700" s="192" t="str">
        <x:v>Oxford C1</x:v>
      </x:c>
      <x:c r="F700" s="192" t="str">
        <x:v>Core</x:v>
      </x:c>
      <x:c r="G700" s="192" t="str">
        <x:v>Not Started</x:v>
      </x:c>
      <x:c r="H700" s="192" t="n">
        <x:v>0</x:v>
      </x:c>
    </x:row>
    <x:row r="701" ht="56" customHeight="1">
      <x:c r="A701" s="192" t="str">
        <x:v>legitimate</x:v>
      </x:c>
      <x:c r="B701" s="192" t="str">
        <x:v>adj.</x:v>
      </x:c>
      <x:c r="C701" s="194" t="str">
        <x:v>законний</x:v>
      </x:c>
      <x:c r="D701" s="195" t="str">
        <x:v>Відповідно до закону або встановлених правових форм і вимог.</x:v>
      </x:c>
      <x:c r="E701" s="192" t="str">
        <x:v>Oxford C1</x:v>
      </x:c>
      <x:c r="F701" s="192" t="str">
        <x:v>Core</x:v>
      </x:c>
      <x:c r="G701" s="192" t="str">
        <x:v>Not Started</x:v>
      </x:c>
      <x:c r="H701" s="192" t="n">
        <x:v>0</x:v>
      </x:c>
    </x:row>
    <x:row r="702" ht="56" customHeight="1">
      <x:c r="A702" s="192" t="str">
        <x:v>lengthy</x:v>
      </x:c>
      <x:c r="B702" s="192" t="str">
        <x:v>adj.</x:v>
      </x:c>
      <x:c r="C702" s="194" t="str">
        <x:v>довгий</x:v>
      </x:c>
      <x:c r="D702" s="195" t="str">
        <x:v>Довге говоріння або письмо; довготривалий.</x:v>
      </x:c>
      <x:c r="E702" s="192" t="str">
        <x:v>Oxford C1</x:v>
      </x:c>
      <x:c r="F702" s="192" t="str">
        <x:v>Core</x:v>
      </x:c>
      <x:c r="G702" s="192" t="str">
        <x:v>Not Started</x:v>
      </x:c>
      <x:c r="H702" s="192" t="n">
        <x:v>0</x:v>
      </x:c>
    </x:row>
    <x:row r="703" ht="56" customHeight="1">
      <x:c r="A703" s="192" t="str">
        <x:v>lesbian</x:v>
      </x:c>
      <x:c r="B703" s="192" t="str">
        <x:v>adj.</x:v>
      </x:c>
      <x:c r="C703" s="194" t="str">
        <x:v>лесбіянка</x:v>
      </x:c>
      <x:c r="D703" s="195" t="str">
        <x:v>Гомосексуаліст, гей; віддаючи перевагу виключно жінкам як романтичним чи сексуальним партнерам.</x:v>
      </x:c>
      <x:c r="E703" s="192" t="str">
        <x:v>Oxford C1</x:v>
      </x:c>
      <x:c r="F703" s="192" t="str">
        <x:v>Core</x:v>
      </x:c>
      <x:c r="G703" s="192" t="str">
        <x:v>Not Started</x:v>
      </x:c>
      <x:c r="H703" s="192" t="n">
        <x:v>0</x:v>
      </x:c>
    </x:row>
    <x:row r="704" ht="56" customHeight="1">
      <x:c r="A704" s="192" t="str">
        <x:v>lesser</x:v>
      </x:c>
      <x:c r="B704" s="192" t="str">
        <x:v>adj.</x:v>
      </x:c>
      <x:c r="C704" s="194" t="str">
        <x:v>менший</x:v>
      </x:c>
      <x:c r="D704" s="195" t="str">
        <x:v>З двох (або, рідше, більше двох) речей: меншої за розміром (менше), за цінністю, за важливістю тощо.</x:v>
      </x:c>
      <x:c r="E704" s="192" t="str">
        <x:v>Oxford C1</x:v>
      </x:c>
      <x:c r="F704" s="192" t="str">
        <x:v>Core</x:v>
      </x:c>
      <x:c r="G704" s="192" t="str">
        <x:v>Not Started</x:v>
      </x:c>
      <x:c r="H704" s="192" t="n">
        <x:v>0</x:v>
      </x:c>
    </x:row>
    <x:row r="705" ht="56" customHeight="1">
      <x:c r="A705" s="192" t="str">
        <x:v>lethal</x:v>
      </x:c>
      <x:c r="B705" s="192" t="str">
        <x:v>adj.</x:v>
      </x:c>
      <x:c r="C705" s="194" t="str">
        <x:v>летальний</x:v>
      </x:c>
      <x:c r="D705" s="195" t="str">
        <x:v>Відносно або спричинення смерті; смертельний; смертний; смертельна.</x:v>
      </x:c>
      <x:c r="E705" s="192" t="str">
        <x:v>Oxford C1</x:v>
      </x:c>
      <x:c r="F705" s="192" t="str">
        <x:v>Core</x:v>
      </x:c>
      <x:c r="G705" s="192" t="str">
        <x:v>Not Started</x:v>
      </x:c>
      <x:c r="H705" s="192" t="n">
        <x:v>0</x:v>
      </x:c>
    </x:row>
    <x:row r="706" ht="56" customHeight="1">
      <x:c r="A706" s="192" t="str">
        <x:v>liable</x:v>
      </x:c>
      <x:c r="B706" s="192" t="str">
        <x:v>adj.</x:v>
      </x:c>
      <x:c r="C706" s="194" t="str">
        <x:v>відповідальний</x:v>
      </x:c>
      <x:c r="D706" s="195" t="str">
        <x:v>Зобов'язаний або зобов'язаний законом або справедливістю; відповідальний; відповідальний.</x:v>
      </x:c>
      <x:c r="E706" s="192" t="str">
        <x:v>Oxford C1</x:v>
      </x:c>
      <x:c r="F706" s="192" t="str">
        <x:v>Core</x:v>
      </x:c>
      <x:c r="G706" s="192" t="str">
        <x:v>Not Started</x:v>
      </x:c>
      <x:c r="H706" s="192" t="n">
        <x:v>0</x:v>
      </x:c>
    </x:row>
    <x:row r="707" ht="56" customHeight="1">
      <x:c r="A707" s="192" t="str">
        <x:v>liberal</x:v>
      </x:c>
      <x:c r="B707" s="192" t="str">
        <x:v>adj., n.</x:v>
      </x:c>
      <x:c r="C707" s="194" t="str">
        <x:v>ліберальний</x:v>
      </x:c>
      <x:c r="D707" s="195" t="str">
        <x:v>Хтось із прогресивними або лівими поглядами, особливо щодо соціальних та екологічних питань.</x:v>
      </x:c>
      <x:c r="E707" s="192" t="str">
        <x:v>Oxford C1 + AWL 5</x:v>
      </x:c>
      <x:c r="F707" s="192" t="str">
        <x:v>High</x:v>
      </x:c>
      <x:c r="G707" s="192" t="str">
        <x:v>Not Started</x:v>
      </x:c>
      <x:c r="H707" s="192" t="n">
        <x:v>0</x:v>
      </x:c>
    </x:row>
    <x:row r="708" ht="56" customHeight="1">
      <x:c r="A708" s="192" t="str">
        <x:v>liberation</x:v>
      </x:c>
      <x:c r="B708" s="192" t="str">
        <x:v>n.</x:v>
      </x:c>
      <x:c r="C708" s="194" t="str">
        <x:v>звільнення</x:v>
      </x:c>
      <x:c r="D708" s="195" t="str">
        <x:v>Акт звільнення або стан звільнення.</x:v>
      </x:c>
      <x:c r="E708" s="192" t="str">
        <x:v>Oxford C1</x:v>
      </x:c>
      <x:c r="F708" s="192" t="str">
        <x:v>Core</x:v>
      </x:c>
      <x:c r="G708" s="192" t="str">
        <x:v>Not Started</x:v>
      </x:c>
      <x:c r="H708" s="192" t="n">
        <x:v>0</x:v>
      </x:c>
    </x:row>
    <x:row r="709" ht="56" customHeight="1">
      <x:c r="A709" s="192" t="str">
        <x:v>liberty</x:v>
      </x:c>
      <x:c r="B709" s="192" t="str">
        <x:v>n.</x:v>
      </x:c>
      <x:c r="C709" s="194" t="str">
        <x:v>свобода</x:v>
      </x:c>
      <x:c r="D709" s="195" t="str">
        <x:v>Умова бути вільним.</x:v>
      </x:c>
      <x:c r="E709" s="192" t="str">
        <x:v>Oxford C1</x:v>
      </x:c>
      <x:c r="F709" s="192" t="str">
        <x:v>Core</x:v>
      </x:c>
      <x:c r="G709" s="192" t="str">
        <x:v>Not Started</x:v>
      </x:c>
      <x:c r="H709" s="192" t="n">
        <x:v>0</x:v>
      </x:c>
    </x:row>
    <x:row r="710" ht="56" customHeight="1">
      <x:c r="A710" s="192" t="str">
        <x:v>license</x:v>
      </x:c>
      <x:c r="B710" s="192" t="str">
        <x:v>v.</x:v>
      </x:c>
      <x:c r="C710" s="194" t="str">
        <x:v>ліцензія</x:v>
      </x:c>
      <x:c r="D710" s="195" t="str">
        <x:v>Уповноважити офіційно.</x:v>
      </x:c>
      <x:c r="E710" s="192" t="str">
        <x:v>Oxford C1</x:v>
      </x:c>
      <x:c r="F710" s="192" t="str">
        <x:v>Core</x:v>
      </x:c>
      <x:c r="G710" s="192" t="str">
        <x:v>Not Started</x:v>
      </x:c>
      <x:c r="H710" s="192" t="n">
        <x:v>0</x:v>
      </x:c>
    </x:row>
    <x:row r="711" ht="56" customHeight="1">
      <x:c r="A711" s="192" t="str">
        <x:v>lifelong</x:v>
      </x:c>
      <x:c r="B711" s="192" t="str">
        <x:v>adj.</x:v>
      </x:c>
      <x:c r="C711" s="194" t="str">
        <x:v>все життя</x:v>
      </x:c>
      <x:c r="D711" s="195" t="str">
        <x:v>Продовження протягом усього життя.</x:v>
      </x:c>
      <x:c r="E711" s="192" t="str">
        <x:v>Oxford C1</x:v>
      </x:c>
      <x:c r="F711" s="192" t="str">
        <x:v>Core</x:v>
      </x:c>
      <x:c r="G711" s="192" t="str">
        <x:v>Not Started</x:v>
      </x:c>
      <x:c r="H711" s="192" t="n">
        <x:v>0</x:v>
      </x:c>
    </x:row>
    <x:row r="712" ht="56" customHeight="1">
      <x:c r="A712" s="192" t="str">
        <x:v>likelihood</x:v>
      </x:c>
      <x:c r="B712" s="192" t="str">
        <x:v>n.</x:v>
      </x:c>
      <x:c r="C712" s="194" t="str">
        <x:v>ймовірність</x:v>
      </x:c>
      <x:c r="D712" s="195" t="str">
        <x:v>Імовірність визначеного результату; ймовірність того, що щось станеться; ймовірність; стан або ступінь ймовірності.</x:v>
      </x:c>
      <x:c r="E712" s="192" t="str">
        <x:v>Oxford C1</x:v>
      </x:c>
      <x:c r="F712" s="192" t="str">
        <x:v>Core</x:v>
      </x:c>
      <x:c r="G712" s="192" t="str">
        <x:v>Not Started</x:v>
      </x:c>
      <x:c r="H712" s="192" t="n">
        <x:v>0</x:v>
      </x:c>
    </x:row>
    <x:row r="713" ht="56" customHeight="1">
      <x:c r="A713" s="192" t="str">
        <x:v>limb</x:v>
      </x:c>
      <x:c r="B713" s="192" t="str">
        <x:v>n.</x:v>
      </x:c>
      <x:c r="C713" s="194" t="str">
        <x:v>кінцівка</x:v>
      </x:c>
      <x:c r="D713" s="195" t="str">
        <x:v>Основний відросток людини або тварини, який використовується для пересування (наприклад, рука, нога або крило).</x:v>
      </x:c>
      <x:c r="E713" s="192" t="str">
        <x:v>Oxford C1</x:v>
      </x:c>
      <x:c r="F713" s="192" t="str">
        <x:v>Core</x:v>
      </x:c>
      <x:c r="G713" s="192" t="str">
        <x:v>Not Started</x:v>
      </x:c>
      <x:c r="H713" s="192" t="n">
        <x:v>0</x:v>
      </x:c>
    </x:row>
    <x:row r="714" ht="56" customHeight="1">
      <x:c r="A714" s="192" t="str">
        <x:v>linear</x:v>
      </x:c>
      <x:c r="B714" s="192" t="str">
        <x:v>adj.</x:v>
      </x:c>
      <x:c r="C714" s="194" t="str">
        <x:v>лінійний</x:v>
      </x:c>
      <x:c r="D714" s="195" t="str">
        <x:v>Має форму лінії; прямі або приблизно прямі; за прямим курсом.</x:v>
      </x:c>
      <x:c r="E714" s="192" t="str">
        <x:v>Oxford C1</x:v>
      </x:c>
      <x:c r="F714" s="192" t="str">
        <x:v>Core</x:v>
      </x:c>
      <x:c r="G714" s="192" t="str">
        <x:v>Not Started</x:v>
      </x:c>
      <x:c r="H714" s="192" t="n">
        <x:v>0</x:v>
      </x:c>
    </x:row>
    <x:row r="715" ht="56" customHeight="1">
      <x:c r="A715" s="192" t="str">
        <x:v>line-up</x:v>
      </x:c>
      <x:c r="B715" s="192" t="str">
        <x:v>n.</x:v>
      </x:c>
      <x:c r="C715" s="194" t="str">
        <x:v>склад учасників; програма</x:v>
      </x:c>
      <x:c r="D715" s="195" t="str">
        <x:v>Склад людей або виконавців, які беруть участь у події, команді чи програмі.</x:v>
      </x:c>
      <x:c r="E715" s="192" t="str">
        <x:v>Oxford C1</x:v>
      </x:c>
      <x:c r="F715" s="192" t="str">
        <x:v>Core</x:v>
      </x:c>
      <x:c r="G715" s="192" t="str">
        <x:v>Not Started</x:v>
      </x:c>
      <x:c r="H715" s="192" t="n">
        <x:v>0</x:v>
      </x:c>
    </x:row>
    <x:row r="716" ht="56" customHeight="1">
      <x:c r="A716" s="192" t="str">
        <x:v>linger</x:v>
      </x:c>
      <x:c r="B716" s="192" t="str">
        <x:v>v.</x:v>
      </x:c>
      <x:c r="C716" s="194" t="str">
        <x:v>затримуватися</x:v>
      </x:c>
      <x:c r="D716" s="195" t="str">
        <x:v>Залишатися або залишатися в місці або ситуації, особливо якщо ви не бажаєте піти або не можете легко це зробити.</x:v>
      </x:c>
      <x:c r="E716" s="192" t="str">
        <x:v>Oxford C1</x:v>
      </x:c>
      <x:c r="F716" s="192" t="str">
        <x:v>Core</x:v>
      </x:c>
      <x:c r="G716" s="192" t="str">
        <x:v>Not Started</x:v>
      </x:c>
      <x:c r="H716" s="192" t="n">
        <x:v>0</x:v>
      </x:c>
    </x:row>
    <x:row r="717" ht="56" customHeight="1">
      <x:c r="A717" s="192" t="str">
        <x:v>listing</x:v>
      </x:c>
      <x:c r="B717" s="192" t="str">
        <x:v>n.</x:v>
      </x:c>
      <x:c r="C717" s="194" t="str">
        <x:v>список</x:v>
      </x:c>
      <x:c r="D717" s="195" t="str">
        <x:v>Запис у списку або каталозі.</x:v>
      </x:c>
      <x:c r="E717" s="192" t="str">
        <x:v>Oxford C1</x:v>
      </x:c>
      <x:c r="F717" s="192" t="str">
        <x:v>Core</x:v>
      </x:c>
      <x:c r="G717" s="192" t="str">
        <x:v>Not Started</x:v>
      </x:c>
      <x:c r="H717" s="192" t="n">
        <x:v>0</x:v>
      </x:c>
    </x:row>
    <x:row r="718" ht="56" customHeight="1">
      <x:c r="A718" s="192" t="str">
        <x:v>literacy</x:v>
      </x:c>
      <x:c r="B718" s="192" t="str">
        <x:v>n.</x:v>
      </x:c>
      <x:c r="C718" s="194" t="str">
        <x:v>грамотність</x:v>
      </x:c>
      <x:c r="D718" s="195" t="str">
        <x:v>Уміння читати і писати.</x:v>
      </x:c>
      <x:c r="E718" s="192" t="str">
        <x:v>Oxford C1</x:v>
      </x:c>
      <x:c r="F718" s="192" t="str">
        <x:v>High</x:v>
      </x:c>
      <x:c r="G718" s="192" t="str">
        <x:v>Not Started</x:v>
      </x:c>
      <x:c r="H718" s="192" t="n">
        <x:v>0</x:v>
      </x:c>
    </x:row>
    <x:row r="719" ht="56" customHeight="1">
      <x:c r="A719" s="192" t="str">
        <x:v>liver</x:v>
      </x:c>
      <x:c r="B719" s="192" t="str">
        <x:v>n.</x:v>
      </x:c>
      <x:c r="C719" s="194" t="str">
        <x:v>печінка</x:v>
      </x:c>
      <x:c r="D719" s="195" t="str">
        <x:v>Великий орган в організмі, який зберігає та метаболізує поживні речовини, знищує токсини та виробляє жовч. Він відповідає за тисячі біохімічних реакцій.</x:v>
      </x:c>
      <x:c r="E719" s="192" t="str">
        <x:v>Oxford C1</x:v>
      </x:c>
      <x:c r="F719" s="192" t="str">
        <x:v>Core</x:v>
      </x:c>
      <x:c r="G719" s="192" t="str">
        <x:v>Not Started</x:v>
      </x:c>
      <x:c r="H719" s="192" t="n">
        <x:v>0</x:v>
      </x:c>
    </x:row>
    <x:row r="720" ht="56" customHeight="1">
      <x:c r="A720" s="192" t="str">
        <x:v>lobby</x:v>
      </x:c>
      <x:c r="B720" s="192" t="str">
        <x:v>n., v.</x:v>
      </x:c>
      <x:c r="C720" s="194" t="str">
        <x:v>лобі</x:v>
      </x:c>
      <x:c r="D720" s="195" t="str">
        <x:v>Спроба вплинути (на посадову особу чи особу, яка приймає рішення) на користь певної думки чи причини.</x:v>
      </x:c>
      <x:c r="E720" s="192" t="str">
        <x:v>Oxford C1</x:v>
      </x:c>
      <x:c r="F720" s="192" t="str">
        <x:v>Core</x:v>
      </x:c>
      <x:c r="G720" s="192" t="str">
        <x:v>Not Started</x:v>
      </x:c>
      <x:c r="H720" s="192" t="n">
        <x:v>0</x:v>
      </x:c>
    </x:row>
    <x:row r="721" ht="56" customHeight="1">
      <x:c r="A721" s="192" t="str">
        <x:v>log</x:v>
      </x:c>
      <x:c r="B721" s="192" t="str">
        <x:v>n., v.</x:v>
      </x:c>
      <x:c r="C721" s="194" t="str">
        <x:v>колода</x:v>
      </x:c>
      <x:c r="D721" s="195" t="str">
        <x:v>Рубати дерева на колоди.</x:v>
      </x:c>
      <x:c r="E721" s="192" t="str">
        <x:v>Oxford C1</x:v>
      </x:c>
      <x:c r="F721" s="192" t="str">
        <x:v>Core</x:v>
      </x:c>
      <x:c r="G721" s="192" t="str">
        <x:v>Not Started</x:v>
      </x:c>
      <x:c r="H721" s="192" t="n">
        <x:v>0</x:v>
      </x:c>
    </x:row>
    <x:row r="722" ht="56" customHeight="1">
      <x:c r="A722" s="192" t="str">
        <x:v>logic</x:v>
      </x:c>
      <x:c r="B722" s="192" t="str">
        <x:v>n.</x:v>
      </x:c>
      <x:c r="C722" s="194" t="str">
        <x:v>логіка</x:v>
      </x:c>
      <x:c r="D722" s="195" t="str">
        <x:v>Метод людського мислення, який передбачає лінійне, поетапне мислення про те, як можна вирішити проблему. Логіка є основою багатьох принципів, включаючи науковий метод.</x:v>
      </x:c>
      <x:c r="E722" s="192" t="str">
        <x:v>Oxford C1 + AWL 5</x:v>
      </x:c>
      <x:c r="F722" s="192" t="str">
        <x:v>High</x:v>
      </x:c>
      <x:c r="G722" s="192" t="str">
        <x:v>Not Started</x:v>
      </x:c>
      <x:c r="H722" s="192" t="n">
        <x:v>0</x:v>
      </x:c>
    </x:row>
    <x:row r="723" ht="56" customHeight="1">
      <x:c r="A723" s="192" t="str">
        <x:v>long-standing</x:v>
      </x:c>
      <x:c r="B723" s="192" t="str">
        <x:v>adj.</x:v>
      </x:c>
      <x:c r="C723" s="194" t="str">
        <x:v>давній</x:v>
      </x:c>
      <x:c r="D723" s="195" t="str">
        <x:v>Існуючи тривалий час; тривалого існування.</x:v>
      </x:c>
      <x:c r="E723" s="192" t="str">
        <x:v>Oxford C1</x:v>
      </x:c>
      <x:c r="F723" s="192" t="str">
        <x:v>Core</x:v>
      </x:c>
      <x:c r="G723" s="192" t="str">
        <x:v>Not Started</x:v>
      </x:c>
      <x:c r="H723" s="192" t="n">
        <x:v>0</x:v>
      </x:c>
    </x:row>
    <x:row r="724" ht="56" customHeight="1">
      <x:c r="A724" s="192" t="str">
        <x:v>long-time</x:v>
      </x:c>
      <x:c r="B724" s="192" t="str">
        <x:v>adj.</x:v>
      </x:c>
      <x:c r="C724" s="194" t="str">
        <x:v>давній</x:v>
      </x:c>
      <x:c r="D724" s="195" t="str">
        <x:v>Такий, що існує, триває або виконує певну роль протягом тривалого часу.</x:v>
      </x:c>
      <x:c r="E724" s="192" t="str">
        <x:v>Oxford C1</x:v>
      </x:c>
      <x:c r="F724" s="192" t="str">
        <x:v>Core</x:v>
      </x:c>
      <x:c r="G724" s="192" t="str">
        <x:v>Not Started</x:v>
      </x:c>
      <x:c r="H724" s="192" t="n">
        <x:v>0</x:v>
      </x:c>
    </x:row>
    <x:row r="725" ht="56" customHeight="1">
      <x:c r="A725" s="192" t="str">
        <x:v>loom</x:v>
      </x:c>
      <x:c r="B725" s="192" t="str">
        <x:v>v.</x:v>
      </x:c>
      <x:c r="C725" s="194" t="str">
        <x:v>ткацький верстат</x:v>
      </x:c>
      <x:c r="D725" s="195" t="str">
        <x:v>З'являтися нечітко, напр. коли видно на горизонті або крізь темряву.</x:v>
      </x:c>
      <x:c r="E725" s="192" t="str">
        <x:v>Oxford C1</x:v>
      </x:c>
      <x:c r="F725" s="192" t="str">
        <x:v>Core</x:v>
      </x:c>
      <x:c r="G725" s="192" t="str">
        <x:v>Not Started</x:v>
      </x:c>
      <x:c r="H725" s="192" t="n">
        <x:v>0</x:v>
      </x:c>
    </x:row>
    <x:row r="726" ht="56" customHeight="1">
      <x:c r="A726" s="192" t="str">
        <x:v>loop</x:v>
      </x:c>
      <x:c r="B726" s="192" t="str">
        <x:v>n.</x:v>
      </x:c>
      <x:c r="C726" s="194" t="str">
        <x:v>петля</x:v>
      </x:c>
      <x:c r="D726" s="195" t="str">
        <x:v>Відрізок нитки, мотузки або мотузки, який подвоюється, щоб зробити отвір.</x:v>
      </x:c>
      <x:c r="E726" s="192" t="str">
        <x:v>Oxford C1</x:v>
      </x:c>
      <x:c r="F726" s="192" t="str">
        <x:v>Core</x:v>
      </x:c>
      <x:c r="G726" s="192" t="str">
        <x:v>Not Started</x:v>
      </x:c>
      <x:c r="H726" s="192" t="n">
        <x:v>0</x:v>
      </x:c>
    </x:row>
    <x:row r="727" ht="56" customHeight="1">
      <x:c r="A727" s="192" t="str">
        <x:v>loyalty</x:v>
      </x:c>
      <x:c r="B727" s="192" t="str">
        <x:v>n.</x:v>
      </x:c>
      <x:c r="C727" s="194" t="str">
        <x:v>вірність</x:v>
      </x:c>
      <x:c r="D727" s="195" t="str">
        <x:v>Вірність або відданість якійсь людині, справі чи нації.</x:v>
      </x:c>
      <x:c r="E727" s="192" t="str">
        <x:v>Oxford C1</x:v>
      </x:c>
      <x:c r="F727" s="192" t="str">
        <x:v>Core</x:v>
      </x:c>
      <x:c r="G727" s="192" t="str">
        <x:v>Not Started</x:v>
      </x:c>
      <x:c r="H727" s="192" t="n">
        <x:v>0</x:v>
      </x:c>
    </x:row>
    <x:row r="728" ht="56" customHeight="1">
      <x:c r="A728" s="192" t="str">
        <x:v>machinery</x:v>
      </x:c>
      <x:c r="B728" s="192" t="str">
        <x:v>n.</x:v>
      </x:c>
      <x:c r="C728" s="194" t="str">
        <x:v>машини</x:v>
      </x:c>
      <x:c r="D728" s="195" t="str">
        <x:v>Машини, що складають виробничий апарат на заводі тощо, разом.</x:v>
      </x:c>
      <x:c r="E728" s="192" t="str">
        <x:v>Oxford C1</x:v>
      </x:c>
      <x:c r="F728" s="192" t="str">
        <x:v>Core</x:v>
      </x:c>
      <x:c r="G728" s="192" t="str">
        <x:v>Not Started</x:v>
      </x:c>
      <x:c r="H728" s="192" t="n">
        <x:v>0</x:v>
      </x:c>
    </x:row>
    <x:row r="729" ht="56" customHeight="1">
      <x:c r="A729" s="192" t="str">
        <x:v>magical</x:v>
      </x:c>
      <x:c r="B729" s="192" t="str">
        <x:v>adj.</x:v>
      </x:c>
      <x:c r="C729" s="194" t="str">
        <x:v>магічний</x:v>
      </x:c>
      <x:c r="D729" s="195" t="str">
        <x:v>Зачаровує.</x:v>
      </x:c>
      <x:c r="E729" s="192" t="str">
        <x:v>Oxford C1</x:v>
      </x:c>
      <x:c r="F729" s="192" t="str">
        <x:v>Core</x:v>
      </x:c>
      <x:c r="G729" s="192" t="str">
        <x:v>Not Started</x:v>
      </x:c>
      <x:c r="H729" s="192" t="n">
        <x:v>0</x:v>
      </x:c>
    </x:row>
    <x:row r="730" ht="56" customHeight="1">
      <x:c r="A730" s="192" t="str">
        <x:v>magistrate</x:v>
      </x:c>
      <x:c r="B730" s="192" t="str">
        <x:v>n.</x:v>
      </x:c>
      <x:c r="C730" s="194" t="str">
        <x:v>суддя</x:v>
      </x:c>
      <x:c r="D730" s="195" t="str">
        <x:v>Судовий службовець з обмеженими повноваженнями для адміністрування та забезпечення виконання закону. Магістратський суд може мати юрисдикцію в цивільних або кримінальних справах, або в обох.</x:v>
      </x:c>
      <x:c r="E730" s="192" t="str">
        <x:v>Oxford C1</x:v>
      </x:c>
      <x:c r="F730" s="192" t="str">
        <x:v>Core</x:v>
      </x:c>
      <x:c r="G730" s="192" t="str">
        <x:v>Not Started</x:v>
      </x:c>
      <x:c r="H730" s="192" t="n">
        <x:v>0</x:v>
      </x:c>
    </x:row>
    <x:row r="731" ht="56" customHeight="1">
      <x:c r="A731" s="192" t="str">
        <x:v>magnetic</x:v>
      </x:c>
      <x:c r="B731" s="192" t="str">
        <x:v>adj.</x:v>
      </x:c>
      <x:c r="C731" s="194" t="str">
        <x:v>магнітний</x:v>
      </x:c>
      <x:c r="D731" s="195" t="str">
        <x:v>Має властивості магніту, особливо здатність тягнути або тягнути.</x:v>
      </x:c>
      <x:c r="E731" s="192" t="str">
        <x:v>Oxford C1</x:v>
      </x:c>
      <x:c r="F731" s="192" t="str">
        <x:v>Core</x:v>
      </x:c>
      <x:c r="G731" s="192" t="str">
        <x:v>Not Started</x:v>
      </x:c>
      <x:c r="H731" s="192" t="n">
        <x:v>0</x:v>
      </x:c>
    </x:row>
    <x:row r="732" ht="56" customHeight="1">
      <x:c r="A732" s="192" t="str">
        <x:v>magnitude</x:v>
      </x:c>
      <x:c r="B732" s="192" t="str">
        <x:v>n.</x:v>
      </x:c>
      <x:c r="C732" s="194" t="str">
        <x:v>величина</x:v>
      </x:c>
      <x:c r="D732" s="195" t="str">
        <x:v>Абсолютний або відносний розмір, ступінь або важливість чогось.</x:v>
      </x:c>
      <x:c r="E732" s="192" t="str">
        <x:v>Oxford C1</x:v>
      </x:c>
      <x:c r="F732" s="192" t="str">
        <x:v>Core</x:v>
      </x:c>
      <x:c r="G732" s="192" t="str">
        <x:v>Not Started</x:v>
      </x:c>
      <x:c r="H732" s="192" t="n">
        <x:v>0</x:v>
      </x:c>
    </x:row>
    <x:row r="733" ht="56" customHeight="1">
      <x:c r="A733" s="192" t="str">
        <x:v>mainland</x:v>
      </x:c>
      <x:c r="B733" s="192" t="str">
        <x:v>n.</x:v>
      </x:c>
      <x:c r="C733" s="194" t="str">
        <x:v>материк</x:v>
      </x:c>
      <x:c r="D733" s="195" t="str">
        <x:v>Континент; основна земля, на відміну від островів або півострова.</x:v>
      </x:c>
      <x:c r="E733" s="192" t="str">
        <x:v>Oxford C1</x:v>
      </x:c>
      <x:c r="F733" s="192" t="str">
        <x:v>Core</x:v>
      </x:c>
      <x:c r="G733" s="192" t="str">
        <x:v>Not Started</x:v>
      </x:c>
      <x:c r="H733" s="192" t="n">
        <x:v>0</x:v>
      </x:c>
    </x:row>
    <x:row r="734" ht="56" customHeight="1">
      <x:c r="A734" s="192" t="str">
        <x:v>mainstream</x:v>
      </x:c>
      <x:c r="B734" s="192" t="str">
        <x:v>n., adj.</x:v>
      </x:c>
      <x:c r="C734" s="194" t="str">
        <x:v>мейнстрим; загальноприйнятий напрям</x:v>
      </x:c>
      <x:c r="D734" s="195" t="str">
        <x:v>Те, що загальне; норма.</x:v>
      </x:c>
      <x:c r="E734" s="192" t="str">
        <x:v>Oxford C1</x:v>
      </x:c>
      <x:c r="F734" s="192" t="str">
        <x:v>Core</x:v>
      </x:c>
      <x:c r="G734" s="192" t="str">
        <x:v>Not Started</x:v>
      </x:c>
      <x:c r="H734" s="192" t="n">
        <x:v>0</x:v>
      </x:c>
    </x:row>
    <x:row r="735" ht="56" customHeight="1">
      <x:c r="A735" s="192" t="str">
        <x:v>maintenance</x:v>
      </x:c>
      <x:c r="B735" s="192" t="str">
        <x:v>n.</x:v>
      </x:c>
      <x:c r="C735" s="194" t="str">
        <x:v>обслуговування</x:v>
      </x:c>
      <x:c r="D735" s="195" t="str">
        <x:v>Дії, які виконуються для того, щоб деяка машина чи система працювали чи працювали.</x:v>
      </x:c>
      <x:c r="E735" s="192" t="str">
        <x:v>Oxford C1 + AWL 2</x:v>
      </x:c>
      <x:c r="F735" s="192" t="str">
        <x:v>High</x:v>
      </x:c>
      <x:c r="G735" s="192" t="str">
        <x:v>Not Started</x:v>
      </x:c>
      <x:c r="H735" s="192" t="n">
        <x:v>0</x:v>
      </x:c>
    </x:row>
    <x:row r="736" ht="56" customHeight="1">
      <x:c r="A736" s="192" t="str">
        <x:v>mandate</x:v>
      </x:c>
      <x:c r="B736" s="192" t="str">
        <x:v>n.</x:v>
      </x:c>
      <x:c r="C736" s="194" t="str">
        <x:v>мандат; офіційні повноваження</x:v>
      </x:c>
      <x:c r="D736" s="195" t="str">
        <x:v>Офіційна або авторитетна команда; наказ чи розпорядження; комісія; судовий припис; дозвіл.</x:v>
      </x:c>
      <x:c r="E736" s="192" t="str">
        <x:v>Oxford C1</x:v>
      </x:c>
      <x:c r="F736" s="192" t="str">
        <x:v>Core</x:v>
      </x:c>
      <x:c r="G736" s="192" t="str">
        <x:v>Not Started</x:v>
      </x:c>
      <x:c r="H736" s="192" t="n">
        <x:v>0</x:v>
      </x:c>
    </x:row>
    <x:row r="737" ht="56" customHeight="1">
      <x:c r="A737" s="192" t="str">
        <x:v>mandatory</x:v>
      </x:c>
      <x:c r="B737" s="192" t="str">
        <x:v>adj.</x:v>
      </x:c>
      <x:c r="C737" s="194" t="str">
        <x:v>обов'язковий</x:v>
      </x:c>
      <x:c r="D737" s="195" t="str">
        <x:v>обов'язковий; вимагається або наказується владою.</x:v>
      </x:c>
      <x:c r="E737" s="192" t="str">
        <x:v>Oxford C1</x:v>
      </x:c>
      <x:c r="F737" s="192" t="str">
        <x:v>Core</x:v>
      </x:c>
      <x:c r="G737" s="192" t="str">
        <x:v>Not Started</x:v>
      </x:c>
      <x:c r="H737" s="192" t="n">
        <x:v>0</x:v>
      </x:c>
    </x:row>
    <x:row r="738" ht="56" customHeight="1">
      <x:c r="A738" s="192" t="str">
        <x:v>manifest</x:v>
      </x:c>
      <x:c r="B738" s="192" t="str">
        <x:v>v.</x:v>
      </x:c>
      <x:c r="C738" s="194" t="str">
        <x:v>проявляти; виявлятися</x:v>
      </x:c>
      <x:c r="D738" s="195" t="str">
        <x:v>Ясно показати; зробити так, щоб виразно виглядати, як правило, для розуму; поставити поза сумнівом чи сумнівом; відображати; виставляти.</x:v>
      </x:c>
      <x:c r="E738" s="192" t="str">
        <x:v>Oxford C1</x:v>
      </x:c>
      <x:c r="F738" s="192" t="str">
        <x:v>Core</x:v>
      </x:c>
      <x:c r="G738" s="192" t="str">
        <x:v>Not Started</x:v>
      </x:c>
      <x:c r="H738" s="192" t="n">
        <x:v>0</x:v>
      </x:c>
    </x:row>
    <x:row r="739" ht="56" customHeight="1">
      <x:c r="A739" s="192" t="str">
        <x:v>manipulate</x:v>
      </x:c>
      <x:c r="B739" s="192" t="str">
        <x:v>v.</x:v>
      </x:c>
      <x:c r="C739" s="194" t="str">
        <x:v>маніпулювати</x:v>
      </x:c>
      <x:c r="D739" s="195" t="str">
        <x:v>Впливати, керувати, керувати, контролювати або змінювати щось</x:v>
      </x:c>
      <x:c r="E739" s="192" t="str">
        <x:v>Oxford C1</x:v>
      </x:c>
      <x:c r="F739" s="192" t="str">
        <x:v>Core</x:v>
      </x:c>
      <x:c r="G739" s="192" t="str">
        <x:v>Not Started</x:v>
      </x:c>
      <x:c r="H739" s="192" t="n">
        <x:v>0</x:v>
      </x:c>
    </x:row>
    <x:row r="740" ht="56" customHeight="1">
      <x:c r="A740" s="192" t="str">
        <x:v>manipulation</x:v>
      </x:c>
      <x:c r="B740" s="192" t="str">
        <x:v>n.</x:v>
      </x:c>
      <x:c r="C740" s="194" t="str">
        <x:v>маніпуляція</x:v>
      </x:c>
      <x:c r="D740" s="195" t="str">
        <x:v>Практика маніпулювання або стан маніпулювання.</x:v>
      </x:c>
      <x:c r="E740" s="192" t="str">
        <x:v>Oxford C1 + AWL 8</x:v>
      </x:c>
      <x:c r="F740" s="192" t="str">
        <x:v>High</x:v>
      </x:c>
      <x:c r="G740" s="192" t="str">
        <x:v>Not Started</x:v>
      </x:c>
      <x:c r="H740" s="192" t="n">
        <x:v>0</x:v>
      </x:c>
    </x:row>
    <x:row r="741" ht="56" customHeight="1">
      <x:c r="A741" s="192" t="str">
        <x:v>manuscript</x:v>
      </x:c>
      <x:c r="B741" s="192" t="str">
        <x:v>n.</x:v>
      </x:c>
      <x:c r="C741" s="194" t="str">
        <x:v>рукопис</x:v>
      </x:c>
      <x:c r="D741" s="195" t="str">
        <x:v>Книга, твір або будь-який інший документ, написаний від руки (або машинописний), не відтворений механічно.</x:v>
      </x:c>
      <x:c r="E741" s="192" t="str">
        <x:v>Oxford C1</x:v>
      </x:c>
      <x:c r="F741" s="192" t="str">
        <x:v>Core</x:v>
      </x:c>
      <x:c r="G741" s="192" t="str">
        <x:v>Not Started</x:v>
      </x:c>
      <x:c r="H741" s="192" t="n">
        <x:v>0</x:v>
      </x:c>
    </x:row>
    <x:row r="742" ht="56" customHeight="1">
      <x:c r="A742" s="192" t="str">
        <x:v>march</x:v>
      </x:c>
      <x:c r="B742" s="192" t="str">
        <x:v>n., v.</x:v>
      </x:c>
      <x:c r="C742" s="194" t="str">
        <x:v>марш</x:v>
      </x:c>
      <x:c r="D742" s="195" t="str">
        <x:v>Ходити довгими рівними кроками, як це робить солдат.</x:v>
      </x:c>
      <x:c r="E742" s="192" t="str">
        <x:v>Oxford C1</x:v>
      </x:c>
      <x:c r="F742" s="192" t="str">
        <x:v>Core</x:v>
      </x:c>
      <x:c r="G742" s="192" t="str">
        <x:v>Not Started</x:v>
      </x:c>
      <x:c r="H742" s="192" t="n">
        <x:v>0</x:v>
      </x:c>
    </x:row>
    <x:row r="743" ht="56" customHeight="1">
      <x:c r="A743" s="192" t="str">
        <x:v>marginal</x:v>
      </x:c>
      <x:c r="B743" s="192" t="str">
        <x:v>adj.</x:v>
      </x:c>
      <x:c r="C743" s="194" t="str">
        <x:v>маргінальний</x:v>
      </x:c>
      <x:c r="D743" s="195" t="str">
        <x:v>З, пов’язаний із або розташований на або поблизу краю чи краю; також переносне вживання розташування та краю (краю).</x:v>
      </x:c>
      <x:c r="E743" s="192" t="str">
        <x:v>Oxford C1 + AWL 5</x:v>
      </x:c>
      <x:c r="F743" s="192" t="str">
        <x:v>High</x:v>
      </x:c>
      <x:c r="G743" s="192" t="str">
        <x:v>Not Started</x:v>
      </x:c>
      <x:c r="H743" s="192" t="n">
        <x:v>0</x:v>
      </x:c>
    </x:row>
    <x:row r="744" ht="56" customHeight="1">
      <x:c r="A744" s="192" t="str">
        <x:v>marine</x:v>
      </x:c>
      <x:c r="B744" s="192" t="str">
        <x:v>adj.</x:v>
      </x:c>
      <x:c r="C744" s="194" t="str">
        <x:v>морський</x:v>
      </x:c>
      <x:c r="D744" s="195" t="str">
        <x:v>Приналежність або характеристика моря; існуючі або знайдені в морі; утворені або вироблені морем.</x:v>
      </x:c>
      <x:c r="E744" s="192" t="str">
        <x:v>Oxford C1</x:v>
      </x:c>
      <x:c r="F744" s="192" t="str">
        <x:v>Core</x:v>
      </x:c>
      <x:c r="G744" s="192" t="str">
        <x:v>Not Started</x:v>
      </x:c>
      <x:c r="H744" s="192" t="n">
        <x:v>0</x:v>
      </x:c>
    </x:row>
    <x:row r="745" ht="56" customHeight="1">
      <x:c r="A745" s="192" t="str">
        <x:v>marketplace</x:v>
      </x:c>
      <x:c r="B745" s="192" t="str">
        <x:v>n.</x:v>
      </x:c>
      <x:c r="C745" s="194" t="str">
        <x:v>ринок</x:v>
      </x:c>
      <x:c r="D745" s="195" t="str">
        <x:v>Світ комерції та торгівлі.</x:v>
      </x:c>
      <x:c r="E745" s="192" t="str">
        <x:v>Oxford C1</x:v>
      </x:c>
      <x:c r="F745" s="192" t="str">
        <x:v>Core</x:v>
      </x:c>
      <x:c r="G745" s="192" t="str">
        <x:v>Not Started</x:v>
      </x:c>
      <x:c r="H745" s="192" t="n">
        <x:v>0</x:v>
      </x:c>
    </x:row>
    <x:row r="746" ht="56" customHeight="1">
      <x:c r="A746" s="192" t="str">
        <x:v>mask</x:v>
      </x:c>
      <x:c r="B746" s="192" t="str">
        <x:v>n.</x:v>
      </x:c>
      <x:c r="C746" s="194" t="str">
        <x:v>маска</x:v>
      </x:c>
      <x:c r="D746" s="195" t="str">
        <x:v>Покриття, або часткове покриття, для обличчя, яке використовується для маскування або захисту.</x:v>
      </x:c>
      <x:c r="E746" s="192" t="str">
        <x:v>Oxford C1</x:v>
      </x:c>
      <x:c r="F746" s="192" t="str">
        <x:v>Core</x:v>
      </x:c>
      <x:c r="G746" s="192" t="str">
        <x:v>Not Started</x:v>
      </x:c>
      <x:c r="H746" s="192" t="n">
        <x:v>0</x:v>
      </x:c>
    </x:row>
    <x:row r="747" ht="56" customHeight="1">
      <x:c r="A747" s="192" t="str">
        <x:v>massacre</x:v>
      </x:c>
      <x:c r="B747" s="192" t="str">
        <x:v>n.</x:v>
      </x:c>
      <x:c r="C747" s="194" t="str">
        <x:v>різанина</x:v>
      </x:c>
      <x:c r="D747" s="195" t="str">
        <x:v>Вбивство значної кількості (зазвичай обмежене людьми), де спротив чинити незначний або взагалі відсутній, із застосуванням невибіркового насильства, без необхідності та/або всупереч цивілізованим нормам.</x:v>
      </x:c>
      <x:c r="E747" s="192" t="str">
        <x:v>Oxford C1</x:v>
      </x:c>
      <x:c r="F747" s="192" t="str">
        <x:v>Core</x:v>
      </x:c>
      <x:c r="G747" s="192" t="str">
        <x:v>Not Started</x:v>
      </x:c>
      <x:c r="H747" s="192" t="n">
        <x:v>0</x:v>
      </x:c>
    </x:row>
    <x:row r="748" ht="56" customHeight="1">
      <x:c r="A748" s="192" t="str">
        <x:v>mathematical</x:v>
      </x:c>
      <x:c r="B748" s="192" t="str">
        <x:v>adj.</x:v>
      </x:c>
      <x:c r="C748" s="194" t="str">
        <x:v>математичний</x:v>
      </x:c>
      <x:c r="D748" s="195" t="str">
        <x:v>Відносно або пов'язане з математикою</x:v>
      </x:c>
      <x:c r="E748" s="192" t="str">
        <x:v>Oxford C1</x:v>
      </x:c>
      <x:c r="F748" s="192" t="str">
        <x:v>Core</x:v>
      </x:c>
      <x:c r="G748" s="192" t="str">
        <x:v>Not Started</x:v>
      </x:c>
      <x:c r="H748" s="192" t="n">
        <x:v>0</x:v>
      </x:c>
    </x:row>
    <x:row r="749" ht="56" customHeight="1">
      <x:c r="A749" s="192" t="str">
        <x:v>mature</x:v>
      </x:c>
      <x:c r="B749" s="192" t="str">
        <x:v>adj., v.</x:v>
      </x:c>
      <x:c r="C749" s="194" t="str">
        <x:v>зрілий</x:v>
      </x:c>
      <x:c r="D749" s="195" t="str">
        <x:v>Просуватися до зрілості: повний розвиток або завершення (як конкретних, так і абстрактних речей, наприклад, планів, суджень, якостей).</x:v>
      </x:c>
      <x:c r="E749" s="192" t="str">
        <x:v>Oxford C1 + AWL 9</x:v>
      </x:c>
      <x:c r="F749" s="192" t="str">
        <x:v>High</x:v>
      </x:c>
      <x:c r="G749" s="192" t="str">
        <x:v>Not Started</x:v>
      </x:c>
      <x:c r="H749" s="192" t="n">
        <x:v>0</x:v>
      </x:c>
    </x:row>
    <x:row r="750" ht="56" customHeight="1">
      <x:c r="A750" s="192" t="str">
        <x:v>maximize</x:v>
      </x:c>
      <x:c r="B750" s="192" t="str">
        <x:v>v.</x:v>
      </x:c>
      <x:c r="C750" s="194" t="str">
        <x:v>максимізувати</x:v>
      </x:c>
      <x:c r="D750" s="195" t="str">
        <x:v>Зробити якомога більшим.</x:v>
      </x:c>
      <x:c r="E750" s="192" t="str">
        <x:v>Oxford C1</x:v>
      </x:c>
      <x:c r="F750" s="192" t="str">
        <x:v>Core</x:v>
      </x:c>
      <x:c r="G750" s="192" t="str">
        <x:v>Not Started</x:v>
      </x:c>
      <x:c r="H750" s="192" t="n">
        <x:v>0</x:v>
      </x:c>
    </x:row>
    <x:row r="751" ht="56" customHeight="1">
      <x:c r="A751" s="192" t="str">
        <x:v>meaningful</x:v>
      </x:c>
      <x:c r="B751" s="192" t="str">
        <x:v>adj.</x:v>
      </x:c>
      <x:c r="C751" s="194" t="str">
        <x:v>значущий</x:v>
      </x:c>
      <x:c r="D751" s="195" t="str">
        <x:v>Має значення, значний.</x:v>
      </x:c>
      <x:c r="E751" s="192" t="str">
        <x:v>Oxford C1</x:v>
      </x:c>
      <x:c r="F751" s="192" t="str">
        <x:v>Core</x:v>
      </x:c>
      <x:c r="G751" s="192" t="str">
        <x:v>Not Started</x:v>
      </x:c>
      <x:c r="H751" s="192" t="n">
        <x:v>0</x:v>
      </x:c>
    </x:row>
    <x:row r="752" ht="56" customHeight="1">
      <x:c r="A752" s="192" t="str">
        <x:v>meantime</x:v>
      </x:c>
      <x:c r="B752" s="192" t="str">
        <x:v>n.</x:v>
      </x:c>
      <x:c r="C752" s="194" t="str">
        <x:v>тим часом</x:v>
      </x:c>
      <x:c r="D752" s="195" t="str">
        <x:v>Час, витрачений на очікування іншої події; час між ними.</x:v>
      </x:c>
      <x:c r="E752" s="192" t="str">
        <x:v>Oxford C1</x:v>
      </x:c>
      <x:c r="F752" s="192" t="str">
        <x:v>Core</x:v>
      </x:c>
      <x:c r="G752" s="192" t="str">
        <x:v>Not Started</x:v>
      </x:c>
      <x:c r="H752" s="192" t="n">
        <x:v>0</x:v>
      </x:c>
    </x:row>
    <x:row r="753" ht="56" customHeight="1">
      <x:c r="A753" s="192" t="str">
        <x:v>medieval</x:v>
      </x:c>
      <x:c r="B753" s="192" t="str">
        <x:v>adj.</x:v>
      </x:c>
      <x:c r="C753" s="194" t="str">
        <x:v>середньовічний</x:v>
      </x:c>
      <x:c r="D753" s="195" t="str">
        <x:v>Середньовіччя або пов’язане з ним, період приблизно з 500 до 1500 року нашої ери.</x:v>
      </x:c>
      <x:c r="E753" s="192" t="str">
        <x:v>Oxford C1</x:v>
      </x:c>
      <x:c r="F753" s="192" t="str">
        <x:v>Core</x:v>
      </x:c>
      <x:c r="G753" s="192" t="str">
        <x:v>Not Started</x:v>
      </x:c>
      <x:c r="H753" s="192" t="n">
        <x:v>0</x:v>
      </x:c>
    </x:row>
    <x:row r="754" ht="56" customHeight="1">
      <x:c r="A754" s="192" t="str">
        <x:v>meditation</x:v>
      </x:c>
      <x:c r="B754" s="192" t="str">
        <x:v>n.</x:v>
      </x:c>
      <x:c r="C754" s="194" t="str">
        <x:v>медитація</x:v>
      </x:c>
      <x:c r="D754" s="195" t="str">
        <x:v>Будь-який з різних типів досягнення більш-менш змінених станів свідомості, таких як відпустка розуму або тривале споглядання одного відчуття чи думки, через розслаблену або зосереджену розумову та фізичну активність...</x:v>
      </x:c>
      <x:c r="E754" s="192" t="str">
        <x:v>Oxford C1</x:v>
      </x:c>
      <x:c r="F754" s="192" t="str">
        <x:v>Core</x:v>
      </x:c>
      <x:c r="G754" s="192" t="str">
        <x:v>Not Started</x:v>
      </x:c>
      <x:c r="H754" s="192" t="n">
        <x:v>0</x:v>
      </x:c>
    </x:row>
    <x:row r="755" ht="56" customHeight="1">
      <x:c r="A755" s="192" t="str">
        <x:v>melody</x:v>
      </x:c>
      <x:c r="B755" s="192" t="str">
        <x:v>n.</x:v>
      </x:c>
      <x:c r="C755" s="194" t="str">
        <x:v>мелодія</x:v>
      </x:c>
      <x:c r="D755" s="195" t="str">
        <x:v>Послідовність нот, що складає музичну фразу.</x:v>
      </x:c>
      <x:c r="E755" s="192" t="str">
        <x:v>Oxford C1</x:v>
      </x:c>
      <x:c r="F755" s="192" t="str">
        <x:v>Core</x:v>
      </x:c>
      <x:c r="G755" s="192" t="str">
        <x:v>Not Started</x:v>
      </x:c>
      <x:c r="H755" s="192" t="n">
        <x:v>0</x:v>
      </x:c>
    </x:row>
    <x:row r="756" ht="56" customHeight="1">
      <x:c r="A756" s="192" t="str">
        <x:v>memo</x:v>
      </x:c>
      <x:c r="B756" s="192" t="str">
        <x:v>n.</x:v>
      </x:c>
      <x:c r="C756" s="194" t="str">
        <x:v>записка</x:v>
      </x:c>
      <x:c r="D756" s="195" t="str">
        <x:v>Коротка записка; меморандум.</x:v>
      </x:c>
      <x:c r="E756" s="192" t="str">
        <x:v>Oxford C1</x:v>
      </x:c>
      <x:c r="F756" s="192" t="str">
        <x:v>Core</x:v>
      </x:c>
      <x:c r="G756" s="192" t="str">
        <x:v>Not Started</x:v>
      </x:c>
      <x:c r="H756" s="192" t="n">
        <x:v>0</x:v>
      </x:c>
    </x:row>
    <x:row r="757" ht="56" customHeight="1">
      <x:c r="A757" s="192" t="str">
        <x:v>memoir</x:v>
      </x:c>
      <x:c r="B757" s="192" t="str">
        <x:v>n.</x:v>
      </x:c>
      <x:c r="C757" s="194" t="str">
        <x:v>мемуари</x:v>
      </x:c>
      <x:c r="D757" s="195" t="str">
        <x:v>автобіографія; книга, що описує особистий досвід автора.</x:v>
      </x:c>
      <x:c r="E757" s="192" t="str">
        <x:v>Oxford C1</x:v>
      </x:c>
      <x:c r="F757" s="192" t="str">
        <x:v>Core</x:v>
      </x:c>
      <x:c r="G757" s="192" t="str">
        <x:v>Not Started</x:v>
      </x:c>
      <x:c r="H757" s="192" t="n">
        <x:v>0</x:v>
      </x:c>
    </x:row>
    <x:row r="758" ht="56" customHeight="1">
      <x:c r="A758" s="192" t="str">
        <x:v>memorial</x:v>
      </x:c>
      <x:c r="B758" s="192" t="str">
        <x:v>n.</x:v>
      </x:c>
      <x:c r="C758" s="194" t="str">
        <x:v>меморіал</x:v>
      </x:c>
      <x:c r="D758" s="195" t="str">
        <x:v>Щось, наприклад пам'ятник, яким хтось або щось згадується.</x:v>
      </x:c>
      <x:c r="E758" s="192" t="str">
        <x:v>Oxford C1</x:v>
      </x:c>
      <x:c r="F758" s="192" t="str">
        <x:v>Core</x:v>
      </x:c>
      <x:c r="G758" s="192" t="str">
        <x:v>Not Started</x:v>
      </x:c>
      <x:c r="H758" s="192" t="n">
        <x:v>0</x:v>
      </x:c>
    </x:row>
    <x:row r="759" ht="56" customHeight="1">
      <x:c r="A759" s="192" t="str">
        <x:v>mentor</x:v>
      </x:c>
      <x:c r="B759" s="192" t="str">
        <x:v>n.</x:v>
      </x:c>
      <x:c r="C759" s="194" t="str">
        <x:v>ментор</x:v>
      </x:c>
      <x:c r="D759" s="195" t="str">
        <x:v>Мудрий і надійний порадник або вчитель.</x:v>
      </x:c>
      <x:c r="E759" s="192" t="str">
        <x:v>Oxford C1</x:v>
      </x:c>
      <x:c r="F759" s="192" t="str">
        <x:v>Core</x:v>
      </x:c>
      <x:c r="G759" s="192" t="str">
        <x:v>Not Started</x:v>
      </x:c>
      <x:c r="H759" s="192" t="n">
        <x:v>0</x:v>
      </x:c>
    </x:row>
    <x:row r="760" ht="56" customHeight="1">
      <x:c r="A760" s="192" t="str">
        <x:v>merchant</x:v>
      </x:c>
      <x:c r="B760" s="192" t="str">
        <x:v>n.</x:v>
      </x:c>
      <x:c r="C760" s="194" t="str">
        <x:v>купець</x:v>
      </x:c>
      <x:c r="D760" s="195" t="str">
        <x:v>Людина, яка торгує товарами з метою отримання прибутку.</x:v>
      </x:c>
      <x:c r="E760" s="192" t="str">
        <x:v>Oxford C1</x:v>
      </x:c>
      <x:c r="F760" s="192" t="str">
        <x:v>Core</x:v>
      </x:c>
      <x:c r="G760" s="192" t="str">
        <x:v>Not Started</x:v>
      </x:c>
      <x:c r="H760" s="192" t="n">
        <x:v>0</x:v>
      </x:c>
    </x:row>
    <x:row r="761" ht="56" customHeight="1">
      <x:c r="A761" s="192" t="str">
        <x:v>mercy</x:v>
      </x:c>
      <x:c r="B761" s="192" t="str">
        <x:v>n.</x:v>
      </x:c>
      <x:c r="C761" s="194" t="str">
        <x:v>милосердя</x:v>
      </x:c>
      <x:c r="D761" s="195" t="str">
        <x:v>Прощення або співчуття, особливо до тих, кому пощастило менше.</x:v>
      </x:c>
      <x:c r="E761" s="192" t="str">
        <x:v>Oxford C1</x:v>
      </x:c>
      <x:c r="F761" s="192" t="str">
        <x:v>Core</x:v>
      </x:c>
      <x:c r="G761" s="192" t="str">
        <x:v>Not Started</x:v>
      </x:c>
      <x:c r="H761" s="192" t="n">
        <x:v>0</x:v>
      </x:c>
    </x:row>
    <x:row r="762" ht="56" customHeight="1">
      <x:c r="A762" s="192" t="str">
        <x:v>mere</x:v>
      </x:c>
      <x:c r="B762" s="192" t="str">
        <x:v>adj.</x:v>
      </x:c>
      <x:c r="C762" s="194" t="str">
        <x:v>простий</x:v>
      </x:c>
      <x:c r="D762" s="195" t="str">
        <x:v>Тільки, тільки; не більше ніж, чисто і просто, не більше і не краще, ніж можна було очікувати.</x:v>
      </x:c>
      <x:c r="E762" s="192" t="str">
        <x:v>Oxford C1</x:v>
      </x:c>
      <x:c r="F762" s="192" t="str">
        <x:v>Core</x:v>
      </x:c>
      <x:c r="G762" s="192" t="str">
        <x:v>Not Started</x:v>
      </x:c>
      <x:c r="H762" s="192" t="n">
        <x:v>0</x:v>
      </x:c>
    </x:row>
    <x:row r="763" ht="56" customHeight="1">
      <x:c r="A763" s="192" t="str">
        <x:v>merely</x:v>
      </x:c>
      <x:c r="B763" s="192" t="str">
        <x:v>adv.</x:v>
      </x:c>
      <x:c r="C763" s="194" t="str">
        <x:v>просто</x:v>
      </x:c>
      <x:c r="D763" s="195" t="str">
        <x:v>Без будь-якої іншої причини тощо; тільки, тільки, і більше нічого.</x:v>
      </x:c>
      <x:c r="E763" s="192" t="str">
        <x:v>Oxford C1</x:v>
      </x:c>
      <x:c r="F763" s="192" t="str">
        <x:v>Core</x:v>
      </x:c>
      <x:c r="G763" s="192" t="str">
        <x:v>Not Started</x:v>
      </x:c>
      <x:c r="H763" s="192" t="n">
        <x:v>0</x:v>
      </x:c>
    </x:row>
    <x:row r="764" ht="56" customHeight="1">
      <x:c r="A764" s="192" t="str">
        <x:v>merge</x:v>
      </x:c>
      <x:c r="B764" s="192" t="str">
        <x:v>v.</x:v>
      </x:c>
      <x:c r="C764" s="194" t="str">
        <x:v>злити</x:v>
      </x:c>
      <x:c r="D764" s="195" t="str">
        <x:v>Поєднати в ціле.</x:v>
      </x:c>
      <x:c r="E764" s="192" t="str">
        <x:v>Oxford C1</x:v>
      </x:c>
      <x:c r="F764" s="192" t="str">
        <x:v>Core</x:v>
      </x:c>
      <x:c r="G764" s="192" t="str">
        <x:v>Not Started</x:v>
      </x:c>
      <x:c r="H764" s="192" t="n">
        <x:v>0</x:v>
      </x:c>
    </x:row>
    <x:row r="765" ht="56" customHeight="1">
      <x:c r="A765" s="192" t="str">
        <x:v>merger</x:v>
      </x:c>
      <x:c r="B765" s="192" t="str">
        <x:v>n.</x:v>
      </x:c>
      <x:c r="C765" s="194" t="str">
        <x:v>злиття</x:v>
      </x:c>
      <x:c r="D765" s="195" t="str">
        <x:v>Юридичне об’єднання двох або більше корпорацій в одну юридичну особу, активи та зобов’язання, як правило, бере на себе сторона-покупець.</x:v>
      </x:c>
      <x:c r="E765" s="192" t="str">
        <x:v>Oxford C1</x:v>
      </x:c>
      <x:c r="F765" s="192" t="str">
        <x:v>Core</x:v>
      </x:c>
      <x:c r="G765" s="192" t="str">
        <x:v>Not Started</x:v>
      </x:c>
      <x:c r="H765" s="192" t="n">
        <x:v>0</x:v>
      </x:c>
    </x:row>
    <x:row r="766" ht="56" customHeight="1">
      <x:c r="A766" s="192" t="str">
        <x:v>merit</x:v>
      </x:c>
      <x:c r="B766" s="192" t="str">
        <x:v>n.</x:v>
      </x:c>
      <x:c r="C766" s="194" t="str">
        <x:v>заслуга</x:v>
      </x:c>
      <x:c r="D766" s="195" t="str">
        <x:v>Щось, що заслуговує або гідне позитивного визнання чи винагороди.</x:v>
      </x:c>
      <x:c r="E766" s="192" t="str">
        <x:v>Oxford C1</x:v>
      </x:c>
      <x:c r="F766" s="192" t="str">
        <x:v>Core</x:v>
      </x:c>
      <x:c r="G766" s="192" t="str">
        <x:v>Not Started</x:v>
      </x:c>
      <x:c r="H766" s="192" t="n">
        <x:v>0</x:v>
      </x:c>
    </x:row>
    <x:row r="767" ht="56" customHeight="1">
      <x:c r="A767" s="192" t="str">
        <x:v>methodology</x:v>
      </x:c>
      <x:c r="B767" s="192" t="str">
        <x:v>n.</x:v>
      </x:c>
      <x:c r="C767" s="194" t="str">
        <x:v>методологія</x:v>
      </x:c>
      <x:c r="D767" s="195" t="str">
        <x:v>Набір методів, практик, процедур і правил, які використовують ті, хто працює в певній сфері.</x:v>
      </x:c>
      <x:c r="E767" s="192" t="str">
        <x:v>Oxford C1</x:v>
      </x:c>
      <x:c r="F767" s="192" t="str">
        <x:v>High</x:v>
      </x:c>
      <x:c r="G767" s="192" t="str">
        <x:v>Not Started</x:v>
      </x:c>
      <x:c r="H767" s="192" t="n">
        <x:v>0</x:v>
      </x:c>
    </x:row>
    <x:row r="768" ht="56" customHeight="1">
      <x:c r="A768" s="192" t="str">
        <x:v>midst</x:v>
      </x:c>
      <x:c r="B768" s="192" t="str">
        <x:v>n.</x:v>
      </x:c>
      <x:c r="C768" s="194" t="str">
        <x:v>посеред</x:v>
      </x:c>
      <x:c r="D768" s="195" t="str">
        <x:v>Місце в середині чого-небудь; може використовуватися в буквальному або метафоричному значенні.</x:v>
      </x:c>
      <x:c r="E768" s="192" t="str">
        <x:v>Oxford C1</x:v>
      </x:c>
      <x:c r="F768" s="192" t="str">
        <x:v>Core</x:v>
      </x:c>
      <x:c r="G768" s="192" t="str">
        <x:v>Not Started</x:v>
      </x:c>
      <x:c r="H768" s="192" t="n">
        <x:v>0</x:v>
      </x:c>
    </x:row>
    <x:row r="769" ht="56" customHeight="1">
      <x:c r="A769" s="192" t="str">
        <x:v>migration</x:v>
      </x:c>
      <x:c r="B769" s="192" t="str">
        <x:v>n.</x:v>
      </x:c>
      <x:c r="C769" s="194" t="str">
        <x:v>міграція</x:v>
      </x:c>
      <x:c r="D769" s="195" t="str">
        <x:v>Випадок переїзду на деякий час жити в інше місце.</x:v>
      </x:c>
      <x:c r="E769" s="192" t="str">
        <x:v>Oxford C1 + AWL 6</x:v>
      </x:c>
      <x:c r="F769" s="192" t="str">
        <x:v>High</x:v>
      </x:c>
      <x:c r="G769" s="192" t="str">
        <x:v>Not Started</x:v>
      </x:c>
      <x:c r="H769" s="192" t="n">
        <x:v>0</x:v>
      </x:c>
    </x:row>
    <x:row r="770" ht="56" customHeight="1">
      <x:c r="A770" s="192" t="str">
        <x:v>militant</x:v>
      </x:c>
      <x:c r="B770" s="192" t="str">
        <x:v>n., adj.</x:v>
      </x:c>
      <x:c r="C770" s="194" t="str">
        <x:v>войовничий</x:v>
      </x:c>
      <x:c r="D770" s="195" t="str">
        <x:v>Вкорінений або агресивний прихильник певної справи, тепер особливо член певної ідеологічної фракції.</x:v>
      </x:c>
      <x:c r="E770" s="192" t="str">
        <x:v>Oxford C1</x:v>
      </x:c>
      <x:c r="F770" s="192" t="str">
        <x:v>Core</x:v>
      </x:c>
      <x:c r="G770" s="192" t="str">
        <x:v>Not Started</x:v>
      </x:c>
      <x:c r="H770" s="192" t="n">
        <x:v>0</x:v>
      </x:c>
    </x:row>
    <x:row r="771" ht="56" customHeight="1">
      <x:c r="A771" s="192" t="str">
        <x:v>militia</x:v>
      </x:c>
      <x:c r="B771" s="192" t="str">
        <x:v>n.</x:v>
      </x:c>
      <x:c r="C771" s="194" t="str">
        <x:v>міліція</x:v>
      </x:c>
      <x:c r="D771" s="195" t="str">
        <x:v>Армія навчених цивільних осіб, яка може бути офіційною резервною армією, скликаною в разі потреби, усім боєздатним населенням штату, яке також може бути покликано, або приватними силами, які не підпорядковуються уряду...</x:v>
      </x:c>
      <x:c r="E771" s="192" t="str">
        <x:v>Oxford C1</x:v>
      </x:c>
      <x:c r="F771" s="192" t="str">
        <x:v>Core</x:v>
      </x:c>
      <x:c r="G771" s="192" t="str">
        <x:v>Not Started</x:v>
      </x:c>
      <x:c r="H771" s="192" t="n">
        <x:v>0</x:v>
      </x:c>
    </x:row>
    <x:row r="772" ht="56" customHeight="1">
      <x:c r="A772" s="192" t="str">
        <x:v>mill</x:v>
      </x:c>
      <x:c r="B772" s="192" t="str">
        <x:v>n.</x:v>
      </x:c>
      <x:c r="C772" s="194" t="str">
        <x:v>млин</x:v>
      </x:c>
      <x:c r="D772" s="195" t="str">
        <x:v>Пристрій для подрібнення таких речовин, як зерно, насіння тощо (деякі малі та прості, а інші великі та складні).</x:v>
      </x:c>
      <x:c r="E772" s="192" t="str">
        <x:v>Oxford C1</x:v>
      </x:c>
      <x:c r="F772" s="192" t="str">
        <x:v>Core</x:v>
      </x:c>
      <x:c r="G772" s="192" t="str">
        <x:v>Not Started</x:v>
      </x:c>
      <x:c r="H772" s="192" t="n">
        <x:v>0</x:v>
      </x:c>
    </x:row>
    <x:row r="773" ht="56" customHeight="1">
      <x:c r="A773" s="192" t="str">
        <x:v>minimal</x:v>
      </x:c>
      <x:c r="B773" s="192" t="str">
        <x:v>adj.</x:v>
      </x:c>
      <x:c r="C773" s="194" t="str">
        <x:v>мінімальний</x:v>
      </x:c>
      <x:c r="D773" s="195" t="str">
        <x:v>Найменша можлива сума, кількість або ступінь.</x:v>
      </x:c>
      <x:c r="E773" s="192" t="str">
        <x:v>Oxford C1 + AWL 9</x:v>
      </x:c>
      <x:c r="F773" s="192" t="str">
        <x:v>High</x:v>
      </x:c>
      <x:c r="G773" s="192" t="str">
        <x:v>Not Started</x:v>
      </x:c>
      <x:c r="H773" s="192" t="n">
        <x:v>0</x:v>
      </x:c>
    </x:row>
    <x:row r="774" ht="56" customHeight="1">
      <x:c r="A774" s="192" t="str">
        <x:v>minimize</x:v>
      </x:c>
      <x:c r="B774" s="192" t="str">
        <x:v>v.</x:v>
      </x:c>
      <x:c r="C774" s="194" t="str">
        <x:v>мінімізувати</x:v>
      </x:c>
      <x:c r="D774" s="195" t="str">
        <x:v>Зробити (щось) менше або якомога менше; скорочуватися; зменшити.</x:v>
      </x:c>
      <x:c r="E774" s="192" t="str">
        <x:v>Oxford C1</x:v>
      </x:c>
      <x:c r="F774" s="192" t="str">
        <x:v>Core</x:v>
      </x:c>
      <x:c r="G774" s="192" t="str">
        <x:v>Not Started</x:v>
      </x:c>
      <x:c r="H774" s="192" t="n">
        <x:v>0</x:v>
      </x:c>
    </x:row>
    <x:row r="775" ht="56" customHeight="1">
      <x:c r="A775" s="192" t="str">
        <x:v>mining</x:v>
      </x:c>
      <x:c r="B775" s="192" t="str">
        <x:v>n.</x:v>
      </x:c>
      <x:c r="C775" s="194" t="str">
        <x:v>видобуток</x:v>
      </x:c>
      <x:c r="D775" s="195" t="str">
        <x:v>Діяльність із вилучення цінних ресурсів (часто мінералів) із землі.</x:v>
      </x:c>
      <x:c r="E775" s="192" t="str">
        <x:v>Oxford C1</x:v>
      </x:c>
      <x:c r="F775" s="192" t="str">
        <x:v>Core</x:v>
      </x:c>
      <x:c r="G775" s="192" t="str">
        <x:v>Not Started</x:v>
      </x:c>
      <x:c r="H775" s="192" t="n">
        <x:v>0</x:v>
      </x:c>
    </x:row>
    <x:row r="776" ht="56" customHeight="1">
      <x:c r="A776" s="192" t="str">
        <x:v>ministry</x:v>
      </x:c>
      <x:c r="B776" s="192" t="str">
        <x:v>n.</x:v>
      </x:c>
      <x:c r="C776" s="194" t="str">
        <x:v>міністерство</x:v>
      </x:c>
      <x:c r="D776" s="195" t="str">
        <x:v>Урядовий департамент, який на адміністративному рівні зазвичай очолює міністр (або еквівалентний ранг, наприклад, державний секретар), який тримає його як портфель, особливо в конституційній монархії, але також як державни...</x:v>
      </x:c>
      <x:c r="E776" s="192" t="str">
        <x:v>Oxford C1 + AWL 6</x:v>
      </x:c>
      <x:c r="F776" s="192" t="str">
        <x:v>High</x:v>
      </x:c>
      <x:c r="G776" s="192" t="str">
        <x:v>Not Started</x:v>
      </x:c>
      <x:c r="H776" s="192" t="n">
        <x:v>0</x:v>
      </x:c>
    </x:row>
    <x:row r="777" ht="56" customHeight="1">
      <x:c r="A777" s="192" t="str">
        <x:v>minute2</x:v>
      </x:c>
      <x:c r="B777" s="192" t="str">
        <x:v>adj.</x:v>
      </x:c>
      <x:c r="C777" s="194" t="str">
        <x:v>крихітний; надзвичайно малий</x:v>
      </x:c>
      <x:c r="D777" s="195" t="str">
        <x:v>Надзвичайно малий за розміром або незначний за кількістю.</x:v>
      </x:c>
      <x:c r="E777" s="192" t="str">
        <x:v>Oxford C1</x:v>
      </x:c>
      <x:c r="F777" s="192" t="str">
        <x:v>Core</x:v>
      </x:c>
      <x:c r="G777" s="192" t="str">
        <x:v>Not Started</x:v>
      </x:c>
      <x:c r="H777" s="192" t="n">
        <x:v>0</x:v>
      </x:c>
    </x:row>
    <x:row r="778" ht="56" customHeight="1">
      <x:c r="A778" s="192" t="str">
        <x:v>miracle</x:v>
      </x:c>
      <x:c r="B778" s="192" t="str">
        <x:v>n.</x:v>
      </x:c>
      <x:c r="C778" s="194" t="str">
        <x:v>чудо</x:v>
      </x:c>
      <x:c r="D778" s="195" t="str">
        <x:v>Подія, яка здається незрозумілою за законами природи і тому вважається надприродною за походженням.</x:v>
      </x:c>
      <x:c r="E778" s="192" t="str">
        <x:v>Oxford C1</x:v>
      </x:c>
      <x:c r="F778" s="192" t="str">
        <x:v>Core</x:v>
      </x:c>
      <x:c r="G778" s="192" t="str">
        <x:v>Not Started</x:v>
      </x:c>
      <x:c r="H778" s="192" t="n">
        <x:v>0</x:v>
      </x:c>
    </x:row>
    <x:row r="779" ht="56" customHeight="1">
      <x:c r="A779" s="192" t="str">
        <x:v>misery</x:v>
      </x:c>
      <x:c r="B779" s="192" t="str">
        <x:v>n.</x:v>
      </x:c>
      <x:c r="C779" s="194" t="str">
        <x:v>страждання</x:v>
      </x:c>
      <x:c r="D779" s="195" t="str">
        <x:v>Велике нещастя; сильний біль тіла або розуму; убогість; дистрес; горе.</x:v>
      </x:c>
      <x:c r="E779" s="192" t="str">
        <x:v>Oxford C1</x:v>
      </x:c>
      <x:c r="F779" s="192" t="str">
        <x:v>Core</x:v>
      </x:c>
      <x:c r="G779" s="192" t="str">
        <x:v>Not Started</x:v>
      </x:c>
      <x:c r="H779" s="192" t="n">
        <x:v>0</x:v>
      </x:c>
    </x:row>
    <x:row r="780" ht="56" customHeight="1">
      <x:c r="A780" s="192" t="str">
        <x:v>misleading</x:v>
      </x:c>
      <x:c r="B780" s="192" t="str">
        <x:v>adj.</x:v>
      </x:c>
      <x:c r="C780" s="194" t="str">
        <x:v>оманливий</x:v>
      </x:c>
      <x:c r="D780" s="195" t="str">
        <x:v>Оманливий або схильний вводити в оману чи створювати хибне враження, навіть якщо технічно відповідає дійсності.</x:v>
      </x:c>
      <x:c r="E780" s="192" t="str">
        <x:v>Oxford C1</x:v>
      </x:c>
      <x:c r="F780" s="192" t="str">
        <x:v>Core</x:v>
      </x:c>
      <x:c r="G780" s="192" t="str">
        <x:v>Not Started</x:v>
      </x:c>
      <x:c r="H780" s="192" t="n">
        <x:v>0</x:v>
      </x:c>
    </x:row>
    <x:row r="781" ht="56" customHeight="1">
      <x:c r="A781" s="192" t="str">
        <x:v>missile</x:v>
      </x:c>
      <x:c r="B781" s="192" t="str">
        <x:v>n.</x:v>
      </x:c>
      <x:c r="C781" s="194" t="str">
        <x:v>ракета</x:v>
      </x:c>
      <x:c r="D781" s="195" t="str">
        <x:v>Самохідний снаряд, траєкторію якого можна регулювати після пуску. [з 20 ст.]</x:v>
      </x:c>
      <x:c r="E781" s="192" t="str">
        <x:v>Oxford C1</x:v>
      </x:c>
      <x:c r="F781" s="192" t="str">
        <x:v>Core</x:v>
      </x:c>
      <x:c r="G781" s="192" t="str">
        <x:v>Not Started</x:v>
      </x:c>
      <x:c r="H781" s="192" t="n">
        <x:v>0</x:v>
      </x:c>
    </x:row>
    <x:row r="782" ht="56" customHeight="1">
      <x:c r="A782" s="192" t="str">
        <x:v>mob</x:v>
      </x:c>
      <x:c r="B782" s="192" t="str">
        <x:v>n.</x:v>
      </x:c>
      <x:c r="C782" s="194" t="str">
        <x:v>моб</x:v>
      </x:c>
      <x:c r="D782" s="195" t="str">
        <x:v>Велика або безладна група людей; особливо той, хто налаштований на бунт або деструктивні дії.</x:v>
      </x:c>
      <x:c r="E782" s="192" t="str">
        <x:v>Oxford C1</x:v>
      </x:c>
      <x:c r="F782" s="192" t="str">
        <x:v>Core</x:v>
      </x:c>
      <x:c r="G782" s="192" t="str">
        <x:v>Not Started</x:v>
      </x:c>
      <x:c r="H782" s="192" t="n">
        <x:v>0</x:v>
      </x:c>
    </x:row>
    <x:row r="783" ht="56" customHeight="1">
      <x:c r="A783" s="192" t="str">
        <x:v>mobility</x:v>
      </x:c>
      <x:c r="B783" s="192" t="str">
        <x:v>n.</x:v>
      </x:c>
      <x:c r="C783" s="194" t="str">
        <x:v>мобільність</x:v>
      </x:c>
      <x:c r="D783" s="195" t="str">
        <x:v>Здатність до пересування; здатність до руху.</x:v>
      </x:c>
      <x:c r="E783" s="192" t="str">
        <x:v>Oxford C1</x:v>
      </x:c>
      <x:c r="F783" s="192" t="str">
        <x:v>Core</x:v>
      </x:c>
      <x:c r="G783" s="192" t="str">
        <x:v>Not Started</x:v>
      </x:c>
      <x:c r="H783" s="192" t="n">
        <x:v>0</x:v>
      </x:c>
    </x:row>
    <x:row r="784" ht="56" customHeight="1">
      <x:c r="A784" s="192" t="str">
        <x:v>mobilize</x:v>
      </x:c>
      <x:c r="B784" s="192" t="str">
        <x:v>v.</x:v>
      </x:c>
      <x:c r="C784" s="194" t="str">
        <x:v>мобілізувати</x:v>
      </x:c>
      <x:c r="D784" s="195" t="str">
        <x:v>Скоординовано зібрати війська та їхню техніку, щоб бути готовими до війни.</x:v>
      </x:c>
      <x:c r="E784" s="192" t="str">
        <x:v>Oxford C1</x:v>
      </x:c>
      <x:c r="F784" s="192" t="str">
        <x:v>Core</x:v>
      </x:c>
      <x:c r="G784" s="192" t="str">
        <x:v>Not Started</x:v>
      </x:c>
      <x:c r="H784" s="192" t="n">
        <x:v>0</x:v>
      </x:c>
    </x:row>
    <x:row r="785" ht="56" customHeight="1">
      <x:c r="A785" s="192" t="str">
        <x:v>moderate</x:v>
      </x:c>
      <x:c r="B785" s="192" t="str">
        <x:v>adj.</x:v>
      </x:c>
      <x:c r="C785" s="194" t="str">
        <x:v>помірний</x:v>
      </x:c>
      <x:c r="D785" s="195" t="str">
        <x:v>Не надмірна; діючи помірковано</x:v>
      </x:c>
      <x:c r="E785" s="192" t="str">
        <x:v>Oxford C1</x:v>
      </x:c>
      <x:c r="F785" s="192" t="str">
        <x:v>Core</x:v>
      </x:c>
      <x:c r="G785" s="192" t="str">
        <x:v>Not Started</x:v>
      </x:c>
      <x:c r="H785" s="192" t="n">
        <x:v>0</x:v>
      </x:c>
    </x:row>
    <x:row r="786" ht="56" customHeight="1">
      <x:c r="A786" s="192" t="str">
        <x:v>modification</x:v>
      </x:c>
      <x:c r="B786" s="192" t="str">
        <x:v>n.</x:v>
      </x:c>
      <x:c r="C786" s="194" t="str">
        <x:v>модифікація</x:v>
      </x:c>
      <x:c r="D786" s="195" t="str">
        <x:v>Результат модифікації чогось; нову або змінену форму.</x:v>
      </x:c>
      <x:c r="E786" s="192" t="str">
        <x:v>Oxford C1</x:v>
      </x:c>
      <x:c r="F786" s="192" t="str">
        <x:v>Core</x:v>
      </x:c>
      <x:c r="G786" s="192" t="str">
        <x:v>Not Started</x:v>
      </x:c>
      <x:c r="H786" s="192" t="n">
        <x:v>0</x:v>
      </x:c>
    </x:row>
    <x:row r="787" ht="56" customHeight="1">
      <x:c r="A787" s="192" t="str">
        <x:v>momentum</x:v>
      </x:c>
      <x:c r="B787" s="192" t="str">
        <x:v>n.</x:v>
      </x:c>
      <x:c r="C787" s="194" t="str">
        <x:v>імпульс</x:v>
      </x:c>
      <x:c r="D787" s="195" t="str">
        <x:v>Про тіло в русі: прагнення тіла зберігати свій рух за інерцією; добуток його маси на швидкість або векторну суму добутків його мас і швидкостей.</x:v>
      </x:c>
      <x:c r="E787" s="192" t="str">
        <x:v>Oxford C1</x:v>
      </x:c>
      <x:c r="F787" s="192" t="str">
        <x:v>Core</x:v>
      </x:c>
      <x:c r="G787" s="192" t="str">
        <x:v>Not Started</x:v>
      </x:c>
      <x:c r="H787" s="192" t="n">
        <x:v>0</x:v>
      </x:c>
    </x:row>
    <x:row r="788" ht="56" customHeight="1">
      <x:c r="A788" s="192" t="str">
        <x:v>monk</x:v>
      </x:c>
      <x:c r="B788" s="192" t="str">
        <x:v>n.</x:v>
      </x:c>
      <x:c r="C788" s="194" t="str">
        <x:v>чернець</x:v>
      </x:c>
      <x:c r="D788" s="195" t="str">
        <x:v>Чоловічий член чернечого ордену, який присвятив своє життя релігійному служінню.</x:v>
      </x:c>
      <x:c r="E788" s="192" t="str">
        <x:v>Oxford C1</x:v>
      </x:c>
      <x:c r="F788" s="192" t="str">
        <x:v>Core</x:v>
      </x:c>
      <x:c r="G788" s="192" t="str">
        <x:v>Not Started</x:v>
      </x:c>
      <x:c r="H788" s="192" t="n">
        <x:v>0</x:v>
      </x:c>
    </x:row>
    <x:row r="789" ht="56" customHeight="1">
      <x:c r="A789" s="192" t="str">
        <x:v>monopoly</x:v>
      </x:c>
      <x:c r="B789" s="192" t="str">
        <x:v>n.</x:v>
      </x:c>
      <x:c r="C789" s="194" t="str">
        <x:v>монополія</x:v>
      </x:c>
      <x:c r="D789" s="195" t="str">
        <x:v>Ситуація, згідно з юридичним привілеєм або іншою угодою, в якій лише одна сторона (компанія, картель тощо) виключно надає певний продукт чи послугу, домінуючи на цьому ринку та загалом здійснюючи потужний контроль...</x:v>
      </x:c>
      <x:c r="E789" s="192" t="str">
        <x:v>Oxford C1</x:v>
      </x:c>
      <x:c r="F789" s="192" t="str">
        <x:v>Core</x:v>
      </x:c>
      <x:c r="G789" s="192" t="str">
        <x:v>Not Started</x:v>
      </x:c>
      <x:c r="H789" s="192" t="n">
        <x:v>0</x:v>
      </x:c>
    </x:row>
    <x:row r="790" ht="56" customHeight="1">
      <x:c r="A790" s="192" t="str">
        <x:v>morality</x:v>
      </x:c>
      <x:c r="B790" s="192" t="str">
        <x:v>n.</x:v>
      </x:c>
      <x:c r="C790" s="194" t="str">
        <x:v>мораль</x:v>
      </x:c>
      <x:c r="D790" s="195" t="str">
        <x:v>Визнання різниці між добром і злом або між правильним і неправильним; повага і дотримання правил правильної поведінки;</x:v>
      </x:c>
      <x:c r="E790" s="192" t="str">
        <x:v>Oxford C1</x:v>
      </x:c>
      <x:c r="F790" s="192" t="str">
        <x:v>Core</x:v>
      </x:c>
      <x:c r="G790" s="192" t="str">
        <x:v>Not Started</x:v>
      </x:c>
      <x:c r="H790" s="192" t="n">
        <x:v>0</x:v>
      </x:c>
    </x:row>
    <x:row r="791" ht="56" customHeight="1">
      <x:c r="A791" s="192" t="str">
        <x:v>motive</x:v>
      </x:c>
      <x:c r="B791" s="192" t="str">
        <x:v>n.</x:v>
      </x:c>
      <x:c r="C791" s="194" t="str">
        <x:v>мотив</x:v>
      </x:c>
      <x:c r="D791" s="195" t="str">
        <x:v>Стимул діяти певним чином; причина або емоція, яка спонукає щось зробити; все, що спонукає до вибору дії.</x:v>
      </x:c>
      <x:c r="E791" s="192" t="str">
        <x:v>Oxford C1</x:v>
      </x:c>
      <x:c r="F791" s="192" t="str">
        <x:v>Core</x:v>
      </x:c>
      <x:c r="G791" s="192" t="str">
        <x:v>Not Started</x:v>
      </x:c>
      <x:c r="H791" s="192" t="n">
        <x:v>0</x:v>
      </x:c>
    </x:row>
    <x:row r="792" ht="56" customHeight="1">
      <x:c r="A792" s="192" t="str">
        <x:v>motorist</x:v>
      </x:c>
      <x:c r="B792" s="192" t="str">
        <x:v>n.</x:v>
      </x:c>
      <x:c r="C792" s="194" t="str">
        <x:v>автомобіліст</x:v>
      </x:c>
      <x:c r="D792" s="195" t="str">
        <x:v>Той, хто керує транспортним засобом.</x:v>
      </x:c>
      <x:c r="E792" s="192" t="str">
        <x:v>Oxford C1</x:v>
      </x:c>
      <x:c r="F792" s="192" t="str">
        <x:v>Core</x:v>
      </x:c>
      <x:c r="G792" s="192" t="str">
        <x:v>Not Started</x:v>
      </x:c>
      <x:c r="H792" s="192" t="n">
        <x:v>0</x:v>
      </x:c>
    </x:row>
    <x:row r="793" ht="56" customHeight="1">
      <x:c r="A793" s="192" t="str">
        <x:v>municipal</x:v>
      </x:c>
      <x:c r="B793" s="192" t="str">
        <x:v>adj.</x:v>
      </x:c>
      <x:c r="C793" s="194" t="str">
        <x:v>муніципальний</x:v>
      </x:c>
      <x:c r="D793" s="195" t="str">
        <x:v>Муніципалітет або пов’язаний з муніципалітетом (місто чи корпорація, яка має право керувати місцевим урядом).</x:v>
      </x:c>
      <x:c r="E793" s="192" t="str">
        <x:v>Oxford C1</x:v>
      </x:c>
      <x:c r="F793" s="192" t="str">
        <x:v>Core</x:v>
      </x:c>
      <x:c r="G793" s="192" t="str">
        <x:v>Not Started</x:v>
      </x:c>
      <x:c r="H793" s="192" t="n">
        <x:v>0</x:v>
      </x:c>
    </x:row>
    <x:row r="794" ht="56" customHeight="1">
      <x:c r="A794" s="192" t="str">
        <x:v>mutual</x:v>
      </x:c>
      <x:c r="B794" s="192" t="str">
        <x:v>adj.</x:v>
      </x:c>
      <x:c r="C794" s="194" t="str">
        <x:v>взаємний</x:v>
      </x:c>
      <x:c r="D794" s="195" t="str">
        <x:v>Маючи однакові відносини, один до одного.</x:v>
      </x:c>
      <x:c r="E794" s="192" t="str">
        <x:v>Oxford C1 + AWL 9</x:v>
      </x:c>
      <x:c r="F794" s="192" t="str">
        <x:v>High</x:v>
      </x:c>
      <x:c r="G794" s="192" t="str">
        <x:v>Not Started</x:v>
      </x:c>
      <x:c r="H794" s="192" t="n">
        <x:v>0</x:v>
      </x:c>
    </x:row>
    <x:row r="795" ht="56" customHeight="1">
      <x:c r="A795" s="192" t="str">
        <x:v>namely</x:v>
      </x:c>
      <x:c r="B795" s="192" t="str">
        <x:v>adv.</x:v>
      </x:c>
      <x:c r="C795" s="194" t="str">
        <x:v>а саме</x:v>
      </x:c>
      <x:c r="D795" s="195" t="str">
        <x:v>Зокрема; тобто.</x:v>
      </x:c>
      <x:c r="E795" s="192" t="str">
        <x:v>Oxford C1</x:v>
      </x:c>
      <x:c r="F795" s="192" t="str">
        <x:v>Core</x:v>
      </x:c>
      <x:c r="G795" s="192" t="str">
        <x:v>Not Started</x:v>
      </x:c>
      <x:c r="H795" s="192" t="n">
        <x:v>0</x:v>
      </x:c>
    </x:row>
    <x:row r="796" ht="56" customHeight="1">
      <x:c r="A796" s="192" t="str">
        <x:v>nationwide</x:v>
      </x:c>
      <x:c r="B796" s="192" t="str">
        <x:v>adj.</x:v>
      </x:c>
      <x:c r="C796" s="194" t="str">
        <x:v>загальнонаціональний</x:v>
      </x:c>
      <x:c r="D796" s="195" t="str">
        <x:v>Поширюється на всю націю.</x:v>
      </x:c>
      <x:c r="E796" s="192" t="str">
        <x:v>Oxford C1</x:v>
      </x:c>
      <x:c r="F796" s="192" t="str">
        <x:v>Core</x:v>
      </x:c>
      <x:c r="G796" s="192" t="str">
        <x:v>Not Started</x:v>
      </x:c>
      <x:c r="H796" s="192" t="n">
        <x:v>0</x:v>
      </x:c>
    </x:row>
    <x:row r="797" ht="56" customHeight="1">
      <x:c r="A797" s="192" t="str">
        <x:v>naval</x:v>
      </x:c>
      <x:c r="B797" s="192" t="str">
        <x:v>adj.</x:v>
      </x:c>
      <x:c r="C797" s="194" t="str">
        <x:v>морський</x:v>
      </x:c>
      <x:c r="D797" s="195" t="str">
        <x:v>Що стосується військово-морського флоту.</x:v>
      </x:c>
      <x:c r="E797" s="192" t="str">
        <x:v>Oxford C1</x:v>
      </x:c>
      <x:c r="F797" s="192" t="str">
        <x:v>Core</x:v>
      </x:c>
      <x:c r="G797" s="192" t="str">
        <x:v>Not Started</x:v>
      </x:c>
      <x:c r="H797" s="192" t="n">
        <x:v>0</x:v>
      </x:c>
    </x:row>
    <x:row r="798" ht="56" customHeight="1">
      <x:c r="A798" s="192" t="str">
        <x:v>neglect</x:v>
      </x:c>
      <x:c r="B798" s="192" t="str">
        <x:v>v., n.</x:v>
      </x:c>
      <x:c r="C798" s="194" t="str">
        <x:v>нехтувати</x:v>
      </x:c>
      <x:c r="D798" s="195" t="str">
        <x:v>Не дбати про щось або не звертати уваги.</x:v>
      </x:c>
      <x:c r="E798" s="192" t="str">
        <x:v>Oxford C1</x:v>
      </x:c>
      <x:c r="F798" s="192" t="str">
        <x:v>Core</x:v>
      </x:c>
      <x:c r="G798" s="192" t="str">
        <x:v>Not Started</x:v>
      </x:c>
      <x:c r="H798" s="192" t="n">
        <x:v>0</x:v>
      </x:c>
    </x:row>
    <x:row r="799" ht="56" customHeight="1">
      <x:c r="A799" s="192" t="str">
        <x:v>neighbouring</x:v>
      </x:c>
      <x:c r="B799" s="192" t="str">
        <x:v>adj.</x:v>
      </x:c>
      <x:c r="C799" s="194" t="str">
        <x:v>сусідній</x:v>
      </x:c>
      <x:c r="D799" s="195" t="str">
        <x:v>Розташований поруч або поблизу іншого місця чи території.</x:v>
      </x:c>
      <x:c r="E799" s="192" t="str">
        <x:v>Oxford C1</x:v>
      </x:c>
      <x:c r="F799" s="192" t="str">
        <x:v>Core</x:v>
      </x:c>
      <x:c r="G799" s="192" t="str">
        <x:v>Not Started</x:v>
      </x:c>
      <x:c r="H799" s="192" t="n">
        <x:v>0</x:v>
      </x:c>
    </x:row>
    <x:row r="800" ht="56" customHeight="1">
      <x:c r="A800" s="192" t="str">
        <x:v>nest</x:v>
      </x:c>
      <x:c r="B800" s="192" t="str">
        <x:v>n.</x:v>
      </x:c>
      <x:c r="C800" s="194" t="str">
        <x:v>гніздо</x:v>
      </x:c>
      <x:c r="D800" s="195" t="str">
        <x:v>Споруда, побудована птахом як місце для висиджування яєць і вирощування молодняку.</x:v>
      </x:c>
      <x:c r="E800" s="192" t="str">
        <x:v>Oxford C1</x:v>
      </x:c>
      <x:c r="F800" s="192" t="str">
        <x:v>Core</x:v>
      </x:c>
      <x:c r="G800" s="192" t="str">
        <x:v>Not Started</x:v>
      </x:c>
      <x:c r="H800" s="192" t="n">
        <x:v>0</x:v>
      </x:c>
    </x:row>
    <x:row r="801" ht="56" customHeight="1">
      <x:c r="A801" s="192" t="str">
        <x:v>net</x:v>
      </x:c>
      <x:c r="B801" s="192" t="str">
        <x:v>adj.</x:v>
      </x:c>
      <x:c r="C801" s="194" t="str">
        <x:v>чистий</x:v>
      </x:c>
      <x:c r="D801" s="195" t="str">
        <x:v>Залишок після витрат або відрахувань.</x:v>
      </x:c>
      <x:c r="E801" s="192" t="str">
        <x:v>Oxford C1</x:v>
      </x:c>
      <x:c r="F801" s="192" t="str">
        <x:v>Core</x:v>
      </x:c>
      <x:c r="G801" s="192" t="str">
        <x:v>Not Started</x:v>
      </x:c>
      <x:c r="H801" s="192" t="n">
        <x:v>0</x:v>
      </x:c>
    </x:row>
    <x:row r="802" ht="56" customHeight="1">
      <x:c r="A802" s="192" t="str">
        <x:v>newsletter</x:v>
      </x:c>
      <x:c r="B802" s="192" t="str">
        <x:v>n.</x:v>
      </x:c>
      <x:c r="C802" s="194" t="str">
        <x:v>бюлетень</x:v>
      </x:c>
      <x:c r="D802" s="195" t="str">
        <x:v>Публікація, що періодично надсилається та містить інформацію про поточні події тощо, як правило, на певну тему або орієнтована на обмежену аудиторію.</x:v>
      </x:c>
      <x:c r="E802" s="192" t="str">
        <x:v>Oxford C1</x:v>
      </x:c>
      <x:c r="F802" s="192" t="str">
        <x:v>Core</x:v>
      </x:c>
      <x:c r="G802" s="192" t="str">
        <x:v>Not Started</x:v>
      </x:c>
      <x:c r="H802" s="192" t="n">
        <x:v>0</x:v>
      </x:c>
    </x:row>
    <x:row r="803" ht="56" customHeight="1">
      <x:c r="A803" s="192" t="str">
        <x:v>niche</x:v>
      </x:c>
      <x:c r="B803" s="192" t="str">
        <x:v>n.</x:v>
      </x:c>
      <x:c r="C803" s="194" t="str">
        <x:v>ніша</x:v>
      </x:c>
      <x:c r="D803" s="195" t="str">
        <x:v>Будь-яка позиція можливостей, для якої вона добре підходить, наприклад певний ринок у бізнесі.</x:v>
      </x:c>
      <x:c r="E803" s="192" t="str">
        <x:v>Oxford C1</x:v>
      </x:c>
      <x:c r="F803" s="192" t="str">
        <x:v>Core</x:v>
      </x:c>
      <x:c r="G803" s="192" t="str">
        <x:v>Not Started</x:v>
      </x:c>
      <x:c r="H803" s="192" t="n">
        <x:v>0</x:v>
      </x:c>
    </x:row>
    <x:row r="804" ht="56" customHeight="1">
      <x:c r="A804" s="192" t="str">
        <x:v>noble</x:v>
      </x:c>
      <x:c r="B804" s="192" t="str">
        <x:v>adj.</x:v>
      </x:c>
      <x:c r="C804" s="194" t="str">
        <x:v>благородний</x:v>
      </x:c>
      <x:c r="D804" s="195" t="str">
        <x:v>Наявність почесних якостей; мати моральну висоту та свободу від будь-чого дрібного, підлого чи сумнівного в поведінці та характері.</x:v>
      </x:c>
      <x:c r="E804" s="192" t="str">
        <x:v>Oxford C1</x:v>
      </x:c>
      <x:c r="F804" s="192" t="str">
        <x:v>Core</x:v>
      </x:c>
      <x:c r="G804" s="192" t="str">
        <x:v>Not Started</x:v>
      </x:c>
      <x:c r="H804" s="192" t="n">
        <x:v>0</x:v>
      </x:c>
    </x:row>
    <x:row r="805" ht="56" customHeight="1">
      <x:c r="A805" s="192" t="str">
        <x:v>nod</x:v>
      </x:c>
      <x:c r="B805" s="192" t="str">
        <x:v>v.</x:v>
      </x:c>
      <x:c r="C805" s="194" t="str">
        <x:v>кивати</x:v>
      </x:c>
      <x:c r="D805" s="195" t="str">
        <x:v>Нахилити голову вгору-вниз, щоб показати згоду.</x:v>
      </x:c>
      <x:c r="E805" s="192" t="str">
        <x:v>Oxford C1</x:v>
      </x:c>
      <x:c r="F805" s="192" t="str">
        <x:v>Core</x:v>
      </x:c>
      <x:c r="G805" s="192" t="str">
        <x:v>Not Started</x:v>
      </x:c>
      <x:c r="H805" s="192" t="n">
        <x:v>0</x:v>
      </x:c>
    </x:row>
    <x:row r="806" ht="56" customHeight="1">
      <x:c r="A806" s="192" t="str">
        <x:v>nominate</x:v>
      </x:c>
      <x:c r="B806" s="192" t="str">
        <x:v>v.</x:v>
      </x:c>
      <x:c r="C806" s="194" t="str">
        <x:v>номінувати</x:v>
      </x:c>
      <x:c r="D806" s="195" t="str">
        <x:v>Назвати когось кандидатом на певну роль або посаду, включно з посадою.</x:v>
      </x:c>
      <x:c r="E806" s="192" t="str">
        <x:v>Oxford C1</x:v>
      </x:c>
      <x:c r="F806" s="192" t="str">
        <x:v>Core</x:v>
      </x:c>
      <x:c r="G806" s="192" t="str">
        <x:v>Not Started</x:v>
      </x:c>
      <x:c r="H806" s="192" t="n">
        <x:v>0</x:v>
      </x:c>
    </x:row>
    <x:row r="807" ht="56" customHeight="1">
      <x:c r="A807" s="192" t="str">
        <x:v>nomination</x:v>
      </x:c>
      <x:c r="B807" s="192" t="str">
        <x:v>n.</x:v>
      </x:c>
      <x:c r="C807" s="194" t="str">
        <x:v>номінація</x:v>
      </x:c>
      <x:c r="D807" s="195" t="str">
        <x:v>Результатом такої номінації акт.</x:v>
      </x:c>
      <x:c r="E807" s="192" t="str">
        <x:v>Oxford C1</x:v>
      </x:c>
      <x:c r="F807" s="192" t="str">
        <x:v>Core</x:v>
      </x:c>
      <x:c r="G807" s="192" t="str">
        <x:v>Not Started</x:v>
      </x:c>
      <x:c r="H807" s="192" t="n">
        <x:v>0</x:v>
      </x:c>
    </x:row>
    <x:row r="808" ht="56" customHeight="1">
      <x:c r="A808" s="192" t="str">
        <x:v>nominee</x:v>
      </x:c>
      <x:c r="B808" s="192" t="str">
        <x:v>n.</x:v>
      </x:c>
      <x:c r="C808" s="194" t="str">
        <x:v>номінант</x:v>
      </x:c>
      <x:c r="D808" s="195" t="str">
        <x:v>Особа, названа чи призначена іншою особою на будь-яку посаду, обов’язок чи посаду; один, висунутий або запропонований іншими на посаду або для обрання на посаду.</x:v>
      </x:c>
      <x:c r="E808" s="192" t="str">
        <x:v>Oxford C1</x:v>
      </x:c>
      <x:c r="F808" s="192" t="str">
        <x:v>Core</x:v>
      </x:c>
      <x:c r="G808" s="192" t="str">
        <x:v>Not Started</x:v>
      </x:c>
      <x:c r="H808" s="192" t="n">
        <x:v>0</x:v>
      </x:c>
    </x:row>
    <x:row r="809" ht="56" customHeight="1">
      <x:c r="A809" s="192" t="str">
        <x:v>nonetheless</x:v>
      </x:c>
      <x:c r="B809" s="192" t="str">
        <x:v>adv.</x:v>
      </x:c>
      <x:c r="C809" s="194" t="str">
        <x:v>тим не менше</x:v>
      </x:c>
      <x:c r="D809" s="195" t="str">
        <x:v>Тим не менш.</x:v>
      </x:c>
      <x:c r="E809" s="192" t="str">
        <x:v>Oxford C1 + AWL 10</x:v>
      </x:c>
      <x:c r="F809" s="192" t="str">
        <x:v>High</x:v>
      </x:c>
      <x:c r="G809" s="192" t="str">
        <x:v>Not Started</x:v>
      </x:c>
      <x:c r="H809" s="192" t="n">
        <x:v>0</x:v>
      </x:c>
    </x:row>
    <x:row r="810" ht="56" customHeight="1">
      <x:c r="A810" s="192" t="str">
        <x:v>non-profit</x:v>
      </x:c>
      <x:c r="B810" s="192" t="str">
        <x:v>adj.</x:v>
      </x:c>
      <x:c r="C810" s="194" t="str">
        <x:v>неприбутковий</x:v>
      </x:c>
      <x:c r="D810" s="195" t="str">
        <x:v>Організація або діяльність, основною метою якої не є отримання прибутку.</x:v>
      </x:c>
      <x:c r="E810" s="192" t="str">
        <x:v>Oxford C1</x:v>
      </x:c>
      <x:c r="F810" s="192" t="str">
        <x:v>Core</x:v>
      </x:c>
      <x:c r="G810" s="192" t="str">
        <x:v>Not Started</x:v>
      </x:c>
      <x:c r="H810" s="192" t="n">
        <x:v>0</x:v>
      </x:c>
    </x:row>
    <x:row r="811" ht="56" customHeight="1">
      <x:c r="A811" s="192" t="str">
        <x:v>nonsense</x:v>
      </x:c>
      <x:c r="B811" s="192" t="str">
        <x:v>n.</x:v>
      </x:c>
      <x:c r="C811" s="194" t="str">
        <x:v>нісенітниця</x:v>
      </x:c>
      <x:c r="D811" s="195" t="str">
        <x:v>Те, що є дурним, нелогічним і позбавленим будь-якого сенсу, причини чи цінності; те, що не має сенсу.</x:v>
      </x:c>
      <x:c r="E811" s="192" t="str">
        <x:v>Oxford C1</x:v>
      </x:c>
      <x:c r="F811" s="192" t="str">
        <x:v>Core</x:v>
      </x:c>
      <x:c r="G811" s="192" t="str">
        <x:v>Not Started</x:v>
      </x:c>
      <x:c r="H811" s="192" t="n">
        <x:v>0</x:v>
      </x:c>
    </x:row>
    <x:row r="812" ht="56" customHeight="1">
      <x:c r="A812" s="192" t="str">
        <x:v>noon</x:v>
      </x:c>
      <x:c r="B812" s="192" t="str">
        <x:v>n.</x:v>
      </x:c>
      <x:c r="C812" s="194" t="str">
        <x:v>полудень</x:v>
      </x:c>
      <x:c r="D812" s="195" t="str">
        <x:v>Час доби, коли здається, що Сонце досягає найвищої точки на небі; сонячний полудень.</x:v>
      </x:c>
      <x:c r="E812" s="192" t="str">
        <x:v>Oxford C1</x:v>
      </x:c>
      <x:c r="F812" s="192" t="str">
        <x:v>Core</x:v>
      </x:c>
      <x:c r="G812" s="192" t="str">
        <x:v>Not Started</x:v>
      </x:c>
      <x:c r="H812" s="192" t="n">
        <x:v>0</x:v>
      </x:c>
    </x:row>
    <x:row r="813" ht="56" customHeight="1">
      <x:c r="A813" s="192" t="str">
        <x:v>notable</x:v>
      </x:c>
      <x:c r="B813" s="192" t="str">
        <x:v>adj.</x:v>
      </x:c>
      <x:c r="C813" s="194" t="str">
        <x:v>помітний</x:v>
      </x:c>
      <x:c r="D813" s="195" t="str">
        <x:v>Вартий уваги; чудовий; пам'ятний; відзначений або відзначений.</x:v>
      </x:c>
      <x:c r="E813" s="192" t="str">
        <x:v>Oxford C1</x:v>
      </x:c>
      <x:c r="F813" s="192" t="str">
        <x:v>Core</x:v>
      </x:c>
      <x:c r="G813" s="192" t="str">
        <x:v>Not Started</x:v>
      </x:c>
      <x:c r="H813" s="192" t="n">
        <x:v>0</x:v>
      </x:c>
    </x:row>
    <x:row r="814" ht="56" customHeight="1">
      <x:c r="A814" s="192" t="str">
        <x:v>notably</x:v>
      </x:c>
      <x:c r="B814" s="192" t="str">
        <x:v>adv.</x:v>
      </x:c>
      <x:c r="C814" s="194" t="str">
        <x:v>особливо</x:v>
      </x:c>
      <x:c r="D814" s="195" t="str">
        <x:v>Як яскравий приклад; помітним чином.</x:v>
      </x:c>
      <x:c r="E814" s="192" t="str">
        <x:v>Oxford C1</x:v>
      </x:c>
      <x:c r="F814" s="192" t="str">
        <x:v>Core</x:v>
      </x:c>
      <x:c r="G814" s="192" t="str">
        <x:v>Not Started</x:v>
      </x:c>
      <x:c r="H814" s="192" t="n">
        <x:v>0</x:v>
      </x:c>
    </x:row>
    <x:row r="815" ht="56" customHeight="1">
      <x:c r="A815" s="192" t="str">
        <x:v>notify</x:v>
      </x:c>
      <x:c r="B815" s="192" t="str">
        <x:v>v.</x:v>
      </x:c>
      <x:c r="C815" s="194" t="str">
        <x:v>повідомляти</x:v>
      </x:c>
      <x:c r="D815" s="195" t="str">
        <x:v>Повідомити (когось) (про якусь подію).</x:v>
      </x:c>
      <x:c r="E815" s="192" t="str">
        <x:v>Oxford C1</x:v>
      </x:c>
      <x:c r="F815" s="192" t="str">
        <x:v>Core</x:v>
      </x:c>
      <x:c r="G815" s="192" t="str">
        <x:v>Not Started</x:v>
      </x:c>
      <x:c r="H815" s="192" t="n">
        <x:v>0</x:v>
      </x:c>
    </x:row>
    <x:row r="816" ht="56" customHeight="1">
      <x:c r="A816" s="192" t="str">
        <x:v>notorious</x:v>
      </x:c>
      <x:c r="B816" s="192" t="str">
        <x:v>adj.</x:v>
      </x:c>
      <x:c r="C816" s="194" t="str">
        <x:v>горезвісний</x:v>
      </x:c>
      <x:c r="D816" s="195" t="str">
        <x:v>Про особу чи організацію: загально чи широко відома чимось негативним; сумно відомий.</x:v>
      </x:c>
      <x:c r="E816" s="192" t="str">
        <x:v>Oxford C1</x:v>
      </x:c>
      <x:c r="F816" s="192" t="str">
        <x:v>Core</x:v>
      </x:c>
      <x:c r="G816" s="192" t="str">
        <x:v>Not Started</x:v>
      </x:c>
      <x:c r="H816" s="192" t="n">
        <x:v>0</x:v>
      </x:c>
    </x:row>
    <x:row r="817" ht="56" customHeight="1">
      <x:c r="A817" s="192" t="str">
        <x:v>novel</x:v>
      </x:c>
      <x:c r="B817" s="192" t="str">
        <x:v>adj.</x:v>
      </x:c>
      <x:c r="C817" s="194" t="str">
        <x:v>роман</x:v>
      </x:c>
      <x:c r="D817" s="195" t="str">
        <x:v>Оригінальний, особливо в цікавій формі; новий і вражаючий; не типового чи звичайного типу.</x:v>
      </x:c>
      <x:c r="E817" s="192" t="str">
        <x:v>Oxford C1</x:v>
      </x:c>
      <x:c r="F817" s="192" t="str">
        <x:v>Core</x:v>
      </x:c>
      <x:c r="G817" s="192" t="str">
        <x:v>Not Started</x:v>
      </x:c>
      <x:c r="H817" s="192" t="n">
        <x:v>0</x:v>
      </x:c>
    </x:row>
    <x:row r="818" ht="56" customHeight="1">
      <x:c r="A818" s="192" t="str">
        <x:v>nursery</x:v>
      </x:c>
      <x:c r="B818" s="192" t="str">
        <x:v>n.</x:v>
      </x:c>
      <x:c r="C818" s="194" t="str">
        <x:v>розплідник</x:v>
      </x:c>
      <x:c r="D818" s="195" t="str">
        <x:v>Місце, де здійснюється годування («годування грудьми») або виховання дітей.</x:v>
      </x:c>
      <x:c r="E818" s="192" t="str">
        <x:v>Oxford C1</x:v>
      </x:c>
      <x:c r="F818" s="192" t="str">
        <x:v>Core</x:v>
      </x:c>
      <x:c r="G818" s="192" t="str">
        <x:v>Not Started</x:v>
      </x:c>
      <x:c r="H818" s="192" t="n">
        <x:v>0</x:v>
      </x:c>
    </x:row>
    <x:row r="819" ht="56" customHeight="1">
      <x:c r="A819" s="192" t="str">
        <x:v>objection</x:v>
      </x:c>
      <x:c r="B819" s="192" t="str">
        <x:v>n.</x:v>
      </x:c>
      <x:c r="C819" s="194" t="str">
        <x:v>заперечення</x:v>
      </x:c>
      <x:c r="D819" s="195" t="str">
        <x:v>Твердження, що виражає заперечення, або причину чи причину для вираження заперечення (зазвичай із додатком до).</x:v>
      </x:c>
      <x:c r="E819" s="192" t="str">
        <x:v>Oxford C1</x:v>
      </x:c>
      <x:c r="F819" s="192" t="str">
        <x:v>Core</x:v>
      </x:c>
      <x:c r="G819" s="192" t="str">
        <x:v>Not Started</x:v>
      </x:c>
      <x:c r="H819" s="192" t="n">
        <x:v>0</x:v>
      </x:c>
    </x:row>
    <x:row r="820" ht="56" customHeight="1">
      <x:c r="A820" s="192" t="str">
        <x:v>oblige</x:v>
      </x:c>
      <x:c r="B820" s="192" t="str">
        <x:v>v.</x:v>
      </x:c>
      <x:c r="C820" s="194" t="str">
        <x:v>зобов'язувати</x:v>
      </x:c>
      <x:c r="D820" s="195" t="str">
        <x:v>Зробити (комусь) послугу або послугу (отже, спочатку, створюючи зобов’язання).</x:v>
      </x:c>
      <x:c r="E820" s="192" t="str">
        <x:v>Oxford C1</x:v>
      </x:c>
      <x:c r="F820" s="192" t="str">
        <x:v>Core</x:v>
      </x:c>
      <x:c r="G820" s="192" t="str">
        <x:v>Not Started</x:v>
      </x:c>
      <x:c r="H820" s="192" t="n">
        <x:v>0</x:v>
      </x:c>
    </x:row>
    <x:row r="821" ht="56" customHeight="1">
      <x:c r="A821" s="192" t="str">
        <x:v>obsess</x:v>
      </x:c>
      <x:c r="B821" s="192" t="str">
        <x:v>v.</x:v>
      </x:c>
      <x:c r="C821" s="194" t="str">
        <x:v>одержимий</x:v>
      </x:c>
      <x:c r="D821" s="195" t="str">
        <x:v>Домінувати над думками когось.</x:v>
      </x:c>
      <x:c r="E821" s="192" t="str">
        <x:v>Oxford C1</x:v>
      </x:c>
      <x:c r="F821" s="192" t="str">
        <x:v>Core</x:v>
      </x:c>
      <x:c r="G821" s="192" t="str">
        <x:v>Not Started</x:v>
      </x:c>
      <x:c r="H821" s="192" t="n">
        <x:v>0</x:v>
      </x:c>
    </x:row>
    <x:row r="822" ht="56" customHeight="1">
      <x:c r="A822" s="192" t="str">
        <x:v>obsession</x:v>
      </x:c>
      <x:c r="B822" s="192" t="str">
        <x:v>n.</x:v>
      </x:c>
      <x:c r="C822" s="194" t="str">
        <x:v>одержимість</x:v>
      </x:c>
      <x:c r="D822" s="195" t="str">
        <x:v>Ідея, яка породжує нав’язливу чи ірраціональну занепокоєність, або занепокоєність, породжену цим.</x:v>
      </x:c>
      <x:c r="E822" s="192" t="str">
        <x:v>Oxford C1</x:v>
      </x:c>
      <x:c r="F822" s="192" t="str">
        <x:v>Core</x:v>
      </x:c>
      <x:c r="G822" s="192" t="str">
        <x:v>Not Started</x:v>
      </x:c>
      <x:c r="H822" s="192" t="n">
        <x:v>0</x:v>
      </x:c>
    </x:row>
    <x:row r="823" ht="56" customHeight="1">
      <x:c r="A823" s="192" t="str">
        <x:v>occasional</x:v>
      </x:c>
      <x:c r="B823" s="192" t="str">
        <x:v>adj.</x:v>
      </x:c>
      <x:c r="C823" s="194" t="str">
        <x:v>випадковий</x:v>
      </x:c>
      <x:c r="D823" s="195" t="str">
        <x:v>Виникає або з’являється нерегулярно час від часу, але не часто; випадковий.</x:v>
      </x:c>
      <x:c r="E823" s="192" t="str">
        <x:v>Oxford C1</x:v>
      </x:c>
      <x:c r="F823" s="192" t="str">
        <x:v>Core</x:v>
      </x:c>
      <x:c r="G823" s="192" t="str">
        <x:v>Not Started</x:v>
      </x:c>
      <x:c r="H823" s="192" t="n">
        <x:v>0</x:v>
      </x:c>
    </x:row>
    <x:row r="824" ht="56" customHeight="1">
      <x:c r="A824" s="192" t="str">
        <x:v>occurrence</x:v>
      </x:c>
      <x:c r="B824" s="192" t="str">
        <x:v>n.</x:v>
      </x:c>
      <x:c r="C824" s="194" t="str">
        <x:v>виникнення</x:v>
      </x:c>
      <x:c r="D824" s="195" t="str">
        <x:v>Фактичний випадок, коли виникає ситуація; подія чи подія.</x:v>
      </x:c>
      <x:c r="E824" s="192" t="str">
        <x:v>Oxford C1</x:v>
      </x:c>
      <x:c r="F824" s="192" t="str">
        <x:v>Core</x:v>
      </x:c>
      <x:c r="G824" s="192" t="str">
        <x:v>Not Started</x:v>
      </x:c>
      <x:c r="H824" s="192" t="n">
        <x:v>0</x:v>
      </x:c>
    </x:row>
    <x:row r="825" ht="56" customHeight="1">
      <x:c r="A825" s="192" t="str">
        <x:v>odds</x:v>
      </x:c>
      <x:c r="B825" s="192" t="str">
        <x:v>n.</x:v>
      </x:c>
      <x:c r="C825" s="194" t="str">
        <x:v>шанси</x:v>
      </x:c>
      <x:c r="D825" s="195" t="str">
        <x:v>Відношення ймовірності події до ймовірності того, що вона не відбудеться.</x:v>
      </x:c>
      <x:c r="E825" s="192" t="str">
        <x:v>Oxford C1</x:v>
      </x:c>
      <x:c r="F825" s="192" t="str">
        <x:v>Core</x:v>
      </x:c>
      <x:c r="G825" s="192" t="str">
        <x:v>Not Started</x:v>
      </x:c>
      <x:c r="H825" s="192" t="n">
        <x:v>0</x:v>
      </x:c>
    </x:row>
    <x:row r="826" ht="56" customHeight="1">
      <x:c r="A826" s="192" t="str">
        <x:v>offering</x:v>
      </x:c>
      <x:c r="B826" s="192" t="str">
        <x:v>n.</x:v>
      </x:c>
      <x:c r="C826" s="194" t="str">
        <x:v>пропозиція</x:v>
      </x:c>
      <x:c r="D826" s="195" t="str">
        <x:v>Акт, за допомогою якого щось пропонується.</x:v>
      </x:c>
      <x:c r="E826" s="192" t="str">
        <x:v>Oxford C1</x:v>
      </x:c>
      <x:c r="F826" s="192" t="str">
        <x:v>Core</x:v>
      </x:c>
      <x:c r="G826" s="192" t="str">
        <x:v>Not Started</x:v>
      </x:c>
      <x:c r="H826" s="192" t="n">
        <x:v>0</x:v>
      </x:c>
    </x:row>
    <x:row r="827" ht="56" customHeight="1">
      <x:c r="A827" s="192" t="str">
        <x:v>offspring</x:v>
      </x:c>
      <x:c r="B827" s="192" t="str">
        <x:v>n.</x:v>
      </x:c>
      <x:c r="C827" s="194" t="str">
        <x:v>потомство</x:v>
      </x:c>
      <x:c r="D827" s="195" t="str">
        <x:v>дочка чи син людини; дитина людини.</x:v>
      </x:c>
      <x:c r="E827" s="192" t="str">
        <x:v>Oxford C1</x:v>
      </x:c>
      <x:c r="F827" s="192" t="str">
        <x:v>Core</x:v>
      </x:c>
      <x:c r="G827" s="192" t="str">
        <x:v>Not Started</x:v>
      </x:c>
      <x:c r="H827" s="192" t="n">
        <x:v>0</x:v>
      </x:c>
    </x:row>
    <x:row r="828" ht="56" customHeight="1">
      <x:c r="A828" s="192" t="str">
        <x:v>operational</x:v>
      </x:c>
      <x:c r="B828" s="192" t="str">
        <x:v>adj.</x:v>
      </x:c>
      <x:c r="C828" s="194" t="str">
        <x:v>оперативний</x:v>
      </x:c>
      <x:c r="D828" s="195" t="str">
        <x:v>Працездатний і готовий до використання.</x:v>
      </x:c>
      <x:c r="E828" s="192" t="str">
        <x:v>Oxford C1</x:v>
      </x:c>
      <x:c r="F828" s="192" t="str">
        <x:v>Core</x:v>
      </x:c>
      <x:c r="G828" s="192" t="str">
        <x:v>Not Started</x:v>
      </x:c>
      <x:c r="H828" s="192" t="n">
        <x:v>0</x:v>
      </x:c>
    </x:row>
    <x:row r="829" ht="56" customHeight="1">
      <x:c r="A829" s="192" t="str">
        <x:v>opt</x:v>
      </x:c>
      <x:c r="B829" s="192" t="str">
        <x:v>v.</x:v>
      </x:c>
      <x:c r="C829" s="194" t="str">
        <x:v>обирати; робити вибір</x:v>
      </x:c>
      <x:c r="D829" s="195" t="str">
        <x:v>Вибирати; вибрати.</x:v>
      </x:c>
      <x:c r="E829" s="192" t="str">
        <x:v>Oxford C1</x:v>
      </x:c>
      <x:c r="F829" s="192" t="str">
        <x:v>Core</x:v>
      </x:c>
      <x:c r="G829" s="192" t="str">
        <x:v>Not Started</x:v>
      </x:c>
      <x:c r="H829" s="192" t="n">
        <x:v>0</x:v>
      </x:c>
    </x:row>
    <x:row r="830" ht="56" customHeight="1">
      <x:c r="A830" s="192" t="str">
        <x:v>optical</x:v>
      </x:c>
      <x:c r="B830" s="192" t="str">
        <x:v>adj.</x:v>
      </x:c>
      <x:c r="C830" s="194" t="str">
        <x:v>оптичний</x:v>
      </x:c>
      <x:c r="D830" s="195" t="str">
        <x:v>Що стосується зору або стосується зору; візуальний.</x:v>
      </x:c>
      <x:c r="E830" s="192" t="str">
        <x:v>Oxford C1</x:v>
      </x:c>
      <x:c r="F830" s="192" t="str">
        <x:v>Core</x:v>
      </x:c>
      <x:c r="G830" s="192" t="str">
        <x:v>Not Started</x:v>
      </x:c>
      <x:c r="H830" s="192" t="n">
        <x:v>0</x:v>
      </x:c>
    </x:row>
    <x:row r="831" ht="56" customHeight="1">
      <x:c r="A831" s="192" t="str">
        <x:v>optimism</x:v>
      </x:c>
      <x:c r="B831" s="192" t="str">
        <x:v>n.</x:v>
      </x:c>
      <x:c r="C831" s="194" t="str">
        <x:v>оптимізм</x:v>
      </x:c>
      <x:c r="D831" s="195" t="str">
        <x:v>схильність очікувати найкращого або, принаймні, сприятливого результату</x:v>
      </x:c>
      <x:c r="E831" s="192" t="str">
        <x:v>Oxford C1</x:v>
      </x:c>
      <x:c r="F831" s="192" t="str">
        <x:v>Core</x:v>
      </x:c>
      <x:c r="G831" s="192" t="str">
        <x:v>Not Started</x:v>
      </x:c>
      <x:c r="H831" s="192" t="n">
        <x:v>0</x:v>
      </x:c>
    </x:row>
    <x:row r="832" ht="56" customHeight="1">
      <x:c r="A832" s="192" t="str">
        <x:v>oral</x:v>
      </x:c>
      <x:c r="B832" s="192" t="str">
        <x:v>adj.</x:v>
      </x:c>
      <x:c r="C832" s="194" t="str">
        <x:v>усний</x:v>
      </x:c>
      <x:c r="D832" s="195" t="str">
        <x:v>Що стосується рота.</x:v>
      </x:c>
      <x:c r="E832" s="192" t="str">
        <x:v>Oxford C1</x:v>
      </x:c>
      <x:c r="F832" s="192" t="str">
        <x:v>Core</x:v>
      </x:c>
      <x:c r="G832" s="192" t="str">
        <x:v>Not Started</x:v>
      </x:c>
      <x:c r="H832" s="192" t="n">
        <x:v>0</x:v>
      </x:c>
    </x:row>
    <x:row r="833" ht="56" customHeight="1">
      <x:c r="A833" s="192" t="str">
        <x:v>organizational</x:v>
      </x:c>
      <x:c r="B833" s="192" t="str">
        <x:v>adj.</x:v>
      </x:c>
      <x:c r="C833" s="194" t="str">
        <x:v>організаційний</x:v>
      </x:c>
      <x:c r="D833" s="195" t="str">
        <x:v>З, пов'язані з організацією або вироблені нею.</x:v>
      </x:c>
      <x:c r="E833" s="192" t="str">
        <x:v>Oxford C1</x:v>
      </x:c>
      <x:c r="F833" s="192" t="str">
        <x:v>Core</x:v>
      </x:c>
      <x:c r="G833" s="192" t="str">
        <x:v>Not Started</x:v>
      </x:c>
      <x:c r="H833" s="192" t="n">
        <x:v>0</x:v>
      </x:c>
    </x:row>
    <x:row r="834" ht="56" customHeight="1">
      <x:c r="A834" s="192" t="str">
        <x:v>orientation</x:v>
      </x:c>
      <x:c r="B834" s="192" t="str">
        <x:v>n.</x:v>
      </x:c>
      <x:c r="C834" s="194" t="str">
        <x:v>орієнтація</x:v>
      </x:c>
      <x:c r="D834" s="195" t="str">
        <x:v>Визначення відносного положення чогось або когось.</x:v>
      </x:c>
      <x:c r="E834" s="192" t="str">
        <x:v>Oxford C1 + AWL 5</x:v>
      </x:c>
      <x:c r="F834" s="192" t="str">
        <x:v>High</x:v>
      </x:c>
      <x:c r="G834" s="192" t="str">
        <x:v>Not Started</x:v>
      </x:c>
      <x:c r="H834" s="192" t="n">
        <x:v>0</x:v>
      </x:c>
    </x:row>
    <x:row r="835" ht="56" customHeight="1">
      <x:c r="A835" s="192" t="str">
        <x:v>originate</x:v>
      </x:c>
      <x:c r="B835" s="192" t="str">
        <x:v>v.</x:v>
      </x:c>
      <x:c r="C835" s="194" t="str">
        <x:v>походити</x:v>
      </x:c>
      <x:c r="D835" s="195" t="str">
        <x:v>Прийти в існування; мати початок або початок; веснятися, виводитися (з, з).</x:v>
      </x:c>
      <x:c r="E835" s="192" t="str">
        <x:v>Oxford C1</x:v>
      </x:c>
      <x:c r="F835" s="192" t="str">
        <x:v>Core</x:v>
      </x:c>
      <x:c r="G835" s="192" t="str">
        <x:v>Not Started</x:v>
      </x:c>
      <x:c r="H835" s="192" t="n">
        <x:v>0</x:v>
      </x:c>
    </x:row>
    <x:row r="836" ht="56" customHeight="1">
      <x:c r="A836" s="192" t="str">
        <x:v>outbreak</x:v>
      </x:c>
      <x:c r="B836" s="192" t="str">
        <x:v>n.</x:v>
      </x:c>
      <x:c r="C836" s="194" t="str">
        <x:v>спалах</x:v>
      </x:c>
      <x:c r="D836" s="195" t="str">
        <x:v>виверження; раптова поява висипу, захворювання тощо.</x:v>
      </x:c>
      <x:c r="E836" s="192" t="str">
        <x:v>Oxford C1</x:v>
      </x:c>
      <x:c r="F836" s="192" t="str">
        <x:v>Core</x:v>
      </x:c>
      <x:c r="G836" s="192" t="str">
        <x:v>Not Started</x:v>
      </x:c>
      <x:c r="H836" s="192" t="n">
        <x:v>0</x:v>
      </x:c>
    </x:row>
    <x:row r="837" ht="56" customHeight="1">
      <x:c r="A837" s="192" t="str">
        <x:v>outing</x:v>
      </x:c>
      <x:c r="B837" s="192" t="str">
        <x:v>n.</x:v>
      </x:c>
      <x:c r="C837" s="194" t="str">
        <x:v>виїзд</x:v>
      </x:c>
      <x:c r="D837" s="195" t="str">
        <x:v>Прогулянка або екскурсія.</x:v>
      </x:c>
      <x:c r="E837" s="192" t="str">
        <x:v>Oxford C1</x:v>
      </x:c>
      <x:c r="F837" s="192" t="str">
        <x:v>Core</x:v>
      </x:c>
      <x:c r="G837" s="192" t="str">
        <x:v>Not Started</x:v>
      </x:c>
      <x:c r="H837" s="192" t="n">
        <x:v>0</x:v>
      </x:c>
    </x:row>
    <x:row r="838" ht="56" customHeight="1">
      <x:c r="A838" s="192" t="str">
        <x:v>outlet</x:v>
      </x:c>
      <x:c r="B838" s="192" t="str">
        <x:v>n.</x:v>
      </x:c>
      <x:c r="C838" s="194" t="str">
        <x:v>розетка</x:v>
      </x:c>
      <x:c r="D838" s="195" t="str">
        <x:v>Настінна розетка, підключена до джерела електричного живлення, через яку можна взяти струм для роботи електричних пристроїв.</x:v>
      </x:c>
      <x:c r="E838" s="192" t="str">
        <x:v>Oxford C1</x:v>
      </x:c>
      <x:c r="F838" s="192" t="str">
        <x:v>Core</x:v>
      </x:c>
      <x:c r="G838" s="192" t="str">
        <x:v>Not Started</x:v>
      </x:c>
      <x:c r="H838" s="192" t="n">
        <x:v>0</x:v>
      </x:c>
    </x:row>
    <x:row r="839" ht="56" customHeight="1">
      <x:c r="A839" s="192" t="str">
        <x:v>outlook</x:v>
      </x:c>
      <x:c r="B839" s="192" t="str">
        <x:v>n.</x:v>
      </x:c>
      <x:c r="C839" s="194" t="str">
        <x:v>світогляд</x:v>
      </x:c>
      <x:c r="D839" s="195" t="str">
        <x:v>Ставлення або точка зору.</x:v>
      </x:c>
      <x:c r="E839" s="192" t="str">
        <x:v>Oxford C1</x:v>
      </x:c>
      <x:c r="F839" s="192" t="str">
        <x:v>Core</x:v>
      </x:c>
      <x:c r="G839" s="192" t="str">
        <x:v>Not Started</x:v>
      </x:c>
      <x:c r="H839" s="192" t="n">
        <x:v>0</x:v>
      </x:c>
    </x:row>
    <x:row r="840" ht="56" customHeight="1">
      <x:c r="A840" s="192" t="str">
        <x:v>outrage</x:v>
      </x:c>
      <x:c r="B840" s="192" t="str">
        <x:v>n., v.</x:v>
      </x:c>
      <x:c r="C840" s="194" t="str">
        <x:v>обурення</x:v>
      </x:c>
      <x:c r="D840" s="195" t="str">
        <x:v>Викликати почуття обурення в.</x:v>
      </x:c>
      <x:c r="E840" s="192" t="str">
        <x:v>Oxford C1</x:v>
      </x:c>
      <x:c r="F840" s="192" t="str">
        <x:v>Core</x:v>
      </x:c>
      <x:c r="G840" s="192" t="str">
        <x:v>Not Started</x:v>
      </x:c>
      <x:c r="H840" s="192" t="n">
        <x:v>0</x:v>
      </x:c>
    </x:row>
    <x:row r="841" ht="56" customHeight="1">
      <x:c r="A841" s="192" t="str">
        <x:v>outsider</x:v>
      </x:c>
      <x:c r="B841" s="192" t="str">
        <x:v>n.</x:v>
      </x:c>
      <x:c r="C841" s="194" t="str">
        <x:v>сторонній</x:v>
      </x:c>
      <x:c r="D841" s="195" t="str">
        <x:v>Той, хто не є частиною спільноти чи організації.</x:v>
      </x:c>
      <x:c r="E841" s="192" t="str">
        <x:v>Oxford C1</x:v>
      </x:c>
      <x:c r="F841" s="192" t="str">
        <x:v>Core</x:v>
      </x:c>
      <x:c r="G841" s="192" t="str">
        <x:v>Not Started</x:v>
      </x:c>
      <x:c r="H841" s="192" t="n">
        <x:v>0</x:v>
      </x:c>
    </x:row>
    <x:row r="842" ht="56" customHeight="1">
      <x:c r="A842" s="192" t="str">
        <x:v>overlook</x:v>
      </x:c>
      <x:c r="B842" s="192" t="str">
        <x:v>v.</x:v>
      </x:c>
      <x:c r="C842" s="194" t="str">
        <x:v>не помічати</x:v>
      </x:c>
      <x:c r="D842" s="195" t="str">
        <x:v>Не помічати; оглядати (щось), не бачачи.</x:v>
      </x:c>
      <x:c r="E842" s="192" t="str">
        <x:v>Oxford C1</x:v>
      </x:c>
      <x:c r="F842" s="192" t="str">
        <x:v>Core</x:v>
      </x:c>
      <x:c r="G842" s="192" t="str">
        <x:v>Not Started</x:v>
      </x:c>
      <x:c r="H842" s="192" t="n">
        <x:v>0</x:v>
      </x:c>
    </x:row>
    <x:row r="843" ht="56" customHeight="1">
      <x:c r="A843" s="192" t="str">
        <x:v>overly</x:v>
      </x:c>
      <x:c r="B843" s="192" t="str">
        <x:v>adv.</x:v>
      </x:c>
      <x:c r="C843" s="194" t="str">
        <x:v>надмірно</x:v>
      </x:c>
      <x:c r="D843" s="195" t="str">
        <x:v>У надмірній мірі.</x:v>
      </x:c>
      <x:c r="E843" s="192" t="str">
        <x:v>Oxford C1</x:v>
      </x:c>
      <x:c r="F843" s="192" t="str">
        <x:v>Core</x:v>
      </x:c>
      <x:c r="G843" s="192" t="str">
        <x:v>Not Started</x:v>
      </x:c>
      <x:c r="H843" s="192" t="n">
        <x:v>0</x:v>
      </x:c>
    </x:row>
    <x:row r="844" ht="56" customHeight="1">
      <x:c r="A844" s="192" t="str">
        <x:v>oversee</x:v>
      </x:c>
      <x:c r="B844" s="192" t="str">
        <x:v>v.</x:v>
      </x:c>
      <x:c r="C844" s="194" t="str">
        <x:v>наглядати</x:v>
      </x:c>
      <x:c r="D844" s="195" t="str">
        <x:v>Контролювати, направляти, переглядати або керувати діями особи чи групи.</x:v>
      </x:c>
      <x:c r="E844" s="192" t="str">
        <x:v>Oxford C1</x:v>
      </x:c>
      <x:c r="F844" s="192" t="str">
        <x:v>Core</x:v>
      </x:c>
      <x:c r="G844" s="192" t="str">
        <x:v>Not Started</x:v>
      </x:c>
      <x:c r="H844" s="192" t="n">
        <x:v>0</x:v>
      </x:c>
    </x:row>
    <x:row r="845" ht="56" customHeight="1">
      <x:c r="A845" s="192" t="str">
        <x:v>overturn</x:v>
      </x:c>
      <x:c r="B845" s="192" t="str">
        <x:v>v.</x:v>
      </x:c>
      <x:c r="C845" s="194" t="str">
        <x:v>перевертати</x:v>
      </x:c>
      <x:c r="D845" s="195" t="str">
        <x:v>Повалити або знищити.</x:v>
      </x:c>
      <x:c r="E845" s="192" t="str">
        <x:v>Oxford C1</x:v>
      </x:c>
      <x:c r="F845" s="192" t="str">
        <x:v>Core</x:v>
      </x:c>
      <x:c r="G845" s="192" t="str">
        <x:v>Not Started</x:v>
      </x:c>
      <x:c r="H845" s="192" t="n">
        <x:v>0</x:v>
      </x:c>
    </x:row>
    <x:row r="846" ht="56" customHeight="1">
      <x:c r="A846" s="192" t="str">
        <x:v>overwhelm</x:v>
      </x:c>
      <x:c r="B846" s="192" t="str">
        <x:v>v.</x:v>
      </x:c>
      <x:c r="C846" s="194" t="str">
        <x:v>переповнювати</x:v>
      </x:c>
      <x:c r="D846" s="195" t="str">
        <x:v>Емоційно долати.</x:v>
      </x:c>
      <x:c r="E846" s="192" t="str">
        <x:v>Oxford C1</x:v>
      </x:c>
      <x:c r="F846" s="192" t="str">
        <x:v>Core</x:v>
      </x:c>
      <x:c r="G846" s="192" t="str">
        <x:v>Not Started</x:v>
      </x:c>
      <x:c r="H846" s="192" t="n">
        <x:v>0</x:v>
      </x:c>
    </x:row>
    <x:row r="847" ht="56" customHeight="1">
      <x:c r="A847" s="192" t="str">
        <x:v>overwhelming</x:v>
      </x:c>
      <x:c r="B847" s="192" t="str">
        <x:v>adj.</x:v>
      </x:c>
      <x:c r="C847" s="194" t="str">
        <x:v>переважний</x:v>
      </x:c>
      <x:c r="D847" s="195" t="str">
        <x:v>Дуже великий або інтенсивний.</x:v>
      </x:c>
      <x:c r="E847" s="192" t="str">
        <x:v>Oxford C1</x:v>
      </x:c>
      <x:c r="F847" s="192" t="str">
        <x:v>Core</x:v>
      </x:c>
      <x:c r="G847" s="192" t="str">
        <x:v>Not Started</x:v>
      </x:c>
      <x:c r="H847" s="192" t="n">
        <x:v>0</x:v>
      </x:c>
    </x:row>
    <x:row r="848" ht="56" customHeight="1">
      <x:c r="A848" s="192" t="str">
        <x:v>pad</x:v>
      </x:c>
      <x:c r="B848" s="192" t="str">
        <x:v>n.</x:v>
      </x:c>
      <x:c r="C848" s="194" t="str">
        <x:v>колодка</x:v>
      </x:c>
      <x:c r="D848" s="195" t="str">
        <x:v>Сплющена маса будь-чого м’якого, щоб сидіти або лежати.</x:v>
      </x:c>
      <x:c r="E848" s="192" t="str">
        <x:v>Oxford C1</x:v>
      </x:c>
      <x:c r="F848" s="192" t="str">
        <x:v>Core</x:v>
      </x:c>
      <x:c r="G848" s="192" t="str">
        <x:v>Not Started</x:v>
      </x:c>
      <x:c r="H848" s="192" t="n">
        <x:v>0</x:v>
      </x:c>
    </x:row>
    <x:row r="849" ht="56" customHeight="1">
      <x:c r="A849" s="192" t="str">
        <x:v>parameter</x:v>
      </x:c>
      <x:c r="B849" s="192" t="str">
        <x:v>n.</x:v>
      </x:c>
      <x:c r="C849" s="194" t="str">
        <x:v>параметр</x:v>
      </x:c>
      <x:c r="D849" s="195" t="str">
        <x:v>Значення, яке залишається постійним під час експерименту, рівняння, розрахунку чи подібного, але змінюється в інших версіях експерименту, рівняння, розрахунку тощо.</x:v>
      </x:c>
      <x:c r="E849" s="192" t="str">
        <x:v>Oxford C1</x:v>
      </x:c>
      <x:c r="F849" s="192" t="str">
        <x:v>Core</x:v>
      </x:c>
      <x:c r="G849" s="192" t="str">
        <x:v>Not Started</x:v>
      </x:c>
      <x:c r="H849" s="192" t="n">
        <x:v>0</x:v>
      </x:c>
    </x:row>
    <x:row r="850" ht="56" customHeight="1">
      <x:c r="A850" s="192" t="str">
        <x:v>parental</x:v>
      </x:c>
      <x:c r="B850" s="192" t="str">
        <x:v>adj.</x:v>
      </x:c>
      <x:c r="C850" s="194" t="str">
        <x:v>батьківський</x:v>
      </x:c>
      <x:c r="D850" s="195" t="str">
        <x:v>Що стосується одного з батьків.</x:v>
      </x:c>
      <x:c r="E850" s="192" t="str">
        <x:v>Oxford C1</x:v>
      </x:c>
      <x:c r="F850" s="192" t="str">
        <x:v>Core</x:v>
      </x:c>
      <x:c r="G850" s="192" t="str">
        <x:v>Not Started</x:v>
      </x:c>
      <x:c r="H850" s="192" t="n">
        <x:v>0</x:v>
      </x:c>
    </x:row>
    <x:row r="851" ht="56" customHeight="1">
      <x:c r="A851" s="192" t="str">
        <x:v>parish</x:v>
      </x:c>
      <x:c r="B851" s="192" t="str">
        <x:v>n.</x:v>
      </x:c>
      <x:c r="C851" s="194" t="str">
        <x:v>парафія</x:v>
      </x:c>
      <x:c r="D851" s="195" t="str">
        <x:v>Адміністративна частина єпархії, яка має власну церкву.</x:v>
      </x:c>
      <x:c r="E851" s="192" t="str">
        <x:v>Oxford C1</x:v>
      </x:c>
      <x:c r="F851" s="192" t="str">
        <x:v>Core</x:v>
      </x:c>
      <x:c r="G851" s="192" t="str">
        <x:v>Not Started</x:v>
      </x:c>
      <x:c r="H851" s="192" t="n">
        <x:v>0</x:v>
      </x:c>
    </x:row>
    <x:row r="852" ht="56" customHeight="1">
      <x:c r="A852" s="192" t="str">
        <x:v>parliamentary</x:v>
      </x:c>
      <x:c r="B852" s="192" t="str">
        <x:v>adj.</x:v>
      </x:c>
      <x:c r="C852" s="194" t="str">
        <x:v>парламентський</x:v>
      </x:c>
      <x:c r="D852" s="195" t="str">
        <x:v>З, пов’язані з парламентом або ухвалені ним.</x:v>
      </x:c>
      <x:c r="E852" s="192" t="str">
        <x:v>Oxford C1</x:v>
      </x:c>
      <x:c r="F852" s="192" t="str">
        <x:v>High</x:v>
      </x:c>
      <x:c r="G852" s="192" t="str">
        <x:v>Not Started</x:v>
      </x:c>
      <x:c r="H852" s="192" t="n">
        <x:v>0</x:v>
      </x:c>
    </x:row>
    <x:row r="853" ht="56" customHeight="1">
      <x:c r="A853" s="192" t="str">
        <x:v>partial</x:v>
      </x:c>
      <x:c r="B853" s="192" t="str">
        <x:v>adj.</x:v>
      </x:c>
      <x:c r="C853" s="194" t="str">
        <x:v>частковий</x:v>
      </x:c>
      <x:c r="D853" s="195" t="str">
        <x:v>Існувати як частина або частина; неповний.</x:v>
      </x:c>
      <x:c r="E853" s="192" t="str">
        <x:v>Oxford C1</x:v>
      </x:c>
      <x:c r="F853" s="192" t="str">
        <x:v>Core</x:v>
      </x:c>
      <x:c r="G853" s="192" t="str">
        <x:v>Not Started</x:v>
      </x:c>
      <x:c r="H853" s="192" t="n">
        <x:v>0</x:v>
      </x:c>
    </x:row>
    <x:row r="854" ht="56" customHeight="1">
      <x:c r="A854" s="192" t="str">
        <x:v>partially</x:v>
      </x:c>
      <x:c r="B854" s="192" t="str">
        <x:v>adv.</x:v>
      </x:c>
      <x:c r="C854" s="194" t="str">
        <x:v>частково</x:v>
      </x:c>
      <x:c r="D854" s="195" t="str">
        <x:v>Частково або частково, неповністю.</x:v>
      </x:c>
      <x:c r="E854" s="192" t="str">
        <x:v>Oxford C1</x:v>
      </x:c>
      <x:c r="F854" s="192" t="str">
        <x:v>Core</x:v>
      </x:c>
      <x:c r="G854" s="192" t="str">
        <x:v>Not Started</x:v>
      </x:c>
      <x:c r="H854" s="192" t="n">
        <x:v>0</x:v>
      </x:c>
    </x:row>
    <x:row r="855" ht="56" customHeight="1">
      <x:c r="A855" s="192" t="str">
        <x:v>passing</x:v>
      </x:c>
      <x:c r="B855" s="192" t="str">
        <x:v>n.</x:v>
      </x:c>
      <x:c r="C855" s="194" t="str">
        <x:v>проходження</x:v>
      </x:c>
      <x:c r="D855" s="195" t="str">
        <x:v>Факт проходження минулого; переміщення з одного місця в інше або зміна одного стану в інший.</x:v>
      </x:c>
      <x:c r="E855" s="192" t="str">
        <x:v>Oxford C1</x:v>
      </x:c>
      <x:c r="F855" s="192" t="str">
        <x:v>Core</x:v>
      </x:c>
      <x:c r="G855" s="192" t="str">
        <x:v>Not Started</x:v>
      </x:c>
      <x:c r="H855" s="192" t="n">
        <x:v>0</x:v>
      </x:c>
    </x:row>
    <x:row r="856" ht="56" customHeight="1">
      <x:c r="A856" s="192" t="str">
        <x:v>passive</x:v>
      </x:c>
      <x:c r="B856" s="192" t="str">
        <x:v>adj.</x:v>
      </x:c>
      <x:c r="C856" s="194" t="str">
        <x:v>пасивний</x:v>
      </x:c>
      <x:c r="D856" s="195" t="str">
        <x:v>Піддаватися дії без реакції.</x:v>
      </x:c>
      <x:c r="E856" s="192" t="str">
        <x:v>Oxford C1 + AWL 9</x:v>
      </x:c>
      <x:c r="F856" s="192" t="str">
        <x:v>High</x:v>
      </x:c>
      <x:c r="G856" s="192" t="str">
        <x:v>Not Started</x:v>
      </x:c>
      <x:c r="H856" s="192" t="n">
        <x:v>0</x:v>
      </x:c>
    </x:row>
    <x:row r="857" ht="56" customHeight="1">
      <x:c r="A857" s="192" t="str">
        <x:v>pastor</x:v>
      </x:c>
      <x:c r="B857" s="192" t="str">
        <x:v>n.</x:v>
      </x:c>
      <x:c r="C857" s="194" t="str">
        <x:v>пастор</x:v>
      </x:c>
      <x:c r="D857" s="195" t="str">
        <x:v>Хтось із духовною владою над групою людей.</x:v>
      </x:c>
      <x:c r="E857" s="192" t="str">
        <x:v>Oxford C1</x:v>
      </x:c>
      <x:c r="F857" s="192" t="str">
        <x:v>Core</x:v>
      </x:c>
      <x:c r="G857" s="192" t="str">
        <x:v>Not Started</x:v>
      </x:c>
      <x:c r="H857" s="192" t="n">
        <x:v>0</x:v>
      </x:c>
    </x:row>
    <x:row r="858" ht="56" customHeight="1">
      <x:c r="A858" s="192" t="str">
        <x:v>patch</x:v>
      </x:c>
      <x:c r="B858" s="192" t="str">
        <x:v>n.</x:v>
      </x:c>
      <x:c r="C858" s="194" t="str">
        <x:v>латка</x:v>
      </x:c>
      <x:c r="D858" s="195" t="str">
        <x:v>Шматок тканини або іншого відповідного матеріалу, пришитий або іншим чином закріплений на одязі, щоб відремонтувати або зміцнити його, особливо на старому одязі, щоб закрити дірку.</x:v>
      </x:c>
      <x:c r="E858" s="192" t="str">
        <x:v>Oxford C1</x:v>
      </x:c>
      <x:c r="F858" s="192" t="str">
        <x:v>Core</x:v>
      </x:c>
      <x:c r="G858" s="192" t="str">
        <x:v>Not Started</x:v>
      </x:c>
      <x:c r="H858" s="192" t="n">
        <x:v>0</x:v>
      </x:c>
    </x:row>
    <x:row r="859" ht="56" customHeight="1">
      <x:c r="A859" s="192" t="str">
        <x:v>patent</x:v>
      </x:c>
      <x:c r="B859" s="192" t="str">
        <x:v>n.</x:v>
      </x:c>
      <x:c r="C859" s="194" t="str">
        <x:v>патент</x:v>
      </x:c>
      <x:c r="D859" s="195" t="str">
        <x:v>Офіційний документ, що надає призначення, привілей або право, або якесь майно чи титул; листи патент.</x:v>
      </x:c>
      <x:c r="E859" s="192" t="str">
        <x:v>Oxford C1</x:v>
      </x:c>
      <x:c r="F859" s="192" t="str">
        <x:v>Core</x:v>
      </x:c>
      <x:c r="G859" s="192" t="str">
        <x:v>Not Started</x:v>
      </x:c>
      <x:c r="H859" s="192" t="n">
        <x:v>0</x:v>
      </x:c>
    </x:row>
    <x:row r="860" ht="56" customHeight="1">
      <x:c r="A860" s="192" t="str">
        <x:v>pathway</x:v>
      </x:c>
      <x:c r="B860" s="192" t="str">
        <x:v>n.</x:v>
      </x:c>
      <x:c r="C860" s="194" t="str">
        <x:v>шлях</x:v>
      </x:c>
      <x:c r="D860" s="195" t="str">
        <x:v>Пішохідна доріжка або інший шлях чи доріжка.</x:v>
      </x:c>
      <x:c r="E860" s="192" t="str">
        <x:v>Oxford C1</x:v>
      </x:c>
      <x:c r="F860" s="192" t="str">
        <x:v>Core</x:v>
      </x:c>
      <x:c r="G860" s="192" t="str">
        <x:v>Not Started</x:v>
      </x:c>
      <x:c r="H860" s="192" t="n">
        <x:v>0</x:v>
      </x:c>
    </x:row>
    <x:row r="861" ht="56" customHeight="1">
      <x:c r="A861" s="192" t="str">
        <x:v>patrol</x:v>
      </x:c>
      <x:c r="B861" s="192" t="str">
        <x:v>n., v.</x:v>
      </x:c>
      <x:c r="C861" s="194" t="str">
        <x:v>патруль</x:v>
      </x:c>
      <x:c r="D861" s="195" t="str">
        <x:v>Обходити ланцюг вартових; пройти поліцейський район або бити.</x:v>
      </x:c>
      <x:c r="E861" s="192" t="str">
        <x:v>Oxford C1</x:v>
      </x:c>
      <x:c r="F861" s="192" t="str">
        <x:v>Core</x:v>
      </x:c>
      <x:c r="G861" s="192" t="str">
        <x:v>Not Started</x:v>
      </x:c>
      <x:c r="H861" s="192" t="n">
        <x:v>0</x:v>
      </x:c>
    </x:row>
    <x:row r="862" ht="56" customHeight="1">
      <x:c r="A862" s="192" t="str">
        <x:v>patron</x:v>
      </x:c>
      <x:c r="B862" s="192" t="str">
        <x:v>n.</x:v>
      </x:c>
      <x:c r="C862" s="194" t="str">
        <x:v>патрон</x:v>
      </x:c>
      <x:c r="D862" s="195" t="str">
        <x:v>Клієнт, як у певному магазині чи ресторані.</x:v>
      </x:c>
      <x:c r="E862" s="192" t="str">
        <x:v>Oxford C1</x:v>
      </x:c>
      <x:c r="F862" s="192" t="str">
        <x:v>Core</x:v>
      </x:c>
      <x:c r="G862" s="192" t="str">
        <x:v>Not Started</x:v>
      </x:c>
      <x:c r="H862" s="192" t="n">
        <x:v>0</x:v>
      </x:c>
    </x:row>
    <x:row r="863" ht="56" customHeight="1">
      <x:c r="A863" s="192" t="str">
        <x:v>peak</x:v>
      </x:c>
      <x:c r="B863" s="192" t="str">
        <x:v>n.</x:v>
      </x:c>
      <x:c r="C863" s="194" t="str">
        <x:v>пік</x:v>
      </x:c>
      <x:c r="D863" s="195" t="str">
        <x:v>Найвище значення, досягнуте певною величиною за період часу.</x:v>
      </x:c>
      <x:c r="E863" s="192" t="str">
        <x:v>Oxford C1</x:v>
      </x:c>
      <x:c r="F863" s="192" t="str">
        <x:v>Core</x:v>
      </x:c>
      <x:c r="G863" s="192" t="str">
        <x:v>Not Started</x:v>
      </x:c>
      <x:c r="H863" s="192" t="n">
        <x:v>0</x:v>
      </x:c>
    </x:row>
    <x:row r="864" ht="56" customHeight="1">
      <x:c r="A864" s="192" t="str">
        <x:v>peasant</x:v>
      </x:c>
      <x:c r="B864" s="192" t="str">
        <x:v>n.</x:v>
      </x:c>
      <x:c r="C864" s="194" t="str">
        <x:v>селянин</x:v>
      </x:c>
      <x:c r="D864" s="195" t="str">
        <x:v>Член нижчого соціального класу, який працює на землі, складається з дрібних фермерів і орендарів, пайовиків, батраків та інших робітників на землі, де вони утворюють основну робочу силу в сільському господарстві та садівни...</x:v>
      </x:c>
      <x:c r="E864" s="192" t="str">
        <x:v>Oxford C1</x:v>
      </x:c>
      <x:c r="F864" s="192" t="str">
        <x:v>Core</x:v>
      </x:c>
      <x:c r="G864" s="192" t="str">
        <x:v>Not Started</x:v>
      </x:c>
      <x:c r="H864" s="192" t="n">
        <x:v>0</x:v>
      </x:c>
    </x:row>
    <x:row r="865" ht="56" customHeight="1">
      <x:c r="A865" s="192" t="str">
        <x:v>peculiar</x:v>
      </x:c>
      <x:c r="B865" s="192" t="str">
        <x:v>adj.</x:v>
      </x:c>
      <x:c r="C865" s="194" t="str">
        <x:v>своєрідний</x:v>
      </x:c>
      <x:c r="D865" s="195" t="str">
        <x:v>Незвичайне; непарний; дивний; незвичайний.</x:v>
      </x:c>
      <x:c r="E865" s="192" t="str">
        <x:v>Oxford C1</x:v>
      </x:c>
      <x:c r="F865" s="192" t="str">
        <x:v>Core</x:v>
      </x:c>
      <x:c r="G865" s="192" t="str">
        <x:v>Not Started</x:v>
      </x:c>
      <x:c r="H865" s="192" t="n">
        <x:v>0</x:v>
      </x:c>
    </x:row>
    <x:row r="866" ht="56" customHeight="1">
      <x:c r="A866" s="192" t="str">
        <x:v>persist</x:v>
      </x:c>
      <x:c r="B866" s="192" t="str">
        <x:v>v.</x:v>
      </x:c>
      <x:c r="C866" s="194" t="str">
        <x:v>наполягати</x:v>
      </x:c>
      <x:c r="D866" s="195" t="str">
        <x:v>Продовжувати вперто або рішуче.</x:v>
      </x:c>
      <x:c r="E866" s="192" t="str">
        <x:v>Oxford C1</x:v>
      </x:c>
      <x:c r="F866" s="192" t="str">
        <x:v>Core</x:v>
      </x:c>
      <x:c r="G866" s="192" t="str">
        <x:v>Not Started</x:v>
      </x:c>
      <x:c r="H866" s="192" t="n">
        <x:v>0</x:v>
      </x:c>
    </x:row>
    <x:row r="867" ht="56" customHeight="1">
      <x:c r="A867" s="192" t="str">
        <x:v>persistent</x:v>
      </x:c>
      <x:c r="B867" s="192" t="str">
        <x:v>adj.</x:v>
      </x:c>
      <x:c r="C867" s="194" t="str">
        <x:v>стійкий</x:v>
      </x:c>
      <x:c r="D867" s="195" t="str">
        <x:v>Наполеглива відмова здатися чи відпустити.</x:v>
      </x:c>
      <x:c r="E867" s="192" t="str">
        <x:v>Oxford C1 + AWL 10</x:v>
      </x:c>
      <x:c r="F867" s="192" t="str">
        <x:v>High</x:v>
      </x:c>
      <x:c r="G867" s="192" t="str">
        <x:v>Not Started</x:v>
      </x:c>
      <x:c r="H867" s="192" t="n">
        <x:v>0</x:v>
      </x:c>
    </x:row>
    <x:row r="868" ht="56" customHeight="1">
      <x:c r="A868" s="192" t="str">
        <x:v>personnel</x:v>
      </x:c>
      <x:c r="B868" s="192" t="str">
        <x:v>n.</x:v>
      </x:c>
      <x:c r="C868" s="194" t="str">
        <x:v>персонал</x:v>
      </x:c>
      <x:c r="D868" s="195" t="str">
        <x:v>Група людей в організації, як-от співробітники та офісний персонал, військовослужбовці тощо.</x:v>
      </x:c>
      <x:c r="E868" s="192" t="str">
        <x:v>Oxford C1</x:v>
      </x:c>
      <x:c r="F868" s="192" t="str">
        <x:v>Core</x:v>
      </x:c>
      <x:c r="G868" s="192" t="str">
        <x:v>Not Started</x:v>
      </x:c>
      <x:c r="H868" s="192" t="n">
        <x:v>0</x:v>
      </x:c>
    </x:row>
    <x:row r="869" ht="56" customHeight="1">
      <x:c r="A869" s="192" t="str">
        <x:v>petition</x:v>
      </x:c>
      <x:c r="B869" s="192" t="str">
        <x:v>n.</x:v>
      </x:c>
      <x:c r="C869" s="194" t="str">
        <x:v>петиція</x:v>
      </x:c>
      <x:c r="D869" s="195" t="str">
        <x:v>Офіційний письмовий запит, зроблений окремою особою чи групою людей до суверенної чи політичної влади, який часто містить багато підписів, із проханням про якусь благодать, право, милосердя або виправлення якоїсь кривди чи...</x:v>
      </x:c>
      <x:c r="E869" s="192" t="str">
        <x:v>Oxford C1</x:v>
      </x:c>
      <x:c r="F869" s="192" t="str">
        <x:v>Core</x:v>
      </x:c>
      <x:c r="G869" s="192" t="str">
        <x:v>Not Started</x:v>
      </x:c>
      <x:c r="H869" s="192" t="n">
        <x:v>0</x:v>
      </x:c>
    </x:row>
    <x:row r="870" ht="56" customHeight="1">
      <x:c r="A870" s="192" t="str">
        <x:v>philosopher</x:v>
      </x:c>
      <x:c r="B870" s="192" t="str">
        <x:v>n.</x:v>
      </x:c>
      <x:c r="C870" s="194" t="str">
        <x:v>філософ</x:v>
      </x:c>
      <x:c r="D870" s="195" t="str">
        <x:v>Студентка філософії.</x:v>
      </x:c>
      <x:c r="E870" s="192" t="str">
        <x:v>Oxford C1</x:v>
      </x:c>
      <x:c r="F870" s="192" t="str">
        <x:v>Core</x:v>
      </x:c>
      <x:c r="G870" s="192" t="str">
        <x:v>Not Started</x:v>
      </x:c>
      <x:c r="H870" s="192" t="n">
        <x:v>0</x:v>
      </x:c>
    </x:row>
    <x:row r="871" ht="56" customHeight="1">
      <x:c r="A871" s="192" t="str">
        <x:v>philosophical</x:v>
      </x:c>
      <x:c r="B871" s="192" t="str">
        <x:v>adj.</x:v>
      </x:c>
      <x:c r="C871" s="194" t="str">
        <x:v>філософський</x:v>
      </x:c>
      <x:c r="D871" s="195" t="str">
        <x:v>Філософія або пов’язана з нею.</x:v>
      </x:c>
      <x:c r="E871" s="192" t="str">
        <x:v>Oxford C1</x:v>
      </x:c>
      <x:c r="F871" s="192" t="str">
        <x:v>Core</x:v>
      </x:c>
      <x:c r="G871" s="192" t="str">
        <x:v>Not Started</x:v>
      </x:c>
      <x:c r="H871" s="192" t="n">
        <x:v>0</x:v>
      </x:c>
    </x:row>
    <x:row r="872" ht="56" customHeight="1">
      <x:c r="A872" s="192" t="str">
        <x:v>physician</x:v>
      </x:c>
      <x:c r="B872" s="192" t="str">
        <x:v>n.</x:v>
      </x:c>
      <x:c r="C872" s="194" t="str">
        <x:v>лікар</x:v>
      </x:c>
      <x:c r="D872" s="195" t="str">
        <x:v>Лікар, який отримав підготовку в медицині.</x:v>
      </x:c>
      <x:c r="E872" s="192" t="str">
        <x:v>Oxford C1</x:v>
      </x:c>
      <x:c r="F872" s="192" t="str">
        <x:v>Core</x:v>
      </x:c>
      <x:c r="G872" s="192" t="str">
        <x:v>Not Started</x:v>
      </x:c>
      <x:c r="H872" s="192" t="n">
        <x:v>0</x:v>
      </x:c>
    </x:row>
    <x:row r="873" ht="56" customHeight="1">
      <x:c r="A873" s="192" t="str">
        <x:v>pioneer</x:v>
      </x:c>
      <x:c r="B873" s="192" t="str">
        <x:v>n., v.</x:v>
      </x:c>
      <x:c r="C873" s="194" t="str">
        <x:v>піонер</x:v>
      </x:c>
      <x:c r="D873" s="195" t="str">
        <x:v>Бути першим, хто зробив або досяг (щось), готуючи шлях для інших.</x:v>
      </x:c>
      <x:c r="E873" s="192" t="str">
        <x:v>Oxford C1</x:v>
      </x:c>
      <x:c r="F873" s="192" t="str">
        <x:v>Core</x:v>
      </x:c>
      <x:c r="G873" s="192" t="str">
        <x:v>Not Started</x:v>
      </x:c>
      <x:c r="H873" s="192" t="n">
        <x:v>0</x:v>
      </x:c>
    </x:row>
    <x:row r="874" ht="56" customHeight="1">
      <x:c r="A874" s="192" t="str">
        <x:v>pipeline</x:v>
      </x:c>
      <x:c r="B874" s="192" t="str">
        <x:v>n.</x:v>
      </x:c>
      <x:c r="C874" s="194" t="str">
        <x:v>трубопровід</x:v>
      </x:c>
      <x:c r="D874" s="195" t="str">
        <x:v>Трубопровід із труб, який використовується для транспортування води, газу чи нафти тощо.</x:v>
      </x:c>
      <x:c r="E874" s="192" t="str">
        <x:v>Oxford C1</x:v>
      </x:c>
      <x:c r="F874" s="192" t="str">
        <x:v>Core</x:v>
      </x:c>
      <x:c r="G874" s="192" t="str">
        <x:v>Not Started</x:v>
      </x:c>
      <x:c r="H874" s="192" t="n">
        <x:v>0</x:v>
      </x:c>
    </x:row>
    <x:row r="875" ht="56" customHeight="1">
      <x:c r="A875" s="192" t="str">
        <x:v>pirate</x:v>
      </x:c>
      <x:c r="B875" s="192" t="str">
        <x:v>n.</x:v>
      </x:c>
      <x:c r="C875" s="194" t="str">
        <x:v>пірат</x:v>
      </x:c>
      <x:c r="D875" s="195" t="str">
        <x:v>Злочинець, який грабує на морі; зазвичай нападають на торговельні судна, хоча часто грабують портові міста.</x:v>
      </x:c>
      <x:c r="E875" s="192" t="str">
        <x:v>Oxford C1</x:v>
      </x:c>
      <x:c r="F875" s="192" t="str">
        <x:v>Core</x:v>
      </x:c>
      <x:c r="G875" s="192" t="str">
        <x:v>Not Started</x:v>
      </x:c>
      <x:c r="H875" s="192" t="n">
        <x:v>0</x:v>
      </x:c>
    </x:row>
    <x:row r="876" ht="56" customHeight="1">
      <x:c r="A876" s="192" t="str">
        <x:v>pit</x:v>
      </x:c>
      <x:c r="B876" s="192" t="str">
        <x:v>n.</x:v>
      </x:c>
      <x:c r="C876" s="194" t="str">
        <x:v>яма</x:v>
      </x:c>
      <x:c r="D876" s="195" t="str">
        <x:v>Яма в землі.</x:v>
      </x:c>
      <x:c r="E876" s="192" t="str">
        <x:v>Oxford C1</x:v>
      </x:c>
      <x:c r="F876" s="192" t="str">
        <x:v>Core</x:v>
      </x:c>
      <x:c r="G876" s="192" t="str">
        <x:v>Not Started</x:v>
      </x:c>
      <x:c r="H876" s="192" t="n">
        <x:v>0</x:v>
      </x:c>
    </x:row>
    <x:row r="877" ht="56" customHeight="1">
      <x:c r="A877" s="192" t="str">
        <x:v>plea</x:v>
      </x:c>
      <x:c r="B877" s="192" t="str">
        <x:v>n.</x:v>
      </x:c>
      <x:c r="C877" s="194" t="str">
        <x:v>прохання</x:v>
      </x:c>
      <x:c r="D877" s="195" t="str">
        <x:v>Звернення, прохання, настійна молитва чи благання.</x:v>
      </x:c>
      <x:c r="E877" s="192" t="str">
        <x:v>Oxford C1</x:v>
      </x:c>
      <x:c r="F877" s="192" t="str">
        <x:v>Core</x:v>
      </x:c>
      <x:c r="G877" s="192" t="str">
        <x:v>Not Started</x:v>
      </x:c>
      <x:c r="H877" s="192" t="n">
        <x:v>0</x:v>
      </x:c>
    </x:row>
    <x:row r="878" ht="56" customHeight="1">
      <x:c r="A878" s="192" t="str">
        <x:v>plead</x:v>
      </x:c>
      <x:c r="B878" s="192" t="str">
        <x:v>v.</x:v>
      </x:c>
      <x:c r="C878" s="194" t="str">
        <x:v>благати</x:v>
      </x:c>
      <x:c r="D878" s="195" t="str">
        <x:v>Представити (аргумент або прохання), особливо в юридичній справі.</x:v>
      </x:c>
      <x:c r="E878" s="192" t="str">
        <x:v>Oxford C1</x:v>
      </x:c>
      <x:c r="F878" s="192" t="str">
        <x:v>Core</x:v>
      </x:c>
      <x:c r="G878" s="192" t="str">
        <x:v>Not Started</x:v>
      </x:c>
      <x:c r="H878" s="192" t="n">
        <x:v>0</x:v>
      </x:c>
    </x:row>
    <x:row r="879" ht="56" customHeight="1">
      <x:c r="A879" s="192" t="str">
        <x:v>pledge</x:v>
      </x:c>
      <x:c r="B879" s="192" t="str">
        <x:v>v., n.</x:v>
      </x:c>
      <x:c r="C879" s="194" t="str">
        <x:v>застава</x:v>
      </x:c>
      <x:c r="D879" s="195" t="str">
        <x:v>Дати урочисту обіцянку (щось зробити).</x:v>
      </x:c>
      <x:c r="E879" s="192" t="str">
        <x:v>Oxford C1</x:v>
      </x:c>
      <x:c r="F879" s="192" t="str">
        <x:v>Core</x:v>
      </x:c>
      <x:c r="G879" s="192" t="str">
        <x:v>Not Started</x:v>
      </x:c>
      <x:c r="H879" s="192" t="n">
        <x:v>0</x:v>
      </x:c>
    </x:row>
    <x:row r="880" ht="56" customHeight="1">
      <x:c r="A880" s="192" t="str">
        <x:v>plug</x:v>
      </x:c>
      <x:c r="B880" s="192" t="str">
        <x:v>v., n.</x:v>
      </x:c>
      <x:c r="C880" s="194" t="str">
        <x:v>пробка</x:v>
      </x:c>
      <x:c r="D880" s="195" t="str">
        <x:v>Зупинити вилкою; зробити щільним, закривши отвір.</x:v>
      </x:c>
      <x:c r="E880" s="192" t="str">
        <x:v>Oxford C1</x:v>
      </x:c>
      <x:c r="F880" s="192" t="str">
        <x:v>Core</x:v>
      </x:c>
      <x:c r="G880" s="192" t="str">
        <x:v>Not Started</x:v>
      </x:c>
      <x:c r="H880" s="192" t="n">
        <x:v>0</x:v>
      </x:c>
    </x:row>
    <x:row r="881" ht="56" customHeight="1">
      <x:c r="A881" s="192" t="str">
        <x:v>plunge</x:v>
      </x:c>
      <x:c r="B881" s="192" t="str">
        <x:v>v.</x:v>
      </x:c>
      <x:c r="C881" s="194" t="str">
        <x:v>зануритися</x:v>
      </x:c>
      <x:c r="D881" s="195" t="str">
        <x:v>Пірнати, стрибати або кидатися (у воду або якусь рідину); занурюватися.</x:v>
      </x:c>
      <x:c r="E881" s="192" t="str">
        <x:v>Oxford C1</x:v>
      </x:c>
      <x:c r="F881" s="192" t="str">
        <x:v>Core</x:v>
      </x:c>
      <x:c r="G881" s="192" t="str">
        <x:v>Not Started</x:v>
      </x:c>
      <x:c r="H881" s="192" t="n">
        <x:v>0</x:v>
      </x:c>
    </x:row>
    <x:row r="882" ht="56" customHeight="1">
      <x:c r="A882" s="192" t="str">
        <x:v>pole</x:v>
      </x:c>
      <x:c r="B882" s="192" t="str">
        <x:v>n.</x:v>
      </x:c>
      <x:c r="C882" s="194" t="str">
        <x:v>стовп</x:v>
      </x:c>
      <x:c r="D882" s="195" t="str">
        <x:v>Первісно — палиця; тепер конкретно, довгий і тонкий шматок металу або (особливо) дерева, що використовується для різних будівельних або опорних цілей.</x:v>
      </x:c>
      <x:c r="E882" s="192" t="str">
        <x:v>Oxford C1</x:v>
      </x:c>
      <x:c r="F882" s="192" t="str">
        <x:v>Core</x:v>
      </x:c>
      <x:c r="G882" s="192" t="str">
        <x:v>Not Started</x:v>
      </x:c>
      <x:c r="H882" s="192" t="n">
        <x:v>0</x:v>
      </x:c>
    </x:row>
    <x:row r="883" ht="56" customHeight="1">
      <x:c r="A883" s="192" t="str">
        <x:v>poll</x:v>
      </x:c>
      <x:c r="B883" s="192" t="str">
        <x:v>n.</x:v>
      </x:c>
      <x:c r="C883" s="194" t="str">
        <x:v>опитування</x:v>
      </x:c>
      <x:c r="D883" s="195" t="str">
        <x:v>Опитування людей, зазвичай зі статистичним аналізом для оцінки ширшої громадської думки.</x:v>
      </x:c>
      <x:c r="E883" s="192" t="str">
        <x:v>Oxford C1</x:v>
      </x:c>
      <x:c r="F883" s="192" t="str">
        <x:v>Core</x:v>
      </x:c>
      <x:c r="G883" s="192" t="str">
        <x:v>Not Started</x:v>
      </x:c>
      <x:c r="H883" s="192" t="n">
        <x:v>0</x:v>
      </x:c>
    </x:row>
    <x:row r="884" ht="56" customHeight="1">
      <x:c r="A884" s="192" t="str">
        <x:v>pond</x:v>
      </x:c>
      <x:c r="B884" s="192" t="str">
        <x:v>n.</x:v>
      </x:c>
      <x:c r="C884" s="194" t="str">
        <x:v>ставок</x:v>
      </x:c>
      <x:c r="D884" s="195" t="str">
        <x:v>Внутрішня водойма зі стоячою водою, природна чи створена людиною, менша за озеро.</x:v>
      </x:c>
      <x:c r="E884" s="192" t="str">
        <x:v>Oxford C1</x:v>
      </x:c>
      <x:c r="F884" s="192" t="str">
        <x:v>Core</x:v>
      </x:c>
      <x:c r="G884" s="192" t="str">
        <x:v>Not Started</x:v>
      </x:c>
      <x:c r="H884" s="192" t="n">
        <x:v>0</x:v>
      </x:c>
    </x:row>
    <x:row r="885" ht="56" customHeight="1">
      <x:c r="A885" s="192" t="str">
        <x:v>pop</x:v>
      </x:c>
      <x:c r="B885" s="192" t="str">
        <x:v>v.</x:v>
      </x:c>
      <x:c r="C885" s="194" t="str">
        <x:v>поп</x:v>
      </x:c>
      <x:c r="D885" s="195" t="str">
        <x:v>Видавати різкий або різкий швидкий звук.</x:v>
      </x:c>
      <x:c r="E885" s="192" t="str">
        <x:v>Oxford C1</x:v>
      </x:c>
      <x:c r="F885" s="192" t="str">
        <x:v>Core</x:v>
      </x:c>
      <x:c r="G885" s="192" t="str">
        <x:v>Not Started</x:v>
      </x:c>
      <x:c r="H885" s="192" t="n">
        <x:v>0</x:v>
      </x:c>
    </x:row>
    <x:row r="886" ht="56" customHeight="1">
      <x:c r="A886" s="192" t="str">
        <x:v>portfolio</x:v>
      </x:c>
      <x:c r="B886" s="192" t="str">
        <x:v>n.</x:v>
      </x:c>
      <x:c r="C886" s="194" t="str">
        <x:v>портфоліо</x:v>
      </x:c>
      <x:c r="D886" s="195" t="str">
        <x:v>Група інвестицій та інших активів, якими володіє інвестор.</x:v>
      </x:c>
      <x:c r="E886" s="192" t="str">
        <x:v>Oxford C1</x:v>
      </x:c>
      <x:c r="F886" s="192" t="str">
        <x:v>Core</x:v>
      </x:c>
      <x:c r="G886" s="192" t="str">
        <x:v>Not Started</x:v>
      </x:c>
      <x:c r="H886" s="192" t="n">
        <x:v>0</x:v>
      </x:c>
    </x:row>
    <x:row r="887" ht="56" customHeight="1">
      <x:c r="A887" s="192" t="str">
        <x:v>portray</x:v>
      </x:c>
      <x:c r="B887" s="192" t="str">
        <x:v>v.</x:v>
      </x:c>
      <x:c r="C887" s="194" t="str">
        <x:v>зображувати</x:v>
      </x:c>
      <x:c r="D887" s="195" t="str">
        <x:v>Грати роль; для зображення персонажа, людини, ситуації чи події.</x:v>
      </x:c>
      <x:c r="E887" s="192" t="str">
        <x:v>Oxford C1</x:v>
      </x:c>
      <x:c r="F887" s="192" t="str">
        <x:v>Core</x:v>
      </x:c>
      <x:c r="G887" s="192" t="str">
        <x:v>Not Started</x:v>
      </x:c>
      <x:c r="H887" s="192" t="n">
        <x:v>0</x:v>
      </x:c>
    </x:row>
    <x:row r="888" ht="56" customHeight="1">
      <x:c r="A888" s="192" t="str">
        <x:v>postpone</x:v>
      </x:c>
      <x:c r="B888" s="192" t="str">
        <x:v>v.</x:v>
      </x:c>
      <x:c r="C888" s="194" t="str">
        <x:v>відкласти</x:v>
      </x:c>
      <x:c r="D888" s="195" t="str">
        <x:v>Відкласти або відкласти подію, зустріч тощо.</x:v>
      </x:c>
      <x:c r="E888" s="192" t="str">
        <x:v>Oxford C1</x:v>
      </x:c>
      <x:c r="F888" s="192" t="str">
        <x:v>Core</x:v>
      </x:c>
      <x:c r="G888" s="192" t="str">
        <x:v>Not Started</x:v>
      </x:c>
      <x:c r="H888" s="192" t="n">
        <x:v>0</x:v>
      </x:c>
    </x:row>
    <x:row r="889" ht="56" customHeight="1">
      <x:c r="A889" s="192" t="str">
        <x:v>post-war</x:v>
      </x:c>
      <x:c r="B889" s="192" t="str">
        <x:v>adj.</x:v>
      </x:c>
      <x:c r="C889" s="194" t="str">
        <x:v>післявоєнний</x:v>
      </x:c>
      <x:c r="D889" s="195" t="str">
        <x:v>Відноситься до періоду часу відразу після закінчення війни; де є припинення конфлікту.</x:v>
      </x:c>
      <x:c r="E889" s="192" t="str">
        <x:v>Oxford C1</x:v>
      </x:c>
      <x:c r="F889" s="192" t="str">
        <x:v>Core</x:v>
      </x:c>
      <x:c r="G889" s="192" t="str">
        <x:v>Not Started</x:v>
      </x:c>
      <x:c r="H889" s="192" t="n">
        <x:v>0</x:v>
      </x:c>
    </x:row>
    <x:row r="890" ht="56" customHeight="1">
      <x:c r="A890" s="192" t="str">
        <x:v>practitioner</x:v>
      </x:c>
      <x:c r="B890" s="192" t="str">
        <x:v>n.</x:v>
      </x:c>
      <x:c r="C890" s="194" t="str">
        <x:v>практик</x:v>
      </x:c>
      <x:c r="D890" s="195" t="str">
        <x:v>Людина, яка займається професією чи мистецтвом, особливо правом чи медициною.</x:v>
      </x:c>
      <x:c r="E890" s="192" t="str">
        <x:v>Oxford C1</x:v>
      </x:c>
      <x:c r="F890" s="192" t="str">
        <x:v>Core</x:v>
      </x:c>
      <x:c r="G890" s="192" t="str">
        <x:v>Not Started</x:v>
      </x:c>
      <x:c r="H890" s="192" t="n">
        <x:v>0</x:v>
      </x:c>
    </x:row>
    <x:row r="891" ht="56" customHeight="1">
      <x:c r="A891" s="192" t="str">
        <x:v>preach</x:v>
      </x:c>
      <x:c r="B891" s="192" t="str">
        <x:v>v.</x:v>
      </x:c>
      <x:c r="C891" s="194" t="str">
        <x:v>проповідувати</x:v>
      </x:c>
      <x:c r="D891" s="195" t="str">
        <x:v>Проголошувати публічним дискурсом; виголошувати в проповіді чи офіційній релігійній промові.</x:v>
      </x:c>
      <x:c r="E891" s="192" t="str">
        <x:v>Oxford C1</x:v>
      </x:c>
      <x:c r="F891" s="192" t="str">
        <x:v>Core</x:v>
      </x:c>
      <x:c r="G891" s="192" t="str">
        <x:v>Not Started</x:v>
      </x:c>
      <x:c r="H891" s="192" t="n">
        <x:v>0</x:v>
      </x:c>
    </x:row>
    <x:row r="892" ht="56" customHeight="1">
      <x:c r="A892" s="192" t="str">
        <x:v>precedent</x:v>
      </x:c>
      <x:c r="B892" s="192" t="str">
        <x:v>n.</x:v>
      </x:c>
      <x:c r="C892" s="194" t="str">
        <x:v>прецедент</x:v>
      </x:c>
      <x:c r="D892" s="195" t="str">
        <x:v>Дія в минулому, яку можна використати як приклад, щоб допомогти визначити результат подібних випадків у майбутньому.</x:v>
      </x:c>
      <x:c r="E892" s="192" t="str">
        <x:v>Oxford C1</x:v>
      </x:c>
      <x:c r="F892" s="192" t="str">
        <x:v>Core</x:v>
      </x:c>
      <x:c r="G892" s="192" t="str">
        <x:v>Not Started</x:v>
      </x:c>
      <x:c r="H892" s="192" t="n">
        <x:v>0</x:v>
      </x:c>
    </x:row>
    <x:row r="893" ht="56" customHeight="1">
      <x:c r="A893" s="192" t="str">
        <x:v>precision</x:v>
      </x:c>
      <x:c r="B893" s="192" t="str">
        <x:v>n.</x:v>
      </x:c>
      <x:c r="C893" s="194" t="str">
        <x:v>точність</x:v>
      </x:c>
      <x:c r="D893" s="195" t="str">
        <x:v>Стан бути точним або точним; особливо, як точні, так і точні.</x:v>
      </x:c>
      <x:c r="E893" s="192" t="str">
        <x:v>Oxford C1</x:v>
      </x:c>
      <x:c r="F893" s="192" t="str">
        <x:v>Core</x:v>
      </x:c>
      <x:c r="G893" s="192" t="str">
        <x:v>Not Started</x:v>
      </x:c>
      <x:c r="H893" s="192" t="n">
        <x:v>0</x:v>
      </x:c>
    </x:row>
    <x:row r="894" ht="56" customHeight="1">
      <x:c r="A894" s="192" t="str">
        <x:v>predator</x:v>
      </x:c>
      <x:c r="B894" s="192" t="str">
        <x:v>n.</x:v>
      </x:c>
      <x:c r="C894" s="194" t="str">
        <x:v>хижак</x:v>
      </x:c>
      <x:c r="D894" s="195" t="str">
        <x:v>Будь-яка тварина чи інший організм, який полює та вбиває інші нерослинні організми (їхню здобич), головним чином для їжі.</x:v>
      </x:c>
      <x:c r="E894" s="192" t="str">
        <x:v>Oxford C1</x:v>
      </x:c>
      <x:c r="F894" s="192" t="str">
        <x:v>Core</x:v>
      </x:c>
      <x:c r="G894" s="192" t="str">
        <x:v>Not Started</x:v>
      </x:c>
      <x:c r="H894" s="192" t="n">
        <x:v>0</x:v>
      </x:c>
    </x:row>
    <x:row r="895" ht="56" customHeight="1">
      <x:c r="A895" s="192" t="str">
        <x:v>predecessor</x:v>
      </x:c>
      <x:c r="B895" s="192" t="str">
        <x:v>n.</x:v>
      </x:c>
      <x:c r="C895" s="194" t="str">
        <x:v>попередник</x:v>
      </x:c>
      <x:c r="D895" s="195" t="str">
        <x:v>Той, хто передує; той, хто передував іншому в будь-якому стані, посаді, посаді тощо; той, за ким слідує або приходить інший на будь-якій посаді чи посаді.</x:v>
      </x:c>
      <x:c r="E895" s="192" t="str">
        <x:v>Oxford C1</x:v>
      </x:c>
      <x:c r="F895" s="192" t="str">
        <x:v>Core</x:v>
      </x:c>
      <x:c r="G895" s="192" t="str">
        <x:v>Not Started</x:v>
      </x:c>
      <x:c r="H895" s="192" t="n">
        <x:v>0</x:v>
      </x:c>
    </x:row>
    <x:row r="896" ht="56" customHeight="1">
      <x:c r="A896" s="192" t="str">
        <x:v>predominantly</x:v>
      </x:c>
      <x:c r="B896" s="192" t="str">
        <x:v>adv.</x:v>
      </x:c>
      <x:c r="C896" s="194" t="str">
        <x:v>переважно</x:v>
      </x:c>
      <x:c r="D896" s="195" t="str">
        <x:v>Переважним чином. Найчастіше або часто з великим відривом.</x:v>
      </x:c>
      <x:c r="E896" s="192" t="str">
        <x:v>Oxford C1 + AWL 8</x:v>
      </x:c>
      <x:c r="F896" s="192" t="str">
        <x:v>High</x:v>
      </x:c>
      <x:c r="G896" s="192" t="str">
        <x:v>Not Started</x:v>
      </x:c>
      <x:c r="H896" s="192" t="n">
        <x:v>0</x:v>
      </x:c>
    </x:row>
    <x:row r="897" ht="56" customHeight="1">
      <x:c r="A897" s="192" t="str">
        <x:v>pregnancy</x:v>
      </x:c>
      <x:c r="B897" s="192" t="str">
        <x:v>n.</x:v>
      </x:c>
      <x:c r="C897" s="194" t="str">
        <x:v>вагітність</x:v>
      </x:c>
      <x:c r="D897" s="195" t="str">
        <x:v>Стан вагітності; приклад цього.</x:v>
      </x:c>
      <x:c r="E897" s="192" t="str">
        <x:v>Oxford C1</x:v>
      </x:c>
      <x:c r="F897" s="192" t="str">
        <x:v>Core</x:v>
      </x:c>
      <x:c r="G897" s="192" t="str">
        <x:v>Not Started</x:v>
      </x:c>
      <x:c r="H897" s="192" t="n">
        <x:v>0</x:v>
      </x:c>
    </x:row>
    <x:row r="898" ht="56" customHeight="1">
      <x:c r="A898" s="192" t="str">
        <x:v>prejudice</x:v>
      </x:c>
      <x:c r="B898" s="192" t="str">
        <x:v>n.</x:v>
      </x:c>
      <x:c r="C898" s="194" t="str">
        <x:v>упередження</x:v>
      </x:c>
      <x:c r="D898" s="195" t="str">
        <x:v>Негативне судження чи думка, сформовані заздалегідь або без знання фактів.</x:v>
      </x:c>
      <x:c r="E898" s="192" t="str">
        <x:v>Oxford C1</x:v>
      </x:c>
      <x:c r="F898" s="192" t="str">
        <x:v>Core</x:v>
      </x:c>
      <x:c r="G898" s="192" t="str">
        <x:v>Not Started</x:v>
      </x:c>
      <x:c r="H898" s="192" t="n">
        <x:v>0</x:v>
      </x:c>
    </x:row>
    <x:row r="899" ht="56" customHeight="1">
      <x:c r="A899" s="192" t="str">
        <x:v>preliminary</x:v>
      </x:c>
      <x:c r="B899" s="192" t="str">
        <x:v>adj.</x:v>
      </x:c>
      <x:c r="C899" s="194" t="str">
        <x:v>попередній</x:v>
      </x:c>
      <x:c r="D899" s="195" t="str">
        <x:v>При підготовці до основної справи; початковий, вступний, підготовчий.</x:v>
      </x:c>
      <x:c r="E899" s="192" t="str">
        <x:v>Oxford C1 + AWL 9</x:v>
      </x:c>
      <x:c r="F899" s="192" t="str">
        <x:v>High</x:v>
      </x:c>
      <x:c r="G899" s="192" t="str">
        <x:v>Not Started</x:v>
      </x:c>
      <x:c r="H899" s="192" t="n">
        <x:v>0</x:v>
      </x:c>
    </x:row>
    <x:row r="900" ht="56" customHeight="1">
      <x:c r="A900" s="192" t="str">
        <x:v>premier</x:v>
      </x:c>
      <x:c r="B900" s="192" t="str">
        <x:v>n.</x:v>
      </x:c>
      <x:c r="C900" s="194" t="str">
        <x:v>прем'єр</x:v>
      </x:c>
      <x:c r="D900" s="195" t="str">
        <x:v>Глава уряду в парламенті та лідер кабінету.</x:v>
      </x:c>
      <x:c r="E900" s="192" t="str">
        <x:v>Oxford C1</x:v>
      </x:c>
      <x:c r="F900" s="192" t="str">
        <x:v>Core</x:v>
      </x:c>
      <x:c r="G900" s="192" t="str">
        <x:v>Not Started</x:v>
      </x:c>
      <x:c r="H900" s="192" t="n">
        <x:v>0</x:v>
      </x:c>
    </x:row>
    <x:row r="901" ht="56" customHeight="1">
      <x:c r="A901" s="192" t="str">
        <x:v>premise</x:v>
      </x:c>
      <x:c r="B901" s="192" t="str">
        <x:v>n.</x:v>
      </x:c>
      <x:c r="C901" s="194" t="str">
        <x:v>приміщення</x:v>
      </x:c>
      <x:c r="D901" s="195" t="str">
        <x:v>Пропозиція, передбачувана або доведена раніше; те, що раніше було сказано або прийнято як основу подальших аргументів; умова; припущення.</x:v>
      </x:c>
      <x:c r="E901" s="192" t="str">
        <x:v>Oxford C1</x:v>
      </x:c>
      <x:c r="F901" s="192" t="str">
        <x:v>Core</x:v>
      </x:c>
      <x:c r="G901" s="192" t="str">
        <x:v>Not Started</x:v>
      </x:c>
      <x:c r="H901" s="192" t="n">
        <x:v>0</x:v>
      </x:c>
    </x:row>
    <x:row r="902" ht="56" customHeight="1">
      <x:c r="A902" s="192" t="str">
        <x:v>premium</x:v>
      </x:c>
      <x:c r="B902" s="192" t="str">
        <x:v>n.</x:v>
      </x:c>
      <x:c r="C902" s="194" t="str">
        <x:v>премія</x:v>
      </x:c>
      <x:c r="D902" s="195" t="str">
        <x:v>Сума, яку потрібно заплатити за страховий поліс.</x:v>
      </x:c>
      <x:c r="E902" s="192" t="str">
        <x:v>Oxford C1</x:v>
      </x:c>
      <x:c r="F902" s="192" t="str">
        <x:v>Core</x:v>
      </x:c>
      <x:c r="G902" s="192" t="str">
        <x:v>Not Started</x:v>
      </x:c>
      <x:c r="H902" s="192" t="n">
        <x:v>0</x:v>
      </x:c>
    </x:row>
    <x:row r="903" ht="56" customHeight="1">
      <x:c r="A903" s="192" t="str">
        <x:v>prescribe</x:v>
      </x:c>
      <x:c r="B903" s="192" t="str">
        <x:v>v.</x:v>
      </x:c>
      <x:c r="C903" s="194" t="str">
        <x:v>призначати</x:v>
      </x:c>
      <x:c r="D903" s="195" t="str">
        <x:v>Замовити (лікарський засіб або медичний пристрій) для використання конкретним пацієнтом (за ліцензією).</x:v>
      </x:c>
      <x:c r="E903" s="192" t="str">
        <x:v>Oxford C1</x:v>
      </x:c>
      <x:c r="F903" s="192" t="str">
        <x:v>Core</x:v>
      </x:c>
      <x:c r="G903" s="192" t="str">
        <x:v>Not Started</x:v>
      </x:c>
      <x:c r="H903" s="192" t="n">
        <x:v>0</x:v>
      </x:c>
    </x:row>
    <x:row r="904" ht="56" customHeight="1">
      <x:c r="A904" s="192" t="str">
        <x:v>prescription</x:v>
      </x:c>
      <x:c r="B904" s="192" t="str">
        <x:v>n.</x:v>
      </x:c>
      <x:c r="C904" s="194" t="str">
        <x:v>рецепт</x:v>
      </x:c>
      <x:c r="D904" s="195" t="str">
        <x:v>Письмове розпорядження від уповноваженого практикуючого лікаря про надання ліків або інше лікування, наприклад (офтальмологічне) спеціальні лінзи, необхідні для пари окулярів.</x:v>
      </x:c>
      <x:c r="E904" s="192" t="str">
        <x:v>Oxford C1</x:v>
      </x:c>
      <x:c r="F904" s="192" t="str">
        <x:v>Core</x:v>
      </x:c>
      <x:c r="G904" s="192" t="str">
        <x:v>Not Started</x:v>
      </x:c>
      <x:c r="H904" s="192" t="n">
        <x:v>0</x:v>
      </x:c>
    </x:row>
    <x:row r="905" ht="56" customHeight="1">
      <x:c r="A905" s="192" t="str">
        <x:v>presently</x:v>
      </x:c>
      <x:c r="B905" s="192" t="str">
        <x:v>adv.</x:v>
      </x:c>
      <x:c r="C905" s="194" t="str">
        <x:v>зараз</x:v>
      </x:c>
      <x:c r="D905" s="195" t="str">
        <x:v>В даний час; зараз; в даний час.</x:v>
      </x:c>
      <x:c r="E905" s="192" t="str">
        <x:v>Oxford C1</x:v>
      </x:c>
      <x:c r="F905" s="192" t="str">
        <x:v>Core</x:v>
      </x:c>
      <x:c r="G905" s="192" t="str">
        <x:v>Not Started</x:v>
      </x:c>
      <x:c r="H905" s="192" t="n">
        <x:v>0</x:v>
      </x:c>
    </x:row>
    <x:row r="906" ht="56" customHeight="1">
      <x:c r="A906" s="192" t="str">
        <x:v>preservation</x:v>
      </x:c>
      <x:c r="B906" s="192" t="str">
        <x:v>n.</x:v>
      </x:c>
      <x:c r="C906" s="194" t="str">
        <x:v>збереження</x:v>
      </x:c>
      <x:c r="D906" s="195" t="str">
        <x:v>Акт збереження; піклуватися про збереження; акт збереження від знищення, занепаду чи будь-якого поганого.</x:v>
      </x:c>
      <x:c r="E906" s="192" t="str">
        <x:v>Oxford C1</x:v>
      </x:c>
      <x:c r="F906" s="192" t="str">
        <x:v>Core</x:v>
      </x:c>
      <x:c r="G906" s="192" t="str">
        <x:v>Not Started</x:v>
      </x:c>
      <x:c r="H906" s="192" t="n">
        <x:v>0</x:v>
      </x:c>
    </x:row>
    <x:row r="907" ht="56" customHeight="1">
      <x:c r="A907" s="192" t="str">
        <x:v>preside</x:v>
      </x:c>
      <x:c r="B907" s="192" t="str">
        <x:v>v.</x:v>
      </x:c>
      <x:c r="C907" s="194" t="str">
        <x:v>головувати</x:v>
      </x:c>
      <x:c r="D907" s="195" t="str">
        <x:v>Діяти як президент або голова.</x:v>
      </x:c>
      <x:c r="E907" s="192" t="str">
        <x:v>Oxford C1</x:v>
      </x:c>
      <x:c r="F907" s="192" t="str">
        <x:v>Core</x:v>
      </x:c>
      <x:c r="G907" s="192" t="str">
        <x:v>Not Started</x:v>
      </x:c>
      <x:c r="H907" s="192" t="n">
        <x:v>0</x:v>
      </x:c>
    </x:row>
    <x:row r="908" ht="56" customHeight="1">
      <x:c r="A908" s="192" t="str">
        <x:v>presidency</x:v>
      </x:c>
      <x:c r="B908" s="192" t="str">
        <x:v>n.</x:v>
      </x:c>
      <x:c r="C908" s="194" t="str">
        <x:v>президентство</x:v>
      </x:c>
      <x:c r="D908" s="195" t="str">
        <x:v>Посада або роль президента.</x:v>
      </x:c>
      <x:c r="E908" s="192" t="str">
        <x:v>Oxford C1</x:v>
      </x:c>
      <x:c r="F908" s="192" t="str">
        <x:v>Core</x:v>
      </x:c>
      <x:c r="G908" s="192" t="str">
        <x:v>Not Started</x:v>
      </x:c>
      <x:c r="H908" s="192" t="n">
        <x:v>0</x:v>
      </x:c>
    </x:row>
    <x:row r="909" ht="56" customHeight="1">
      <x:c r="A909" s="192" t="str">
        <x:v>presidential</x:v>
      </x:c>
      <x:c r="B909" s="192" t="str">
        <x:v>adj.</x:v>
      </x:c>
      <x:c r="C909" s="194" t="str">
        <x:v>президентський</x:v>
      </x:c>
      <x:c r="D909" s="195" t="str">
        <x:v>Що стосується президента чи президентства.</x:v>
      </x:c>
      <x:c r="E909" s="192" t="str">
        <x:v>Oxford C1</x:v>
      </x:c>
      <x:c r="F909" s="192" t="str">
        <x:v>Core</x:v>
      </x:c>
      <x:c r="G909" s="192" t="str">
        <x:v>Not Started</x:v>
      </x:c>
      <x:c r="H909" s="192" t="n">
        <x:v>0</x:v>
      </x:c>
    </x:row>
    <x:row r="910" ht="56" customHeight="1">
      <x:c r="A910" s="192" t="str">
        <x:v>prestigious</x:v>
      </x:c>
      <x:c r="B910" s="192" t="str">
        <x:v>adj.</x:v>
      </x:c>
      <x:c r="C910" s="194" t="str">
        <x:v>престижний</x:v>
      </x:c>
      <x:c r="D910" s="195" t="str">
        <x:v>Високого престижу.</x:v>
      </x:c>
      <x:c r="E910" s="192" t="str">
        <x:v>Oxford C1</x:v>
      </x:c>
      <x:c r="F910" s="192" t="str">
        <x:v>Core</x:v>
      </x:c>
      <x:c r="G910" s="192" t="str">
        <x:v>Not Started</x:v>
      </x:c>
      <x:c r="H910" s="192" t="n">
        <x:v>0</x:v>
      </x:c>
    </x:row>
    <x:row r="911" ht="56" customHeight="1">
      <x:c r="A911" s="192" t="str">
        <x:v>presumably</x:v>
      </x:c>
      <x:c r="B911" s="192" t="str">
        <x:v>adv.</x:v>
      </x:c>
      <x:c r="C911" s="194" t="str">
        <x:v>мабуть</x:v>
      </x:c>
      <x:c r="D911" s="195" t="str">
        <x:v>Здатний бути розумно припущеним.</x:v>
      </x:c>
      <x:c r="E911" s="192" t="str">
        <x:v>Oxford C1</x:v>
      </x:c>
      <x:c r="F911" s="192" t="str">
        <x:v>Core</x:v>
      </x:c>
      <x:c r="G911" s="192" t="str">
        <x:v>Not Started</x:v>
      </x:c>
      <x:c r="H911" s="192" t="n">
        <x:v>0</x:v>
      </x:c>
    </x:row>
    <x:row r="912" ht="56" customHeight="1">
      <x:c r="A912" s="192" t="str">
        <x:v>presume</x:v>
      </x:c>
      <x:c r="B912" s="192" t="str">
        <x:v>v.</x:v>
      </x:c>
      <x:c r="C912" s="194" t="str">
        <x:v>припустити</x:v>
      </x:c>
      <x:c r="D912" s="195" t="str">
        <x:v>Припускати або припускати, що це правда (без доказів); приймати як належне, припускати.</x:v>
      </x:c>
      <x:c r="E912" s="192" t="str">
        <x:v>Oxford C1</x:v>
      </x:c>
      <x:c r="F912" s="192" t="str">
        <x:v>Core</x:v>
      </x:c>
      <x:c r="G912" s="192" t="str">
        <x:v>Not Started</x:v>
      </x:c>
      <x:c r="H912" s="192" t="n">
        <x:v>0</x:v>
      </x:c>
    </x:row>
    <x:row r="913" ht="56" customHeight="1">
      <x:c r="A913" s="192" t="str">
        <x:v>prevail</x:v>
      </x:c>
      <x:c r="B913" s="192" t="str">
        <x:v>v.</x:v>
      </x:c>
      <x:c r="C913" s="194" t="str">
        <x:v>переважати</x:v>
      </x:c>
      <x:c r="D913" s="195" t="str">
        <x:v>Бути вищим за силою, домінуванням, впливом або частотою; мати або отримати перевагу над іншими; мати перевагу; перевершувати інших.</x:v>
      </x:c>
      <x:c r="E913" s="192" t="str">
        <x:v>Oxford C1</x:v>
      </x:c>
      <x:c r="F913" s="192" t="str">
        <x:v>Core</x:v>
      </x:c>
      <x:c r="G913" s="192" t="str">
        <x:v>Not Started</x:v>
      </x:c>
      <x:c r="H913" s="192" t="n">
        <x:v>0</x:v>
      </x:c>
    </x:row>
    <x:row r="914" ht="56" customHeight="1">
      <x:c r="A914" s="192" t="str">
        <x:v>prevalence</x:v>
      </x:c>
      <x:c r="B914" s="192" t="str">
        <x:v>n.</x:v>
      </x:c>
      <x:c r="C914" s="194" t="str">
        <x:v>поширеність</x:v>
      </x:c>
      <x:c r="D914" s="195" t="str">
        <x:v>Якість або умова переважання; широке розширення або поширення.</x:v>
      </x:c>
      <x:c r="E914" s="192" t="str">
        <x:v>Oxford C1</x:v>
      </x:c>
      <x:c r="F914" s="192" t="str">
        <x:v>Core</x:v>
      </x:c>
      <x:c r="G914" s="192" t="str">
        <x:v>Not Started</x:v>
      </x:c>
      <x:c r="H914" s="192" t="n">
        <x:v>0</x:v>
      </x:c>
    </x:row>
    <x:row r="915" ht="56" customHeight="1">
      <x:c r="A915" s="192" t="str">
        <x:v>prevention</x:v>
      </x:c>
      <x:c r="B915" s="192" t="str">
        <x:v>n.</x:v>
      </x:c>
      <x:c r="C915" s="194" t="str">
        <x:v>профілактика</x:v>
      </x:c>
      <x:c r="D915" s="195" t="str">
        <x:v>Будь-які заходи, спрямовані на обмеження ризиків для здоров’я (такі як інформаційні кампанії, вакцинація, рання діагностика тощо).</x:v>
      </x:c>
      <x:c r="E915" s="192" t="str">
        <x:v>Oxford C1</x:v>
      </x:c>
      <x:c r="F915" s="192" t="str">
        <x:v>Core</x:v>
      </x:c>
      <x:c r="G915" s="192" t="str">
        <x:v>Not Started</x:v>
      </x:c>
      <x:c r="H915" s="192" t="n">
        <x:v>0</x:v>
      </x:c>
    </x:row>
    <x:row r="916" ht="56" customHeight="1">
      <x:c r="A916" s="192" t="str">
        <x:v>prey</x:v>
      </x:c>
      <x:c r="B916" s="192" t="str">
        <x:v>n.</x:v>
      </x:c>
      <x:c r="C916" s="194" t="str">
        <x:v>здобич</x:v>
      </x:c>
      <x:c r="D916" s="195" t="str">
        <x:v>Жива істота, зазвичай тварина, яку їсть інша жива істота.</x:v>
      </x:c>
      <x:c r="E916" s="192" t="str">
        <x:v>Oxford C1</x:v>
      </x:c>
      <x:c r="F916" s="192" t="str">
        <x:v>Core</x:v>
      </x:c>
      <x:c r="G916" s="192" t="str">
        <x:v>Not Started</x:v>
      </x:c>
      <x:c r="H916" s="192" t="n">
        <x:v>0</x:v>
      </x:c>
    </x:row>
    <x:row r="917" ht="56" customHeight="1">
      <x:c r="A917" s="192" t="str">
        <x:v>principal</x:v>
      </x:c>
      <x:c r="B917" s="192" t="str">
        <x:v>n.</x:v>
      </x:c>
      <x:c r="C917" s="194" t="str">
        <x:v>директор</x:v>
      </x:c>
      <x:c r="D917" s="195" t="str">
        <x:v>Гроші, спочатку інвестовані або позичені, на основі яких розраховуються відсотки та доходи.</x:v>
      </x:c>
      <x:c r="E917" s="192" t="str">
        <x:v>Oxford C1 + AWL 4</x:v>
      </x:c>
      <x:c r="F917" s="192" t="str">
        <x:v>High</x:v>
      </x:c>
      <x:c r="G917" s="192" t="str">
        <x:v>Not Started</x:v>
      </x:c>
      <x:c r="H917" s="192" t="n">
        <x:v>0</x:v>
      </x:c>
    </x:row>
    <x:row r="918" ht="56" customHeight="1">
      <x:c r="A918" s="192" t="str">
        <x:v>privatization</x:v>
      </x:c>
      <x:c r="B918" s="192" t="str">
        <x:v>n.</x:v>
      </x:c>
      <x:c r="C918" s="194" t="str">
        <x:v>приватизація</x:v>
      </x:c>
      <x:c r="D918" s="195" t="str">
        <x:v>Передача компанії або організації з державної власності та контролю в приватну.</x:v>
      </x:c>
      <x:c r="E918" s="192" t="str">
        <x:v>Oxford C1</x:v>
      </x:c>
      <x:c r="F918" s="192" t="str">
        <x:v>Core</x:v>
      </x:c>
      <x:c r="G918" s="192" t="str">
        <x:v>Not Started</x:v>
      </x:c>
      <x:c r="H918" s="192" t="n">
        <x:v>0</x:v>
      </x:c>
    </x:row>
    <x:row r="919" ht="56" customHeight="1">
      <x:c r="A919" s="192" t="str">
        <x:v>privilege</x:v>
      </x:c>
      <x:c r="B919" s="192" t="str">
        <x:v>n.</x:v>
      </x:c>
      <x:c r="C919" s="194" t="str">
        <x:v>привілей</x:v>
      </x:c>
      <x:c r="D919" s="195" t="str">
        <x:v>Конкретна користь, перевага або послуга; право чи імунітет, яким користуються одні, але не інші; прерогатива, пільговий режим.</x:v>
      </x:c>
      <x:c r="E919" s="192" t="str">
        <x:v>Oxford C1</x:v>
      </x:c>
      <x:c r="F919" s="192" t="str">
        <x:v>Core</x:v>
      </x:c>
      <x:c r="G919" s="192" t="str">
        <x:v>Not Started</x:v>
      </x:c>
      <x:c r="H919" s="192" t="n">
        <x:v>0</x:v>
      </x:c>
    </x:row>
    <x:row r="920" ht="56" customHeight="1">
      <x:c r="A920" s="192" t="str">
        <x:v>probe</x:v>
      </x:c>
      <x:c r="B920" s="192" t="str">
        <x:v>n., v.</x:v>
      </x:c>
      <x:c r="C920" s="194" t="str">
        <x:v>зонд</x:v>
      </x:c>
      <x:c r="D920" s="195" t="str">
        <x:v>Досліджувати, досліджувати, ставити під сумнів, перевіряти чи доводити.</x:v>
      </x:c>
      <x:c r="E920" s="192" t="str">
        <x:v>Oxford C1</x:v>
      </x:c>
      <x:c r="F920" s="192" t="str">
        <x:v>Core</x:v>
      </x:c>
      <x:c r="G920" s="192" t="str">
        <x:v>Not Started</x:v>
      </x:c>
      <x:c r="H920" s="192" t="n">
        <x:v>0</x:v>
      </x:c>
    </x:row>
    <x:row r="921" ht="56" customHeight="1">
      <x:c r="A921" s="192" t="str">
        <x:v>problematic</x:v>
      </x:c>
      <x:c r="B921" s="192" t="str">
        <x:v>adj.</x:v>
      </x:c>
      <x:c r="C921" s="194" t="str">
        <x:v>проблематичний</x:v>
      </x:c>
      <x:c r="D921" s="195" t="str">
        <x:v>Постановка проблеми; мати або страждати від проблеми(-й):</x:v>
      </x:c>
      <x:c r="E921" s="192" t="str">
        <x:v>Oxford C1</x:v>
      </x:c>
      <x:c r="F921" s="192" t="str">
        <x:v>Core</x:v>
      </x:c>
      <x:c r="G921" s="192" t="str">
        <x:v>Not Started</x:v>
      </x:c>
      <x:c r="H921" s="192" t="n">
        <x:v>0</x:v>
      </x:c>
    </x:row>
    <x:row r="922" ht="56" customHeight="1">
      <x:c r="A922" s="192" t="str">
        <x:v>proceedings</x:v>
      </x:c>
      <x:c r="B922" s="192" t="str">
        <x:v>n.</x:v>
      </x:c>
      <x:c r="C922" s="194" t="str">
        <x:v>провадження</x:v>
      </x:c>
      <x:c r="D922" s="195" t="str">
        <x:v>Порядок провадження у справі.</x:v>
      </x:c>
      <x:c r="E922" s="192" t="str">
        <x:v>Oxford C1</x:v>
      </x:c>
      <x:c r="F922" s="192" t="str">
        <x:v>Core</x:v>
      </x:c>
      <x:c r="G922" s="192" t="str">
        <x:v>Not Started</x:v>
      </x:c>
      <x:c r="H922" s="192" t="n">
        <x:v>0</x:v>
      </x:c>
    </x:row>
    <x:row r="923" ht="56" customHeight="1">
      <x:c r="A923" s="192" t="str">
        <x:v>proceeds</x:v>
      </x:c>
      <x:c r="B923" s="192" t="str">
        <x:v>n.</x:v>
      </x:c>
      <x:c r="C923" s="194" t="str">
        <x:v>доходи</x:v>
      </x:c>
      <x:c r="D923" s="195" t="str">
        <x:v>Дохід; валовий дохід.</x:v>
      </x:c>
      <x:c r="E923" s="192" t="str">
        <x:v>Oxford C1</x:v>
      </x:c>
      <x:c r="F923" s="192" t="str">
        <x:v>Core</x:v>
      </x:c>
      <x:c r="G923" s="192" t="str">
        <x:v>Not Started</x:v>
      </x:c>
      <x:c r="H923" s="192" t="n">
        <x:v>0</x:v>
      </x:c>
    </x:row>
    <x:row r="924" ht="56" customHeight="1">
      <x:c r="A924" s="192" t="str">
        <x:v>processing</x:v>
      </x:c>
      <x:c r="B924" s="192" t="str">
        <x:v>n.</x:v>
      </x:c>
      <x:c r="C924" s="194" t="str">
        <x:v>обробка</x:v>
      </x:c>
      <x:c r="D924" s="195" t="str">
        <x:v>Дія пошуку, зберігання, класифікації, обробки, передачі тощо даних, особливо за допомогою комп’ютерних технологій.</x:v>
      </x:c>
      <x:c r="E924" s="192" t="str">
        <x:v>Oxford C1</x:v>
      </x:c>
      <x:c r="F924" s="192" t="str">
        <x:v>Core</x:v>
      </x:c>
      <x:c r="G924" s="192" t="str">
        <x:v>Not Started</x:v>
      </x:c>
      <x:c r="H924" s="192" t="n">
        <x:v>0</x:v>
      </x:c>
    </x:row>
    <x:row r="925" ht="56" customHeight="1">
      <x:c r="A925" s="192" t="str">
        <x:v>processor</x:v>
      </x:c>
      <x:c r="B925" s="192" t="str">
        <x:v>n.</x:v>
      </x:c>
      <x:c r="C925" s="194" t="str">
        <x:v>процесор</x:v>
      </x:c>
      <x:c r="D925" s="195" t="str">
        <x:v>Пристрій, який обробляє, змінює щось (комп’ютерний процесор, кухонний комбайн тощо).</x:v>
      </x:c>
      <x:c r="E925" s="192" t="str">
        <x:v>Oxford C1</x:v>
      </x:c>
      <x:c r="F925" s="192" t="str">
        <x:v>Core</x:v>
      </x:c>
      <x:c r="G925" s="192" t="str">
        <x:v>Not Started</x:v>
      </x:c>
      <x:c r="H925" s="192" t="n">
        <x:v>0</x:v>
      </x:c>
    </x:row>
    <x:row r="926" ht="56" customHeight="1">
      <x:c r="A926" s="192" t="str">
        <x:v>proclaim</x:v>
      </x:c>
      <x:c r="B926" s="192" t="str">
        <x:v>v.</x:v>
      </x:c>
      <x:c r="C926" s="194" t="str">
        <x:v>проголошувати</x:v>
      </x:c>
      <x:c r="D926" s="195" t="str">
        <x:v>Оголосити чи оголосити.</x:v>
      </x:c>
      <x:c r="E926" s="192" t="str">
        <x:v>Oxford C1</x:v>
      </x:c>
      <x:c r="F926" s="192" t="str">
        <x:v>Core</x:v>
      </x:c>
      <x:c r="G926" s="192" t="str">
        <x:v>Not Started</x:v>
      </x:c>
      <x:c r="H926" s="192" t="n">
        <x:v>0</x:v>
      </x:c>
    </x:row>
    <x:row r="927" ht="56" customHeight="1">
      <x:c r="A927" s="192" t="str">
        <x:v>productive</x:v>
      </x:c>
      <x:c r="B927" s="192" t="str">
        <x:v>adj.</x:v>
      </x:c>
      <x:c r="C927" s="194" t="str">
        <x:v>продуктивний</x:v>
      </x:c>
      <x:c r="D927" s="195" t="str">
        <x:v>Здатний виробляти щось, особливо в надлишку; родючі.</x:v>
      </x:c>
      <x:c r="E927" s="192" t="str">
        <x:v>Oxford C1</x:v>
      </x:c>
      <x:c r="F927" s="192" t="str">
        <x:v>Core</x:v>
      </x:c>
      <x:c r="G927" s="192" t="str">
        <x:v>Not Started</x:v>
      </x:c>
      <x:c r="H927" s="192" t="n">
        <x:v>0</x:v>
      </x:c>
    </x:row>
    <x:row r="928" ht="56" customHeight="1">
      <x:c r="A928" s="192" t="str">
        <x:v>productivity</x:v>
      </x:c>
      <x:c r="B928" s="192" t="str">
        <x:v>n.</x:v>
      </x:c>
      <x:c r="C928" s="194" t="str">
        <x:v>продуктивність</x:v>
      </x:c>
      <x:c r="D928" s="195" t="str">
        <x:v>Стан продуктивності, плідності або ефективності.</x:v>
      </x:c>
      <x:c r="E928" s="192" t="str">
        <x:v>Oxford C1</x:v>
      </x:c>
      <x:c r="F928" s="192" t="str">
        <x:v>High</x:v>
      </x:c>
      <x:c r="G928" s="192" t="str">
        <x:v>Not Started</x:v>
      </x:c>
      <x:c r="H928" s="192" t="n">
        <x:v>0</x:v>
      </x:c>
    </x:row>
    <x:row r="929" ht="56" customHeight="1">
      <x:c r="A929" s="192" t="str">
        <x:v>profitable</x:v>
      </x:c>
      <x:c r="B929" s="192" t="str">
        <x:v>adj.</x:v>
      </x:c>
      <x:c r="C929" s="194" t="str">
        <x:v>прибутковий</x:v>
      </x:c>
      <x:c r="D929" s="195" t="str">
        <x:v>Отримання прибутку.</x:v>
      </x:c>
      <x:c r="E929" s="192" t="str">
        <x:v>Oxford C1</x:v>
      </x:c>
      <x:c r="F929" s="192" t="str">
        <x:v>Core</x:v>
      </x:c>
      <x:c r="G929" s="192" t="str">
        <x:v>Not Started</x:v>
      </x:c>
      <x:c r="H929" s="192" t="n">
        <x:v>0</x:v>
      </x:c>
    </x:row>
    <x:row r="930" ht="56" customHeight="1">
      <x:c r="A930" s="192" t="str">
        <x:v>profound</x:v>
      </x:c>
      <x:c r="B930" s="192" t="str">
        <x:v>adj.</x:v>
      </x:c>
      <x:c r="C930" s="194" t="str">
        <x:v>глибокий</x:v>
      </x:c>
      <x:c r="D930" s="195" t="str">
        <x:v>Дуже глибокий; дуже серйозно.</x:v>
      </x:c>
      <x:c r="E930" s="192" t="str">
        <x:v>Oxford C1</x:v>
      </x:c>
      <x:c r="F930" s="192" t="str">
        <x:v>Core</x:v>
      </x:c>
      <x:c r="G930" s="192" t="str">
        <x:v>Not Started</x:v>
      </x:c>
      <x:c r="H930" s="192" t="n">
        <x:v>0</x:v>
      </x:c>
    </x:row>
    <x:row r="931" ht="56" customHeight="1">
      <x:c r="A931" s="192" t="str">
        <x:v>projection</x:v>
      </x:c>
      <x:c r="B931" s="192" t="str">
        <x:v>n.</x:v>
      </x:c>
      <x:c r="C931" s="194" t="str">
        <x:v>проекція</x:v>
      </x:c>
      <x:c r="D931" s="195" t="str">
        <x:v>Дія проектування, кидання або руху чогось.</x:v>
      </x:c>
      <x:c r="E931" s="192" t="str">
        <x:v>Oxford C1</x:v>
      </x:c>
      <x:c r="F931" s="192" t="str">
        <x:v>Core</x:v>
      </x:c>
      <x:c r="G931" s="192" t="str">
        <x:v>Not Started</x:v>
      </x:c>
      <x:c r="H931" s="192" t="n">
        <x:v>0</x:v>
      </x:c>
    </x:row>
    <x:row r="932" ht="56" customHeight="1">
      <x:c r="A932" s="192" t="str">
        <x:v>prominent</x:v>
      </x:c>
      <x:c r="B932" s="192" t="str">
        <x:v>adj.</x:v>
      </x:c>
      <x:c r="C932" s="194" t="str">
        <x:v>видатний</x:v>
      </x:c>
      <x:c r="D932" s="195" t="str">
        <x:v>Ймовірно, приверне увагу своїм розміром або розташуванням; помітний.</x:v>
      </x:c>
      <x:c r="E932" s="192" t="str">
        <x:v>Oxford C1</x:v>
      </x:c>
      <x:c r="F932" s="192" t="str">
        <x:v>Core</x:v>
      </x:c>
      <x:c r="G932" s="192" t="str">
        <x:v>Not Started</x:v>
      </x:c>
      <x:c r="H932" s="192" t="n">
        <x:v>0</x:v>
      </x:c>
    </x:row>
    <x:row r="933" ht="56" customHeight="1">
      <x:c r="A933" s="192" t="str">
        <x:v>pronounced</x:v>
      </x:c>
      <x:c r="B933" s="192" t="str">
        <x:v>adj.</x:v>
      </x:c>
      <x:c r="C933" s="194" t="str">
        <x:v>вимовний</x:v>
      </x:c>
      <x:c r="D933" s="195" t="str">
        <x:v>вимовлений, сформульований.</x:v>
      </x:c>
      <x:c r="E933" s="192" t="str">
        <x:v>Oxford C1</x:v>
      </x:c>
      <x:c r="F933" s="192" t="str">
        <x:v>Core</x:v>
      </x:c>
      <x:c r="G933" s="192" t="str">
        <x:v>Not Started</x:v>
      </x:c>
      <x:c r="H933" s="192" t="n">
        <x:v>0</x:v>
      </x:c>
    </x:row>
    <x:row r="934" ht="56" customHeight="1">
      <x:c r="A934" s="192" t="str">
        <x:v>propaganda</x:v>
      </x:c>
      <x:c r="B934" s="192" t="str">
        <x:v>n.</x:v>
      </x:c>
      <x:c r="C934" s="194" t="str">
        <x:v>пропаганда</x:v>
      </x:c>
      <x:c r="D934" s="195" t="str">
        <x:v>Агітація, реклама, публічна комунікація, спрямована на вплив на аудиторію та просування порядку денного.</x:v>
      </x:c>
      <x:c r="E934" s="192" t="str">
        <x:v>Oxford C1</x:v>
      </x:c>
      <x:c r="F934" s="192" t="str">
        <x:v>Core</x:v>
      </x:c>
      <x:c r="G934" s="192" t="str">
        <x:v>Not Started</x:v>
      </x:c>
      <x:c r="H934" s="192" t="n">
        <x:v>0</x:v>
      </x:c>
    </x:row>
    <x:row r="935" ht="56" customHeight="1">
      <x:c r="A935" s="192" t="str">
        <x:v>proposition</x:v>
      </x:c>
      <x:c r="B935" s="192" t="str">
        <x:v>n.</x:v>
      </x:c>
      <x:c r="C935" s="194" t="str">
        <x:v>пропозиція</x:v>
      </x:c>
      <x:c r="D935" s="195" t="str">
        <x:v>Запропонована ідея, план або пропозиція.</x:v>
      </x:c>
      <x:c r="E935" s="192" t="str">
        <x:v>Oxford C1</x:v>
      </x:c>
      <x:c r="F935" s="192" t="str">
        <x:v>Core</x:v>
      </x:c>
      <x:c r="G935" s="192" t="str">
        <x:v>Not Started</x:v>
      </x:c>
      <x:c r="H935" s="192" t="n">
        <x:v>0</x:v>
      </x:c>
    </x:row>
    <x:row r="936" ht="56" customHeight="1">
      <x:c r="A936" s="192" t="str">
        <x:v>prosecute</x:v>
      </x:c>
      <x:c r="B936" s="192" t="str">
        <x:v>v.</x:v>
      </x:c>
      <x:c r="C936" s="194" t="str">
        <x:v>переслідувати</x:v>
      </x:c>
      <x:c r="D936" s="195" t="str">
        <x:v>Відкрити кримінальне провадження проти.</x:v>
      </x:c>
      <x:c r="E936" s="192" t="str">
        <x:v>Oxford C1</x:v>
      </x:c>
      <x:c r="F936" s="192" t="str">
        <x:v>Core</x:v>
      </x:c>
      <x:c r="G936" s="192" t="str">
        <x:v>Not Started</x:v>
      </x:c>
      <x:c r="H936" s="192" t="n">
        <x:v>0</x:v>
      </x:c>
    </x:row>
    <x:row r="937" ht="56" customHeight="1">
      <x:c r="A937" s="192" t="str">
        <x:v>prosecution</x:v>
      </x:c>
      <x:c r="B937" s="192" t="str">
        <x:v>n.</x:v>
      </x:c>
      <x:c r="C937" s="194" t="str">
        <x:v>переслідування</x:v>
      </x:c>
      <x:c r="D937" s="195" t="str">
        <x:v>Притягнення особи до кримінальної відповідальності (зокрема, кримінальної).</x:v>
      </x:c>
      <x:c r="E937" s="192" t="str">
        <x:v>Oxford C1</x:v>
      </x:c>
      <x:c r="F937" s="192" t="str">
        <x:v>Core</x:v>
      </x:c>
      <x:c r="G937" s="192" t="str">
        <x:v>Not Started</x:v>
      </x:c>
      <x:c r="H937" s="192" t="n">
        <x:v>0</x:v>
      </x:c>
    </x:row>
    <x:row r="938" ht="56" customHeight="1">
      <x:c r="A938" s="192" t="str">
        <x:v>prosecutor</x:v>
      </x:c>
      <x:c r="B938" s="192" t="str">
        <x:v>n.</x:v>
      </x:c>
      <x:c r="C938" s="194" t="str">
        <x:v>прокурор</x:v>
      </x:c>
      <x:c r="D938" s="195" t="str">
        <x:v>Прокурор.</x:v>
      </x:c>
      <x:c r="E938" s="192" t="str">
        <x:v>Oxford C1</x:v>
      </x:c>
      <x:c r="F938" s="192" t="str">
        <x:v>High</x:v>
      </x:c>
      <x:c r="G938" s="192" t="str">
        <x:v>Not Started</x:v>
      </x:c>
      <x:c r="H938" s="192" t="n">
        <x:v>0</x:v>
      </x:c>
    </x:row>
    <x:row r="939" ht="56" customHeight="1">
      <x:c r="A939" s="192" t="str">
        <x:v>prospective</x:v>
      </x:c>
      <x:c r="B939" s="192" t="str">
        <x:v>adj.</x:v>
      </x:c>
      <x:c r="C939" s="194" t="str">
        <x:v>перспективний</x:v>
      </x:c>
      <x:c r="D939" s="195" t="str">
        <x:v>Ймовірно або очікується, що станеться або станеться.</x:v>
      </x:c>
      <x:c r="E939" s="192" t="str">
        <x:v>Oxford C1</x:v>
      </x:c>
      <x:c r="F939" s="192" t="str">
        <x:v>Core</x:v>
      </x:c>
      <x:c r="G939" s="192" t="str">
        <x:v>Not Started</x:v>
      </x:c>
      <x:c r="H939" s="192" t="n">
        <x:v>0</x:v>
      </x:c>
    </x:row>
    <x:row r="940" ht="56" customHeight="1">
      <x:c r="A940" s="192" t="str">
        <x:v>prosperity</x:v>
      </x:c>
      <x:c r="B940" s="192" t="str">
        <x:v>n.</x:v>
      </x:c>
      <x:c r="C940" s="194" t="str">
        <x:v>процвітання</x:v>
      </x:c>
      <x:c r="D940" s="195" t="str">
        <x:v>Умова процвітання: наявність удачі та багатства.</x:v>
      </x:c>
      <x:c r="E940" s="192" t="str">
        <x:v>Oxford C1</x:v>
      </x:c>
      <x:c r="F940" s="192" t="str">
        <x:v>Core</x:v>
      </x:c>
      <x:c r="G940" s="192" t="str">
        <x:v>Not Started</x:v>
      </x:c>
      <x:c r="H940" s="192" t="n">
        <x:v>0</x:v>
      </x:c>
    </x:row>
    <x:row r="941" ht="56" customHeight="1">
      <x:c r="A941" s="192" t="str">
        <x:v>protective</x:v>
      </x:c>
      <x:c r="B941" s="192" t="str">
        <x:v>adj.</x:v>
      </x:c>
      <x:c r="C941" s="194" t="str">
        <x:v>захисний</x:v>
      </x:c>
      <x:c r="D941" s="195" t="str">
        <x:v>Служить або призначений для захисту.</x:v>
      </x:c>
      <x:c r="E941" s="192" t="str">
        <x:v>Oxford C1</x:v>
      </x:c>
      <x:c r="F941" s="192" t="str">
        <x:v>Core</x:v>
      </x:c>
      <x:c r="G941" s="192" t="str">
        <x:v>Not Started</x:v>
      </x:c>
      <x:c r="H941" s="192" t="n">
        <x:v>0</x:v>
      </x:c>
    </x:row>
    <x:row r="942" ht="56" customHeight="1">
      <x:c r="A942" s="192" t="str">
        <x:v>protocol</x:v>
      </x:c>
      <x:c r="B942" s="192" t="str">
        <x:v>n.</x:v>
      </x:c>
      <x:c r="C942" s="194" t="str">
        <x:v>протокол</x:v>
      </x:c>
      <x:c r="D942" s="195" t="str">
        <x:v>Набір формальних правил, що описують, як передавати або обмінюватися даними, особливо через мережу.</x:v>
      </x:c>
      <x:c r="E942" s="192" t="str">
        <x:v>Oxford C1 + AWL 9</x:v>
      </x:c>
      <x:c r="F942" s="192" t="str">
        <x:v>High</x:v>
      </x:c>
      <x:c r="G942" s="192" t="str">
        <x:v>Not Started</x:v>
      </x:c>
      <x:c r="H942" s="192" t="n">
        <x:v>0</x:v>
      </x:c>
    </x:row>
    <x:row r="943" ht="56" customHeight="1">
      <x:c r="A943" s="192" t="str">
        <x:v>province</x:v>
      </x:c>
      <x:c r="B943" s="192" t="str">
        <x:v>n.</x:v>
      </x:c>
      <x:c r="C943" s="194" t="str">
        <x:v>провінція</x:v>
      </x:c>
      <x:c r="D943" s="195" t="str">
        <x:v>Адміністративний підрозділ деяких країн, зокрема Канади та Китаю.</x:v>
      </x:c>
      <x:c r="E943" s="192" t="str">
        <x:v>Oxford C1</x:v>
      </x:c>
      <x:c r="F943" s="192" t="str">
        <x:v>Core</x:v>
      </x:c>
      <x:c r="G943" s="192" t="str">
        <x:v>Not Started</x:v>
      </x:c>
      <x:c r="H943" s="192" t="n">
        <x:v>0</x:v>
      </x:c>
    </x:row>
    <x:row r="944" ht="56" customHeight="1">
      <x:c r="A944" s="192" t="str">
        <x:v>provincial</x:v>
      </x:c>
      <x:c r="B944" s="192" t="str">
        <x:v>adj.</x:v>
      </x:c>
      <x:c r="C944" s="194" t="str">
        <x:v>провінційний</x:v>
      </x:c>
      <x:c r="D944" s="195" t="str">
        <x:v>Демонстрація звичаїв або звичаїв провінції; характерні для жителів провінції.</x:v>
      </x:c>
      <x:c r="E944" s="192" t="str">
        <x:v>Oxford C1</x:v>
      </x:c>
      <x:c r="F944" s="192" t="str">
        <x:v>Core</x:v>
      </x:c>
      <x:c r="G944" s="192" t="str">
        <x:v>Not Started</x:v>
      </x:c>
      <x:c r="H944" s="192" t="n">
        <x:v>0</x:v>
      </x:c>
    </x:row>
    <x:row r="945" ht="56" customHeight="1">
      <x:c r="A945" s="192" t="str">
        <x:v>provision</x:v>
      </x:c>
      <x:c r="B945" s="192" t="str">
        <x:v>n.</x:v>
      </x:c>
      <x:c r="C945" s="194" t="str">
        <x:v>забезпечення</x:v>
      </x:c>
      <x:c r="D945" s="195" t="str">
        <x:v>Предмет товарів або припасів, особливо продуктів харчування, отриманих для використання в майбутньому.</x:v>
      </x:c>
      <x:c r="E945" s="192" t="str">
        <x:v>Oxford C1</x:v>
      </x:c>
      <x:c r="F945" s="192" t="str">
        <x:v>Core</x:v>
      </x:c>
      <x:c r="G945" s="192" t="str">
        <x:v>Not Started</x:v>
      </x:c>
      <x:c r="H945" s="192" t="n">
        <x:v>0</x:v>
      </x:c>
    </x:row>
    <x:row r="946" ht="56" customHeight="1">
      <x:c r="A946" s="192" t="str">
        <x:v>provoke</x:v>
      </x:c>
      <x:c r="B946" s="192" t="str">
        <x:v>v.</x:v>
      </x:c>
      <x:c r="C946" s="194" t="str">
        <x:v>провокувати</x:v>
      </x:c>
      <x:c r="D946" s="195" t="str">
        <x:v>Змусити когось роздратуватися або злитися.</x:v>
      </x:c>
      <x:c r="E946" s="192" t="str">
        <x:v>Oxford C1</x:v>
      </x:c>
      <x:c r="F946" s="192" t="str">
        <x:v>Core</x:v>
      </x:c>
      <x:c r="G946" s="192" t="str">
        <x:v>Not Started</x:v>
      </x:c>
      <x:c r="H946" s="192" t="n">
        <x:v>0</x:v>
      </x:c>
    </x:row>
    <x:row r="947" ht="56" customHeight="1">
      <x:c r="A947" s="192" t="str">
        <x:v>psychiatric</x:v>
      </x:c>
      <x:c r="B947" s="192" t="str">
        <x:v>adj.</x:v>
      </x:c>
      <x:c r="C947" s="194" t="str">
        <x:v>психіатричний</x:v>
      </x:c>
      <x:c r="D947" s="195" t="str">
        <x:v>Психіатрія або пов'язана з нею.</x:v>
      </x:c>
      <x:c r="E947" s="192" t="str">
        <x:v>Oxford C1</x:v>
      </x:c>
      <x:c r="F947" s="192" t="str">
        <x:v>High</x:v>
      </x:c>
      <x:c r="G947" s="192" t="str">
        <x:v>Not Started</x:v>
      </x:c>
      <x:c r="H947" s="192" t="n">
        <x:v>0</x:v>
      </x:c>
    </x:row>
    <x:row r="948" ht="56" customHeight="1">
      <x:c r="A948" s="192" t="str">
        <x:v>pulse</x:v>
      </x:c>
      <x:c r="B948" s="192" t="str">
        <x:v>n.</x:v>
      </x:c>
      <x:c r="C948" s="194" t="str">
        <x:v>пульс</x:v>
      </x:c>
      <x:c r="D948" s="195" t="str">
        <x:v>Зазвичай регулярне серцебиття відчувається, коли артерії поблизу шкіри (наприклад, на шиї чи зап’ясті) стиснуті, спричинене серцем, що прокачує через них кров.</x:v>
      </x:c>
      <x:c r="E948" s="192" t="str">
        <x:v>Oxford C1</x:v>
      </x:c>
      <x:c r="F948" s="192" t="str">
        <x:v>Core</x:v>
      </x:c>
      <x:c r="G948" s="192" t="str">
        <x:v>Not Started</x:v>
      </x:c>
      <x:c r="H948" s="192" t="n">
        <x:v>0</x:v>
      </x:c>
    </x:row>
    <x:row r="949" ht="56" customHeight="1">
      <x:c r="A949" s="192" t="str">
        <x:v>pump</x:v>
      </x:c>
      <x:c r="B949" s="192" t="str">
        <x:v>v., n.</x:v>
      </x:c>
      <x:c r="C949" s="194" t="str">
        <x:v>насос</x:v>
      </x:c>
      <x:c r="D949" s="195" t="str">
        <x:v>Користуватися насосом; переміщувати (воду чи іншу рідину) за допомогою насоса.</x:v>
      </x:c>
      <x:c r="E949" s="192" t="str">
        <x:v>Oxford C1</x:v>
      </x:c>
      <x:c r="F949" s="192" t="str">
        <x:v>Core</x:v>
      </x:c>
      <x:c r="G949" s="192" t="str">
        <x:v>Not Started</x:v>
      </x:c>
      <x:c r="H949" s="192" t="n">
        <x:v>0</x:v>
      </x:c>
    </x:row>
    <x:row r="950" ht="56" customHeight="1">
      <x:c r="A950" s="192" t="str">
        <x:v>punch</x:v>
      </x:c>
      <x:c r="B950" s="192" t="str">
        <x:v>n., v.</x:v>
      </x:c>
      <x:c r="C950" s="194" t="str">
        <x:v>удар</x:v>
      </x:c>
      <x:c r="D950" s="195" t="str">
        <x:v>Вдарити кулаком.</x:v>
      </x:c>
      <x:c r="E950" s="192" t="str">
        <x:v>Oxford C1</x:v>
      </x:c>
      <x:c r="F950" s="192" t="str">
        <x:v>Core</x:v>
      </x:c>
      <x:c r="G950" s="192" t="str">
        <x:v>Not Started</x:v>
      </x:c>
      <x:c r="H950" s="192" t="n">
        <x:v>0</x:v>
      </x:c>
    </x:row>
    <x:row r="951" ht="56" customHeight="1">
      <x:c r="A951" s="192" t="str">
        <x:v>query</x:v>
      </x:c>
      <x:c r="B951" s="192" t="str">
        <x:v>n.</x:v>
      </x:c>
      <x:c r="C951" s="194" t="str">
        <x:v>запит</x:v>
      </x:c>
      <x:c r="D951" s="195" t="str">
        <x:v>Питання, запит (США), запит (Великобританія).</x:v>
      </x:c>
      <x:c r="E951" s="192" t="str">
        <x:v>Oxford C1</x:v>
      </x:c>
      <x:c r="F951" s="192" t="str">
        <x:v>Core</x:v>
      </x:c>
      <x:c r="G951" s="192" t="str">
        <x:v>Not Started</x:v>
      </x:c>
      <x:c r="H951" s="192" t="n">
        <x:v>0</x:v>
      </x:c>
    </x:row>
    <x:row r="952" ht="56" customHeight="1">
      <x:c r="A952" s="192" t="str">
        <x:v>quest</x:v>
      </x:c>
      <x:c r="B952" s="192" t="str">
        <x:v>n.</x:v>
      </x:c>
      <x:c r="C952" s="194" t="str">
        <x:v>квест</x:v>
      </x:c>
      <x:c r="D952" s="195" t="str">
        <x:v>Подорож або зусилля в гонитві за ціллю (часто тривала, амбітна або палка); місія.</x:v>
      </x:c>
      <x:c r="E952" s="192" t="str">
        <x:v>Oxford C1</x:v>
      </x:c>
      <x:c r="F952" s="192" t="str">
        <x:v>Core</x:v>
      </x:c>
      <x:c r="G952" s="192" t="str">
        <x:v>Not Started</x:v>
      </x:c>
      <x:c r="H952" s="192" t="n">
        <x:v>0</x:v>
      </x:c>
    </x:row>
    <x:row r="953" ht="56" customHeight="1">
      <x:c r="A953" s="192" t="str">
        <x:v>quota</x:v>
      </x:c>
      <x:c r="B953" s="192" t="str">
        <x:v>n.</x:v>
      </x:c>
      <x:c r="C953" s="194" t="str">
        <x:v>квота</x:v>
      </x:c>
      <x:c r="D953" s="195" t="str">
        <x:v>Зазначене число або відсоток, який може служити, наприклад, максимумом, мінімумом або ціллю.</x:v>
      </x:c>
      <x:c r="E953" s="192" t="str">
        <x:v>Oxford C1</x:v>
      </x:c>
      <x:c r="F953" s="192" t="str">
        <x:v>Core</x:v>
      </x:c>
      <x:c r="G953" s="192" t="str">
        <x:v>Not Started</x:v>
      </x:c>
      <x:c r="H953" s="192" t="n">
        <x:v>0</x:v>
      </x:c>
    </x:row>
    <x:row r="954" ht="56" customHeight="1">
      <x:c r="A954" s="192" t="str">
        <x:v>radar</x:v>
      </x:c>
      <x:c r="B954" s="192" t="str">
        <x:v>n.</x:v>
      </x:c>
      <x:c r="C954" s="194" t="str">
        <x:v>радар</x:v>
      </x:c>
      <x:c r="D954" s="195" t="str">
        <x:v>Повний первинний радар: метод виявлення віддаленого об’єкта та визначення його положення, швидкості чи інших характеристик шляхом аналізу радіохвиль (зазвичай мікрохвиль), які надсилаються до об’єкта та які...</x:v>
      </x:c>
      <x:c r="E954" s="192" t="str">
        <x:v>Oxford C1</x:v>
      </x:c>
      <x:c r="F954" s="192" t="str">
        <x:v>Core</x:v>
      </x:c>
      <x:c r="G954" s="192" t="str">
        <x:v>Not Started</x:v>
      </x:c>
      <x:c r="H954" s="192" t="n">
        <x:v>0</x:v>
      </x:c>
    </x:row>
    <x:row r="955" ht="56" customHeight="1">
      <x:c r="A955" s="192" t="str">
        <x:v>radical</x:v>
      </x:c>
      <x:c r="B955" s="192" t="str">
        <x:v>adj.</x:v>
      </x:c>
      <x:c r="C955" s="194" t="str">
        <x:v>радикальний</x:v>
      </x:c>
      <x:c r="D955" s="195" t="str">
        <x:v>Схиляння до фундаментальних змін або змін у першопричині проблеми.</x:v>
      </x:c>
      <x:c r="E955" s="192" t="str">
        <x:v>Oxford C1 + AWL 8</x:v>
      </x:c>
      <x:c r="F955" s="192" t="str">
        <x:v>High</x:v>
      </x:c>
      <x:c r="G955" s="192" t="str">
        <x:v>Not Started</x:v>
      </x:c>
      <x:c r="H955" s="192" t="n">
        <x:v>0</x:v>
      </x:c>
    </x:row>
    <x:row r="956" ht="56" customHeight="1">
      <x:c r="A956" s="192" t="str">
        <x:v>rage</x:v>
      </x:c>
      <x:c r="B956" s="192" t="str">
        <x:v>n.</x:v>
      </x:c>
      <x:c r="C956" s="194" t="str">
        <x:v>лють</x:v>
      </x:c>
      <x:c r="D956" s="195" t="str">
        <x:v>Сильний неконтрольований гнів.</x:v>
      </x:c>
      <x:c r="E956" s="192" t="str">
        <x:v>Oxford C1</x:v>
      </x:c>
      <x:c r="F956" s="192" t="str">
        <x:v>Core</x:v>
      </x:c>
      <x:c r="G956" s="192" t="str">
        <x:v>Not Started</x:v>
      </x:c>
      <x:c r="H956" s="192" t="n">
        <x:v>0</x:v>
      </x:c>
    </x:row>
    <x:row r="957" ht="56" customHeight="1">
      <x:c r="A957" s="192" t="str">
        <x:v>raid</x:v>
      </x:c>
      <x:c r="B957" s="192" t="str">
        <x:v>n., v.</x:v>
      </x:c>
      <x:c r="C957" s="194" t="str">
        <x:v>рейд</x:v>
      </x:c>
      <x:c r="D957" s="195" t="str">
        <x:v>Вступити в рейд проти.</x:v>
      </x:c>
      <x:c r="E957" s="192" t="str">
        <x:v>Oxford C1</x:v>
      </x:c>
      <x:c r="F957" s="192" t="str">
        <x:v>Core</x:v>
      </x:c>
      <x:c r="G957" s="192" t="str">
        <x:v>Not Started</x:v>
      </x:c>
      <x:c r="H957" s="192" t="n">
        <x:v>0</x:v>
      </x:c>
    </x:row>
    <x:row r="958" ht="56" customHeight="1">
      <x:c r="A958" s="192" t="str">
        <x:v>rally</x:v>
      </x:c>
      <x:c r="B958" s="192" t="str">
        <x:v>n., v.</x:v>
      </x:c>
      <x:c r="C958" s="194" t="str">
        <x:v>мітинг</x:v>
      </x:c>
      <x:c r="D958" s="195" t="str">
        <x:v>Щоб відновити сили після падіння цін.</x:v>
      </x:c>
      <x:c r="E958" s="192" t="str">
        <x:v>Oxford C1</x:v>
      </x:c>
      <x:c r="F958" s="192" t="str">
        <x:v>Core</x:v>
      </x:c>
      <x:c r="G958" s="192" t="str">
        <x:v>Not Started</x:v>
      </x:c>
      <x:c r="H958" s="192" t="n">
        <x:v>0</x:v>
      </x:c>
    </x:row>
    <x:row r="959" ht="56" customHeight="1">
      <x:c r="A959" s="192" t="str">
        <x:v>ranking</x:v>
      </x:c>
      <x:c r="B959" s="192" t="str">
        <x:v>n.</x:v>
      </x:c>
      <x:c r="C959" s="194" t="str">
        <x:v>рейтинг</x:v>
      </x:c>
      <x:c r="D959" s="195" t="str">
        <x:v>Відносне розміщення в списку.</x:v>
      </x:c>
      <x:c r="E959" s="192" t="str">
        <x:v>Oxford C1</x:v>
      </x:c>
      <x:c r="F959" s="192" t="str">
        <x:v>Core</x:v>
      </x:c>
      <x:c r="G959" s="192" t="str">
        <x:v>Not Started</x:v>
      </x:c>
      <x:c r="H959" s="192" t="n">
        <x:v>0</x:v>
      </x:c>
    </x:row>
    <x:row r="960" ht="56" customHeight="1">
      <x:c r="A960" s="192" t="str">
        <x:v>rape</x:v>
      </x:c>
      <x:c r="B960" s="192" t="str">
        <x:v>n., v.</x:v>
      </x:c>
      <x:c r="C960" s="194" t="str">
        <x:v>зґвалтування</x:v>
      </x:c>
      <x:c r="D960" s="195" t="str">
        <x:v>Примушувати (когось) до статевого акту чи інших сексуальних дій без його згоди.</x:v>
      </x:c>
      <x:c r="E960" s="192" t="str">
        <x:v>Oxford C1</x:v>
      </x:c>
      <x:c r="F960" s="192" t="str">
        <x:v>Core</x:v>
      </x:c>
      <x:c r="G960" s="192" t="str">
        <x:v>Not Started</x:v>
      </x:c>
      <x:c r="H960" s="192" t="n">
        <x:v>0</x:v>
      </x:c>
    </x:row>
    <x:row r="961" ht="56" customHeight="1">
      <x:c r="A961" s="192" t="str">
        <x:v>ratio</x:v>
      </x:c>
      <x:c r="B961" s="192" t="str">
        <x:v>n.</x:v>
      </x:c>
      <x:c r="C961" s="194" t="str">
        <x:v>співвідношення</x:v>
      </x:c>
      <x:c r="D961" s="195" t="str">
        <x:v>Число, що представляє порівняння між двома названими речами.</x:v>
      </x:c>
      <x:c r="E961" s="192" t="str">
        <x:v>Oxford C1 + AWL 5</x:v>
      </x:c>
      <x:c r="F961" s="192" t="str">
        <x:v>High</x:v>
      </x:c>
      <x:c r="G961" s="192" t="str">
        <x:v>Not Started</x:v>
      </x:c>
      <x:c r="H961" s="192" t="n">
        <x:v>0</x:v>
      </x:c>
    </x:row>
    <x:row r="962" ht="56" customHeight="1">
      <x:c r="A962" s="192" t="str">
        <x:v>rational</x:v>
      </x:c>
      <x:c r="B962" s="192" t="str">
        <x:v>adj.</x:v>
      </x:c>
      <x:c r="C962" s="194" t="str">
        <x:v>раціональний</x:v>
      </x:c>
      <x:c r="D962" s="195" t="str">
        <x:v>Здатний міркувати.</x:v>
      </x:c>
      <x:c r="E962" s="192" t="str">
        <x:v>Oxford C1 + AWL 6</x:v>
      </x:c>
      <x:c r="F962" s="192" t="str">
        <x:v>High</x:v>
      </x:c>
      <x:c r="G962" s="192" t="str">
        <x:v>Not Started</x:v>
      </x:c>
      <x:c r="H962" s="192" t="n">
        <x:v>0</x:v>
      </x:c>
    </x:row>
    <x:row r="963" ht="56" customHeight="1">
      <x:c r="A963" s="192" t="str">
        <x:v>ray</x:v>
      </x:c>
      <x:c r="B963" s="192" t="str">
        <x:v>n.</x:v>
      </x:c>
      <x:c r="C963" s="194" t="str">
        <x:v>промінь</x:v>
      </x:c>
      <x:c r="D963" s="195" t="str">
        <x:v>Промінь світла або випромінювання.</x:v>
      </x:c>
      <x:c r="E963" s="192" t="str">
        <x:v>Oxford C1</x:v>
      </x:c>
      <x:c r="F963" s="192" t="str">
        <x:v>Core</x:v>
      </x:c>
      <x:c r="G963" s="192" t="str">
        <x:v>Not Started</x:v>
      </x:c>
      <x:c r="H963" s="192" t="n">
        <x:v>0</x:v>
      </x:c>
    </x:row>
    <x:row r="964" ht="56" customHeight="1">
      <x:c r="A964" s="192" t="str">
        <x:v>readily</x:v>
      </x:c>
      <x:c r="B964" s="192" t="str">
        <x:v>adv.</x:v>
      </x:c>
      <x:c r="C964" s="194" t="str">
        <x:v>охоче</x:v>
      </x:c>
      <x:c r="D964" s="195" t="str">
        <x:v>Без перешкод, легко.</x:v>
      </x:c>
      <x:c r="E964" s="192" t="str">
        <x:v>Oxford C1</x:v>
      </x:c>
      <x:c r="F964" s="192" t="str">
        <x:v>Core</x:v>
      </x:c>
      <x:c r="G964" s="192" t="str">
        <x:v>Not Started</x:v>
      </x:c>
      <x:c r="H964" s="192" t="n">
        <x:v>0</x:v>
      </x:c>
    </x:row>
    <x:row r="965" ht="56" customHeight="1">
      <x:c r="A965" s="192" t="str">
        <x:v>realization</x:v>
      </x:c>
      <x:c r="B965" s="192" t="str">
        <x:v>n.</x:v>
      </x:c>
      <x:c r="C965" s="194" t="str">
        <x:v>реалізація</x:v>
      </x:c>
      <x:c r="D965" s="195" t="str">
        <x:v>Акт з’ясування або усвідомлення.</x:v>
      </x:c>
      <x:c r="E965" s="192" t="str">
        <x:v>Oxford C1</x:v>
      </x:c>
      <x:c r="F965" s="192" t="str">
        <x:v>Core</x:v>
      </x:c>
      <x:c r="G965" s="192" t="str">
        <x:v>Not Started</x:v>
      </x:c>
      <x:c r="H965" s="192" t="n">
        <x:v>0</x:v>
      </x:c>
    </x:row>
    <x:row r="966" ht="56" customHeight="1">
      <x:c r="A966" s="192" t="str">
        <x:v>realm</x:v>
      </x:c>
      <x:c r="B966" s="192" t="str">
        <x:v>n.</x:v>
      </x:c>
      <x:c r="C966" s="194" t="str">
        <x:v>царство</x:v>
      </x:c>
      <x:c r="D966" s="195" t="str">
        <x:v>Сфера знань або впливу; домен.</x:v>
      </x:c>
      <x:c r="E966" s="192" t="str">
        <x:v>Oxford C1</x:v>
      </x:c>
      <x:c r="F966" s="192" t="str">
        <x:v>Core</x:v>
      </x:c>
      <x:c r="G966" s="192" t="str">
        <x:v>Not Started</x:v>
      </x:c>
      <x:c r="H966" s="192" t="n">
        <x:v>0</x:v>
      </x:c>
    </x:row>
    <x:row r="967" ht="56" customHeight="1">
      <x:c r="A967" s="192" t="str">
        <x:v>rear</x:v>
      </x:c>
      <x:c r="B967" s="192" t="str">
        <x:v>adj., n.</x:v>
      </x:c>
      <x:c r="C967" s="194" t="str">
        <x:v>задній</x:v>
      </x:c>
      <x:c r="D967" s="195" t="str">
        <x:v>Задня або крайня задня частина; те, що позаду, або останнє за порядком.</x:v>
      </x:c>
      <x:c r="E967" s="192" t="str">
        <x:v>Oxford C1</x:v>
      </x:c>
      <x:c r="F967" s="192" t="str">
        <x:v>Core</x:v>
      </x:c>
      <x:c r="G967" s="192" t="str">
        <x:v>Not Started</x:v>
      </x:c>
      <x:c r="H967" s="192" t="n">
        <x:v>0</x:v>
      </x:c>
    </x:row>
    <x:row r="968" ht="56" customHeight="1">
      <x:c r="A968" s="192" t="str">
        <x:v>reasoning</x:v>
      </x:c>
      <x:c r="B968" s="192" t="str">
        <x:v>n.</x:v>
      </x:c>
      <x:c r="C968" s="194" t="str">
        <x:v>міркування</x:v>
      </x:c>
      <x:c r="D968" s="195" t="str">
        <x:v>Дедукція висновків або інтерпретацій з приміщень, абстрактної думки, раціоналізації; (підрахований) будь-який випадок цього, особливо як процес, що веде до дії, мотиву.</x:v>
      </x:c>
      <x:c r="E968" s="192" t="str">
        <x:v>Oxford C1</x:v>
      </x:c>
      <x:c r="F968" s="192" t="str">
        <x:v>Core</x:v>
      </x:c>
      <x:c r="G968" s="192" t="str">
        <x:v>Not Started</x:v>
      </x:c>
      <x:c r="H968" s="192" t="n">
        <x:v>0</x:v>
      </x:c>
    </x:row>
    <x:row r="969" ht="56" customHeight="1">
      <x:c r="A969" s="192" t="str">
        <x:v>reassure</x:v>
      </x:c>
      <x:c r="B969" s="192" t="str">
        <x:v>v.</x:v>
      </x:c>
      <x:c r="C969" s="194" t="str">
        <x:v>заспокоювати</x:v>
      </x:c>
      <x:c r="D969" s="195" t="str">
        <x:v>Запевнити заново; відновити довіру до; звільнитися від страху чи невпевненості в собі.</x:v>
      </x:c>
      <x:c r="E969" s="192" t="str">
        <x:v>Oxford C1</x:v>
      </x:c>
      <x:c r="F969" s="192" t="str">
        <x:v>Core</x:v>
      </x:c>
      <x:c r="G969" s="192" t="str">
        <x:v>Not Started</x:v>
      </x:c>
      <x:c r="H969" s="192" t="n">
        <x:v>0</x:v>
      </x:c>
    </x:row>
    <x:row r="970" ht="56" customHeight="1">
      <x:c r="A970" s="192" t="str">
        <x:v>rebel</x:v>
      </x:c>
      <x:c r="B970" s="192" t="str">
        <x:v>n.</x:v>
      </x:c>
      <x:c r="C970" s="194" t="str">
        <x:v>повстанець</x:v>
      </x:c>
      <x:c r="D970" s="195" t="str">
        <x:v>Людина, яка чинить опір встановленій владі, часто насильницький.</x:v>
      </x:c>
      <x:c r="E970" s="192" t="str">
        <x:v>Oxford C1</x:v>
      </x:c>
      <x:c r="F970" s="192" t="str">
        <x:v>Core</x:v>
      </x:c>
      <x:c r="G970" s="192" t="str">
        <x:v>Not Started</x:v>
      </x:c>
      <x:c r="H970" s="192" t="n">
        <x:v>0</x:v>
      </x:c>
    </x:row>
    <x:row r="971" ht="56" customHeight="1">
      <x:c r="A971" s="192" t="str">
        <x:v>rebellion</x:v>
      </x:c>
      <x:c r="B971" s="192" t="str">
        <x:v>n.</x:v>
      </x:c>
      <x:c r="C971" s="194" t="str">
        <x:v>повстання</x:v>
      </x:c>
      <x:c r="D971" s="195" t="str">
        <x:v>Збройний опір встановленому уряду чи правителю.</x:v>
      </x:c>
      <x:c r="E971" s="192" t="str">
        <x:v>Oxford C1</x:v>
      </x:c>
      <x:c r="F971" s="192" t="str">
        <x:v>Core</x:v>
      </x:c>
      <x:c r="G971" s="192" t="str">
        <x:v>Not Started</x:v>
      </x:c>
      <x:c r="H971" s="192" t="n">
        <x:v>0</x:v>
      </x:c>
    </x:row>
    <x:row r="972" ht="56" customHeight="1">
      <x:c r="A972" s="192" t="str">
        <x:v>recipient</x:v>
      </x:c>
      <x:c r="B972" s="192" t="str">
        <x:v>n.</x:v>
      </x:c>
      <x:c r="C972" s="194" t="str">
        <x:v>одержувач</x:v>
      </x:c>
      <x:c r="D972" s="195" t="str">
        <x:v>Той, хто отримує.</x:v>
      </x:c>
      <x:c r="E972" s="192" t="str">
        <x:v>Oxford C1</x:v>
      </x:c>
      <x:c r="F972" s="192" t="str">
        <x:v>Core</x:v>
      </x:c>
      <x:c r="G972" s="192" t="str">
        <x:v>Not Started</x:v>
      </x:c>
      <x:c r="H972" s="192" t="n">
        <x:v>0</x:v>
      </x:c>
    </x:row>
    <x:row r="973" ht="56" customHeight="1">
      <x:c r="A973" s="192" t="str">
        <x:v>reconstruction</x:v>
      </x:c>
      <x:c r="B973" s="192" t="str">
        <x:v>n.</x:v>
      </x:c>
      <x:c r="C973" s="194" t="str">
        <x:v>реконструкція</x:v>
      </x:c>
      <x:c r="D973" s="195" t="str">
        <x:v>Дія реконструкції чогось, не обов’язково до попереднього стану.</x:v>
      </x:c>
      <x:c r="E973" s="192" t="str">
        <x:v>Oxford C1</x:v>
      </x:c>
      <x:c r="F973" s="192" t="str">
        <x:v>Core</x:v>
      </x:c>
      <x:c r="G973" s="192" t="str">
        <x:v>Not Started</x:v>
      </x:c>
      <x:c r="H973" s="192" t="n">
        <x:v>0</x:v>
      </x:c>
    </x:row>
    <x:row r="974" ht="56" customHeight="1">
      <x:c r="A974" s="192" t="str">
        <x:v>recount1</x:v>
      </x:c>
      <x:c r="B974" s="192" t="str">
        <x:v>v.</x:v>
      </x:c>
      <x:c r="C974" s="194" t="str">
        <x:v>докладно розповідати; переказувати</x:v>
      </x:c>
      <x:c r="D974" s="195" t="str">
        <x:v>Докладно розповідати про подію або послідовність подій.</x:v>
      </x:c>
      <x:c r="E974" s="192" t="str">
        <x:v>Oxford C1</x:v>
      </x:c>
      <x:c r="F974" s="192" t="str">
        <x:v>Core</x:v>
      </x:c>
      <x:c r="G974" s="192" t="str">
        <x:v>Not Started</x:v>
      </x:c>
      <x:c r="H974" s="192" t="n">
        <x:v>0</x:v>
      </x:c>
    </x:row>
    <x:row r="975" ht="56" customHeight="1">
      <x:c r="A975" s="192" t="str">
        <x:v>referendum</x:v>
      </x:c>
      <x:c r="B975" s="192" t="str">
        <x:v>n.</x:v>
      </x:c>
      <x:c r="C975" s="194" t="str">
        <x:v>референдум</x:v>
      </x:c>
      <x:c r="D975" s="195" t="str">
        <x:v>Пряме всенародне голосування щодо запропонованого закону чи конституційної поправки.</x:v>
      </x:c>
      <x:c r="E975" s="192" t="str">
        <x:v>Oxford C1</x:v>
      </x:c>
      <x:c r="F975" s="192" t="str">
        <x:v>Core</x:v>
      </x:c>
      <x:c r="G975" s="192" t="str">
        <x:v>Not Started</x:v>
      </x:c>
      <x:c r="H975" s="192" t="n">
        <x:v>0</x:v>
      </x:c>
    </x:row>
    <x:row r="976" ht="56" customHeight="1">
      <x:c r="A976" s="192" t="str">
        <x:v>reflection</x:v>
      </x:c>
      <x:c r="B976" s="192" t="str">
        <x:v>n.</x:v>
      </x:c>
      <x:c r="C976" s="194" t="str">
        <x:v>відображення</x:v>
      </x:c>
      <x:c r="D976" s="195" t="str">
        <x:v>Акт відображення або стан відображення.</x:v>
      </x:c>
      <x:c r="E976" s="192" t="str">
        <x:v>Oxford C1</x:v>
      </x:c>
      <x:c r="F976" s="192" t="str">
        <x:v>Core</x:v>
      </x:c>
      <x:c r="G976" s="192" t="str">
        <x:v>Not Started</x:v>
      </x:c>
      <x:c r="H976" s="192" t="n">
        <x:v>0</x:v>
      </x:c>
    </x:row>
    <x:row r="977" ht="56" customHeight="1">
      <x:c r="A977" s="192" t="str">
        <x:v>reform</x:v>
      </x:c>
      <x:c r="B977" s="192" t="str">
        <x:v>n., v.</x:v>
      </x:c>
      <x:c r="C977" s="194" t="str">
        <x:v>реформа</x:v>
      </x:c>
      <x:c r="D977" s="195" t="str">
        <x:v>Привести в новий і поліпшений вигляд або стан; повернути до колишнього доброго стану, або привести з поганого в добре; змінюватися з гіршого на краще.</x:v>
      </x:c>
      <x:c r="E977" s="192" t="str">
        <x:v>Oxford C1</x:v>
      </x:c>
      <x:c r="F977" s="192" t="str">
        <x:v>Core</x:v>
      </x:c>
      <x:c r="G977" s="192" t="str">
        <x:v>Not Started</x:v>
      </x:c>
      <x:c r="H977" s="192" t="n">
        <x:v>0</x:v>
      </x:c>
    </x:row>
    <x:row r="978" ht="56" customHeight="1">
      <x:c r="A978" s="192" t="str">
        <x:v>refuge</x:v>
      </x:c>
      <x:c r="B978" s="192" t="str">
        <x:v>n.</x:v>
      </x:c>
      <x:c r="C978" s="194" t="str">
        <x:v>притулок</x:v>
      </x:c>
      <x:c r="D978" s="195" t="str">
        <x:v>Місце, що забезпечує безпеку, захист або притулок.</x:v>
      </x:c>
      <x:c r="E978" s="192" t="str">
        <x:v>Oxford C1</x:v>
      </x:c>
      <x:c r="F978" s="192" t="str">
        <x:v>Core</x:v>
      </x:c>
      <x:c r="G978" s="192" t="str">
        <x:v>Not Started</x:v>
      </x:c>
      <x:c r="H978" s="192" t="n">
        <x:v>0</x:v>
      </x:c>
    </x:row>
    <x:row r="979" ht="56" customHeight="1">
      <x:c r="A979" s="192" t="str">
        <x:v>refusal</x:v>
      </x:c>
      <x:c r="B979" s="192" t="str">
        <x:v>n.</x:v>
      </x:c>
      <x:c r="C979" s="194" t="str">
        <x:v>відмова</x:v>
      </x:c>
      <x:c r="D979" s="195" t="str">
        <x:v>Акт відмови.</x:v>
      </x:c>
      <x:c r="E979" s="192" t="str">
        <x:v>Oxford C1</x:v>
      </x:c>
      <x:c r="F979" s="192" t="str">
        <x:v>Core</x:v>
      </x:c>
      <x:c r="G979" s="192" t="str">
        <x:v>Not Started</x:v>
      </x:c>
      <x:c r="H979" s="192" t="n">
        <x:v>0</x:v>
      </x:c>
    </x:row>
    <x:row r="980" ht="56" customHeight="1">
      <x:c r="A980" s="192" t="str">
        <x:v>regain</x:v>
      </x:c>
      <x:c r="B980" s="192" t="str">
        <x:v>v.</x:v>
      </x:c>
      <x:c r="C980" s="194" t="str">
        <x:v>відновити</x:v>
      </x:c>
      <x:c r="D980" s="195" t="str">
        <x:v>Повернутися; повернути володіння.</x:v>
      </x:c>
      <x:c r="E980" s="192" t="str">
        <x:v>Oxford C1</x:v>
      </x:c>
      <x:c r="F980" s="192" t="str">
        <x:v>Core</x:v>
      </x:c>
      <x:c r="G980" s="192" t="str">
        <x:v>Not Started</x:v>
      </x:c>
      <x:c r="H980" s="192" t="n">
        <x:v>0</x:v>
      </x:c>
    </x:row>
    <x:row r="981" ht="56" customHeight="1">
      <x:c r="A981" s="192" t="str">
        <x:v>regardless</x:v>
      </x:c>
      <x:c r="B981" s="192" t="str">
        <x:v>adv.</x:v>
      </x:c>
      <x:c r="C981" s="194" t="str">
        <x:v>незалежно</x:v>
      </x:c>
      <x:c r="D981" s="195" t="str">
        <x:v>Не звертаючи уваги на; ігнорування.</x:v>
      </x:c>
      <x:c r="E981" s="192" t="str">
        <x:v>Oxford C1</x:v>
      </x:c>
      <x:c r="F981" s="192" t="str">
        <x:v>Core</x:v>
      </x:c>
      <x:c r="G981" s="192" t="str">
        <x:v>Not Started</x:v>
      </x:c>
      <x:c r="H981" s="192" t="n">
        <x:v>0</x:v>
      </x:c>
    </x:row>
    <x:row r="982" ht="56" customHeight="1">
      <x:c r="A982" s="192" t="str">
        <x:v>regime</x:v>
      </x:c>
      <x:c r="B982" s="192" t="str">
        <x:v>n.</x:v>
      </x:c>
      <x:c r="C982" s="194" t="str">
        <x:v>режим</x:v>
      </x:c>
      <x:c r="D982" s="195" t="str">
        <x:v>Форма правління або правління при владі, зокрема авторитарне чи тоталітарне.</x:v>
      </x:c>
      <x:c r="E982" s="192" t="str">
        <x:v>Oxford C1 + AWL 4</x:v>
      </x:c>
      <x:c r="F982" s="192" t="str">
        <x:v>High</x:v>
      </x:c>
      <x:c r="G982" s="192" t="str">
        <x:v>Not Started</x:v>
      </x:c>
      <x:c r="H982" s="192" t="n">
        <x:v>0</x:v>
      </x:c>
    </x:row>
    <x:row r="983" ht="56" customHeight="1">
      <x:c r="A983" s="192" t="str">
        <x:v>regulator</x:v>
      </x:c>
      <x:c r="B983" s="192" t="str">
        <x:v>n.</x:v>
      </x:c>
      <x:c r="C983" s="194" t="str">
        <x:v>регулятор</x:v>
      </x:c>
      <x:c r="D983" s="195" t="str">
        <x:v>Пристрій, який контролює або обмежує щось.</x:v>
      </x:c>
      <x:c r="E983" s="192" t="str">
        <x:v>Oxford C1</x:v>
      </x:c>
      <x:c r="F983" s="192" t="str">
        <x:v>Core</x:v>
      </x:c>
      <x:c r="G983" s="192" t="str">
        <x:v>Not Started</x:v>
      </x:c>
      <x:c r="H983" s="192" t="n">
        <x:v>0</x:v>
      </x:c>
    </x:row>
    <x:row r="984" ht="56" customHeight="1">
      <x:c r="A984" s="192" t="str">
        <x:v>regulatory</x:v>
      </x:c>
      <x:c r="B984" s="192" t="str">
        <x:v>adj.</x:v>
      </x:c>
      <x:c r="C984" s="194" t="str">
        <x:v>регулятивний</x:v>
      </x:c>
      <x:c r="D984" s="195" t="str">
        <x:v>Регулювання чи відношення до нього.</x:v>
      </x:c>
      <x:c r="E984" s="192" t="str">
        <x:v>Oxford C1</x:v>
      </x:c>
      <x:c r="F984" s="192" t="str">
        <x:v>Core</x:v>
      </x:c>
      <x:c r="G984" s="192" t="str">
        <x:v>Not Started</x:v>
      </x:c>
      <x:c r="H984" s="192" t="n">
        <x:v>0</x:v>
      </x:c>
    </x:row>
    <x:row r="985" ht="56" customHeight="1">
      <x:c r="A985" s="192" t="str">
        <x:v>rehabilitation</x:v>
      </x:c>
      <x:c r="B985" s="192" t="str">
        <x:v>n.</x:v>
      </x:c>
      <x:c r="C985" s="194" t="str">
        <x:v>реабілітація</x:v>
      </x:c>
      <x:c r="D985" s="195" t="str">
        <x:v>Процес реабілітації когось або чогось.</x:v>
      </x:c>
      <x:c r="E985" s="192" t="str">
        <x:v>Oxford C1</x:v>
      </x:c>
      <x:c r="F985" s="192" t="str">
        <x:v>Core</x:v>
      </x:c>
      <x:c r="G985" s="192" t="str">
        <x:v>Not Started</x:v>
      </x:c>
      <x:c r="H985" s="192" t="n">
        <x:v>0</x:v>
      </x:c>
    </x:row>
    <x:row r="986" ht="56" customHeight="1">
      <x:c r="A986" s="192" t="str">
        <x:v>reign</x:v>
      </x:c>
      <x:c r="B986" s="192" t="str">
        <x:v>n., v.</x:v>
      </x:c>
      <x:c r="C986" s="194" t="str">
        <x:v>царювання</x:v>
      </x:c>
      <x:c r="D986" s="195" t="str">
        <x:v>Здійснювати суверенну владу, правити як монарх.</x:v>
      </x:c>
      <x:c r="E986" s="192" t="str">
        <x:v>Oxford C1</x:v>
      </x:c>
      <x:c r="F986" s="192" t="str">
        <x:v>Core</x:v>
      </x:c>
      <x:c r="G986" s="192" t="str">
        <x:v>Not Started</x:v>
      </x:c>
      <x:c r="H986" s="192" t="n">
        <x:v>0</x:v>
      </x:c>
    </x:row>
    <x:row r="987" ht="56" customHeight="1">
      <x:c r="A987" s="192" t="str">
        <x:v>rejection</x:v>
      </x:c>
      <x:c r="B987" s="192" t="str">
        <x:v>n.</x:v>
      </x:c>
      <x:c r="C987" s="194" t="str">
        <x:v>відмова</x:v>
      </x:c>
      <x:c r="D987" s="195" t="str">
        <x:v>Акт відхилення.</x:v>
      </x:c>
      <x:c r="E987" s="192" t="str">
        <x:v>Oxford C1</x:v>
      </x:c>
      <x:c r="F987" s="192" t="str">
        <x:v>Core</x:v>
      </x:c>
      <x:c r="G987" s="192" t="str">
        <x:v>Not Started</x:v>
      </x:c>
      <x:c r="H987" s="192" t="n">
        <x:v>0</x:v>
      </x:c>
    </x:row>
    <x:row r="988" ht="56" customHeight="1">
      <x:c r="A988" s="192" t="str">
        <x:v>relevance</x:v>
      </x:c>
      <x:c r="B988" s="192" t="str">
        <x:v>n.</x:v>
      </x:c>
      <x:c r="C988" s="194" t="str">
        <x:v>релевантність</x:v>
      </x:c>
      <x:c r="D988" s="195" t="str">
        <x:v>Властивість або стан релевантності чи доречності.</x:v>
      </x:c>
      <x:c r="E988" s="192" t="str">
        <x:v>Oxford C1</x:v>
      </x:c>
      <x:c r="F988" s="192" t="str">
        <x:v>Core</x:v>
      </x:c>
      <x:c r="G988" s="192" t="str">
        <x:v>Not Started</x:v>
      </x:c>
      <x:c r="H988" s="192" t="n">
        <x:v>0</x:v>
      </x:c>
    </x:row>
    <x:row r="989" ht="56" customHeight="1">
      <x:c r="A989" s="192" t="str">
        <x:v>reliability</x:v>
      </x:c>
      <x:c r="B989" s="192" t="str">
        <x:v>n.</x:v>
      </x:c>
      <x:c r="C989" s="194" t="str">
        <x:v>надійність</x:v>
      </x:c>
      <x:c r="D989" s="195" t="str">
        <x:v>Якість бути надійним, надійним або гідним довіри.</x:v>
      </x:c>
      <x:c r="E989" s="192" t="str">
        <x:v>Oxford C1</x:v>
      </x:c>
      <x:c r="F989" s="192" t="str">
        <x:v>Core</x:v>
      </x:c>
      <x:c r="G989" s="192" t="str">
        <x:v>Not Started</x:v>
      </x:c>
      <x:c r="H989" s="192" t="n">
        <x:v>0</x:v>
      </x:c>
    </x:row>
    <x:row r="990" ht="56" customHeight="1">
      <x:c r="A990" s="192" t="str">
        <x:v>reluctant</x:v>
      </x:c>
      <x:c r="B990" s="192" t="str">
        <x:v>adj.</x:v>
      </x:c>
      <x:c r="C990" s="194" t="str">
        <x:v>неохоче</x:v>
      </x:c>
      <x:c r="D990" s="195" t="str">
        <x:v>Небажання робити якісь дії; небажання щось робити.</x:v>
      </x:c>
      <x:c r="E990" s="192" t="str">
        <x:v>Oxford C1 + AWL 10</x:v>
      </x:c>
      <x:c r="F990" s="192" t="str">
        <x:v>High</x:v>
      </x:c>
      <x:c r="G990" s="192" t="str">
        <x:v>Not Started</x:v>
      </x:c>
      <x:c r="H990" s="192" t="n">
        <x:v>0</x:v>
      </x:c>
    </x:row>
    <x:row r="991" ht="56" customHeight="1">
      <x:c r="A991" s="192" t="str">
        <x:v>remainder</x:v>
      </x:c>
      <x:c r="B991" s="192" t="str">
        <x:v>n.</x:v>
      </x:c>
      <x:c r="C991" s="194" t="str">
        <x:v>залишок</x:v>
      </x:c>
      <x:c r="D991" s="195" t="str">
        <x:v>Частина або частини, що залишилися після того, як деякі були видалені або вже виникли.</x:v>
      </x:c>
      <x:c r="E991" s="192" t="str">
        <x:v>Oxford C1</x:v>
      </x:c>
      <x:c r="F991" s="192" t="str">
        <x:v>Core</x:v>
      </x:c>
      <x:c r="G991" s="192" t="str">
        <x:v>Not Started</x:v>
      </x:c>
      <x:c r="H991" s="192" t="n">
        <x:v>0</x:v>
      </x:c>
    </x:row>
    <x:row r="992" ht="56" customHeight="1">
      <x:c r="A992" s="192" t="str">
        <x:v>remains</x:v>
      </x:c>
      <x:c r="B992" s="192" t="str">
        <x:v>n.</x:v>
      </x:c>
      <x:c r="C992" s="194" t="str">
        <x:v>залишається</x:v>
      </x:c>
      <x:c r="D992" s="195" t="str">
        <x:v>Тіло або будь-які його речовини, що залишилися після смерті людини (або будь-якого організму); труп.</x:v>
      </x:c>
      <x:c r="E992" s="192" t="str">
        <x:v>Oxford C1</x:v>
      </x:c>
      <x:c r="F992" s="192" t="str">
        <x:v>Core</x:v>
      </x:c>
      <x:c r="G992" s="192" t="str">
        <x:v>Not Started</x:v>
      </x:c>
      <x:c r="H992" s="192" t="n">
        <x:v>0</x:v>
      </x:c>
    </x:row>
    <x:row r="993" ht="56" customHeight="1">
      <x:c r="A993" s="192" t="str">
        <x:v>remedy</x:v>
      </x:c>
      <x:c r="B993" s="192" t="str">
        <x:v>n.</x:v>
      </x:c>
      <x:c r="C993" s="194" t="str">
        <x:v>засіб</x:v>
      </x:c>
      <x:c r="D993" s="195" t="str">
        <x:v>Лікарський засіб, застосування або лікування, яке полегшує або лікує хворобу.</x:v>
      </x:c>
      <x:c r="E993" s="192" t="str">
        <x:v>Oxford C1</x:v>
      </x:c>
      <x:c r="F993" s="192" t="str">
        <x:v>Core</x:v>
      </x:c>
      <x:c r="G993" s="192" t="str">
        <x:v>Not Started</x:v>
      </x:c>
      <x:c r="H993" s="192" t="n">
        <x:v>0</x:v>
      </x:c>
    </x:row>
    <x:row r="994" ht="56" customHeight="1">
      <x:c r="A994" s="192" t="str">
        <x:v>reminder</x:v>
      </x:c>
      <x:c r="B994" s="192" t="str">
        <x:v>n.</x:v>
      </x:c>
      <x:c r="C994" s="194" t="str">
        <x:v>нагадування</x:v>
      </x:c>
      <x:c r="D994" s="195" t="str">
        <x:v>Хтось або щось, що нагадує.</x:v>
      </x:c>
      <x:c r="E994" s="192" t="str">
        <x:v>Oxford C1</x:v>
      </x:c>
      <x:c r="F994" s="192" t="str">
        <x:v>Core</x:v>
      </x:c>
      <x:c r="G994" s="192" t="str">
        <x:v>Not Started</x:v>
      </x:c>
      <x:c r="H994" s="192" t="n">
        <x:v>0</x:v>
      </x:c>
    </x:row>
    <x:row r="995" ht="56" customHeight="1">
      <x:c r="A995" s="192" t="str">
        <x:v>removal</x:v>
      </x:c>
      <x:c r="B995" s="192" t="str">
        <x:v>n.</x:v>
      </x:c>
      <x:c r="C995" s="194" t="str">
        <x:v>видалення</x:v>
      </x:c>
      <x:c r="D995" s="195" t="str">
        <x:v>Процес видалення або факт видалення.</x:v>
      </x:c>
      <x:c r="E995" s="192" t="str">
        <x:v>Oxford C1</x:v>
      </x:c>
      <x:c r="F995" s="192" t="str">
        <x:v>Core</x:v>
      </x:c>
      <x:c r="G995" s="192" t="str">
        <x:v>Not Started</x:v>
      </x:c>
      <x:c r="H995" s="192" t="n">
        <x:v>0</x:v>
      </x:c>
    </x:row>
    <x:row r="996" ht="56" customHeight="1">
      <x:c r="A996" s="192" t="str">
        <x:v>render</x:v>
      </x:c>
      <x:c r="B996" s="192" t="str">
        <x:v>v.</x:v>
      </x:c>
      <x:c r="C996" s="194" t="str">
        <x:v>робити; надавати; відтворювати</x:v>
      </x:c>
      <x:c r="D996" s="195" t="str">
        <x:v>Інтерпретувати, дати тлумачення або переказ.</x:v>
      </x:c>
      <x:c r="E996" s="192" t="str">
        <x:v>Oxford C1</x:v>
      </x:c>
      <x:c r="F996" s="192" t="str">
        <x:v>Core</x:v>
      </x:c>
      <x:c r="G996" s="192" t="str">
        <x:v>Not Started</x:v>
      </x:c>
      <x:c r="H996" s="192" t="n">
        <x:v>0</x:v>
      </x:c>
    </x:row>
    <x:row r="997" ht="56" customHeight="1">
      <x:c r="A997" s="192" t="str">
        <x:v>renew</x:v>
      </x:c>
      <x:c r="B997" s="192" t="str">
        <x:v>v.</x:v>
      </x:c>
      <x:c r="C997" s="194" t="str">
        <x:v>відновити</x:v>
      </x:c>
      <x:c r="D997" s="195" t="str">
        <x:v>Знову робити (щось) нове; для відновлення свіжості або початкового стану.</x:v>
      </x:c>
      <x:c r="E997" s="192" t="str">
        <x:v>Oxford C1</x:v>
      </x:c>
      <x:c r="F997" s="192" t="str">
        <x:v>Core</x:v>
      </x:c>
      <x:c r="G997" s="192" t="str">
        <x:v>Not Started</x:v>
      </x:c>
      <x:c r="H997" s="192" t="n">
        <x:v>0</x:v>
      </x:c>
    </x:row>
    <x:row r="998" ht="56" customHeight="1">
      <x:c r="A998" s="192" t="str">
        <x:v>renowned</x:v>
      </x:c>
      <x:c r="B998" s="192" t="str">
        <x:v>adj.</x:v>
      </x:c>
      <x:c r="C998" s="194" t="str">
        <x:v>відомий</x:v>
      </x:c>
      <x:c r="D998" s="195" t="str">
        <x:v>Знаменитий, знаменитий або добре відомий; широко хвалили або високо шанували.</x:v>
      </x:c>
      <x:c r="E998" s="192" t="str">
        <x:v>Oxford C1</x:v>
      </x:c>
      <x:c r="F998" s="192" t="str">
        <x:v>Core</x:v>
      </x:c>
      <x:c r="G998" s="192" t="str">
        <x:v>Not Started</x:v>
      </x:c>
      <x:c r="H998" s="192" t="n">
        <x:v>0</x:v>
      </x:c>
    </x:row>
    <x:row r="999" ht="56" customHeight="1">
      <x:c r="A999" s="192" t="str">
        <x:v>rental</x:v>
      </x:c>
      <x:c r="B999" s="192" t="str">
        <x:v>n.</x:v>
      </x:c>
      <x:c r="C999" s="194" t="str">
        <x:v>оренда</x:v>
      </x:c>
      <x:c r="D999" s="195" t="str">
        <x:v>Плата за оренду чогось.</x:v>
      </x:c>
      <x:c r="E999" s="192" t="str">
        <x:v>Oxford C1</x:v>
      </x:c>
      <x:c r="F999" s="192" t="str">
        <x:v>Core</x:v>
      </x:c>
      <x:c r="G999" s="192" t="str">
        <x:v>Not Started</x:v>
      </x:c>
      <x:c r="H999" s="192" t="n">
        <x:v>0</x:v>
      </x:c>
    </x:row>
    <x:row r="1000" ht="56" customHeight="1">
      <x:c r="A1000" s="192" t="str">
        <x:v>replacement</x:v>
      </x:c>
      <x:c r="B1000" s="192" t="str">
        <x:v>n.</x:v>
      </x:c>
      <x:c r="C1000" s="194" t="str">
        <x:v>заміна</x:v>
      </x:c>
      <x:c r="D1000" s="195" t="str">
        <x:v>Особа або предмет, що займає місце іншого; замінник.</x:v>
      </x:c>
      <x:c r="E1000" s="192" t="str">
        <x:v>Oxford C1</x:v>
      </x:c>
      <x:c r="F1000" s="192" t="str">
        <x:v>Core</x:v>
      </x:c>
      <x:c r="G1000" s="192" t="str">
        <x:v>Not Started</x:v>
      </x:c>
      <x:c r="H1000" s="192" t="n">
        <x:v>0</x:v>
      </x:c>
    </x:row>
    <x:row r="1001" ht="56" customHeight="1">
      <x:c r="A1001" s="192" t="str">
        <x:v>reportedly</x:v>
      </x:c>
      <x:c r="B1001" s="192" t="str">
        <x:v>adv.</x:v>
      </x:c>
      <x:c r="C1001" s="194" t="str">
        <x:v>нібито</x:v>
      </x:c>
      <x:c r="D1001" s="195" t="str">
        <x:v>За повідомленнями чи чутками.</x:v>
      </x:c>
      <x:c r="E1001" s="192" t="str">
        <x:v>Oxford C1</x:v>
      </x:c>
      <x:c r="F1001" s="192" t="str">
        <x:v>Core</x:v>
      </x:c>
      <x:c r="G1001" s="192" t="str">
        <x:v>Not Started</x:v>
      </x:c>
      <x:c r="H1001" s="192" t="n">
        <x:v>0</x:v>
      </x:c>
    </x:row>
    <x:row r="1002" ht="56" customHeight="1">
      <x:c r="A1002" s="192" t="str">
        <x:v>representation</x:v>
      </x:c>
      <x:c r="B1002" s="192" t="str">
        <x:v>n.</x:v>
      </x:c>
      <x:c r="C1002" s="194" t="str">
        <x:v>представництво</x:v>
      </x:c>
      <x:c r="D1002" s="195" t="str">
        <x:v>Те, що представляє щось інше.</x:v>
      </x:c>
      <x:c r="E1002" s="192" t="str">
        <x:v>Oxford C1</x:v>
      </x:c>
      <x:c r="F1002" s="192" t="str">
        <x:v>Core</x:v>
      </x:c>
      <x:c r="G1002" s="192" t="str">
        <x:v>Not Started</x:v>
      </x:c>
      <x:c r="H1002" s="192" t="n">
        <x:v>0</x:v>
      </x:c>
    </x:row>
    <x:row r="1003" ht="56" customHeight="1">
      <x:c r="A1003" s="192" t="str">
        <x:v>reproduce</x:v>
      </x:c>
      <x:c r="B1003" s="192" t="str">
        <x:v>v.</x:v>
      </x:c>
      <x:c r="C1003" s="194" t="str">
        <x:v>відтворювати</x:v>
      </x:c>
      <x:c r="D1003" s="195" t="str">
        <x:v>Для створення або розмноження потомства або організмів статевим або нестатевим шляхом.</x:v>
      </x:c>
      <x:c r="E1003" s="192" t="str">
        <x:v>Oxford C1</x:v>
      </x:c>
      <x:c r="F1003" s="192" t="str">
        <x:v>Core</x:v>
      </x:c>
      <x:c r="G1003" s="192" t="str">
        <x:v>Not Started</x:v>
      </x:c>
      <x:c r="H1003" s="192" t="n">
        <x:v>0</x:v>
      </x:c>
    </x:row>
    <x:row r="1004" ht="56" customHeight="1">
      <x:c r="A1004" s="192" t="str">
        <x:v>reproduction</x:v>
      </x:c>
      <x:c r="B1004" s="192" t="str">
        <x:v>n.</x:v>
      </x:c>
      <x:c r="C1004" s="194" t="str">
        <x:v>відтворення</x:v>
      </x:c>
      <x:c r="D1004" s="195" t="str">
        <x:v>Акт біологічного відтворення нових особин.</x:v>
      </x:c>
      <x:c r="E1004" s="192" t="str">
        <x:v>Oxford C1</x:v>
      </x:c>
      <x:c r="F1004" s="192" t="str">
        <x:v>Core</x:v>
      </x:c>
      <x:c r="G1004" s="192" t="str">
        <x:v>Not Started</x:v>
      </x:c>
      <x:c r="H1004" s="192" t="n">
        <x:v>0</x:v>
      </x:c>
    </x:row>
    <x:row r="1005" ht="56" customHeight="1">
      <x:c r="A1005" s="192" t="str">
        <x:v>republic</x:v>
      </x:c>
      <x:c r="B1005" s="192" t="str">
        <x:v>n.</x:v>
      </x:c>
      <x:c r="C1005" s="194" t="str">
        <x:v>республіка</x:v>
      </x:c>
      <x:c r="D1005" s="195" t="str">
        <x:v>Держава, де суверенітет належить народу або його представникам, а не монарху чи імператору; країна без монархії.</x:v>
      </x:c>
      <x:c r="E1005" s="192" t="str">
        <x:v>Oxford C1</x:v>
      </x:c>
      <x:c r="F1005" s="192" t="str">
        <x:v>Core</x:v>
      </x:c>
      <x:c r="G1005" s="192" t="str">
        <x:v>Not Started</x:v>
      </x:c>
      <x:c r="H1005" s="192" t="n">
        <x:v>0</x:v>
      </x:c>
    </x:row>
    <x:row r="1006" ht="56" customHeight="1">
      <x:c r="A1006" s="192" t="str">
        <x:v>resemble</x:v>
      </x:c>
      <x:c r="B1006" s="192" t="str">
        <x:v>v.</x:v>
      </x:c>
      <x:c r="C1006" s="194" t="str">
        <x:v>схожий</x:v>
      </x:c>
      <x:c r="D1006" s="195" t="str">
        <x:v>Бути схожим або схожим на (щось); представляти як схоже.</x:v>
      </x:c>
      <x:c r="E1006" s="192" t="str">
        <x:v>Oxford C1</x:v>
      </x:c>
      <x:c r="F1006" s="192" t="str">
        <x:v>Core</x:v>
      </x:c>
      <x:c r="G1006" s="192" t="str">
        <x:v>Not Started</x:v>
      </x:c>
      <x:c r="H1006" s="192" t="n">
        <x:v>0</x:v>
      </x:c>
    </x:row>
    <x:row r="1007" ht="56" customHeight="1">
      <x:c r="A1007" s="192" t="str">
        <x:v>reside</x:v>
      </x:c>
      <x:c r="B1007" s="192" t="str">
        <x:v>v.</x:v>
      </x:c>
      <x:c r="C1007" s="194" t="str">
        <x:v>проживати</x:v>
      </x:c>
      <x:c r="D1007" s="195" t="str">
        <x:v>Проживати постійно або на тривалий час; мати постійне місце проживання на час; залишатися надовго.</x:v>
      </x:c>
      <x:c r="E1007" s="192" t="str">
        <x:v>Oxford C1</x:v>
      </x:c>
      <x:c r="F1007" s="192" t="str">
        <x:v>Core</x:v>
      </x:c>
      <x:c r="G1007" s="192" t="str">
        <x:v>Not Started</x:v>
      </x:c>
      <x:c r="H1007" s="192" t="n">
        <x:v>0</x:v>
      </x:c>
    </x:row>
    <x:row r="1008" ht="56" customHeight="1">
      <x:c r="A1008" s="192" t="str">
        <x:v>residence</x:v>
      </x:c>
      <x:c r="B1008" s="192" t="str">
        <x:v>n.</x:v>
      </x:c>
      <x:c r="C1008" s="194" t="str">
        <x:v>резиденція</x:v>
      </x:c>
      <x:c r="D1008" s="195" t="str">
        <x:v>Місце, де живе (проживає); свій дім.</x:v>
      </x:c>
      <x:c r="E1008" s="192" t="str">
        <x:v>Oxford C1</x:v>
      </x:c>
      <x:c r="F1008" s="192" t="str">
        <x:v>Core</x:v>
      </x:c>
      <x:c r="G1008" s="192" t="str">
        <x:v>Not Started</x:v>
      </x:c>
      <x:c r="H1008" s="192" t="n">
        <x:v>0</x:v>
      </x:c>
    </x:row>
    <x:row r="1009" ht="56" customHeight="1">
      <x:c r="A1009" s="192" t="str">
        <x:v>residential</x:v>
      </x:c>
      <x:c r="B1009" s="192" t="str">
        <x:v>adj.</x:v>
      </x:c>
      <x:c r="C1009" s="194" t="str">
        <x:v>житловий</x:v>
      </x:c>
      <x:c r="D1009" s="195" t="str">
        <x:v>Відносно місця особистого проживання чи місця для таких місць.</x:v>
      </x:c>
      <x:c r="E1009" s="192" t="str">
        <x:v>Oxford C1</x:v>
      </x:c>
      <x:c r="F1009" s="192" t="str">
        <x:v>Core</x:v>
      </x:c>
      <x:c r="G1009" s="192" t="str">
        <x:v>Not Started</x:v>
      </x:c>
      <x:c r="H1009" s="192" t="n">
        <x:v>0</x:v>
      </x:c>
    </x:row>
    <x:row r="1010" ht="56" customHeight="1">
      <x:c r="A1010" s="192" t="str">
        <x:v>residue</x:v>
      </x:c>
      <x:c r="B1010" s="192" t="str">
        <x:v>n.</x:v>
      </x:c>
      <x:c r="C1010" s="194" t="str">
        <x:v>залишок</x:v>
      </x:c>
      <x:c r="D1010" s="195" t="str">
        <x:v>Те, що зберігається або залишається після видалення або усунення інших елементів.</x:v>
      </x:c>
      <x:c r="E1010" s="192" t="str">
        <x:v>Oxford C1</x:v>
      </x:c>
      <x:c r="F1010" s="192" t="str">
        <x:v>Core</x:v>
      </x:c>
      <x:c r="G1010" s="192" t="str">
        <x:v>Not Started</x:v>
      </x:c>
      <x:c r="H1010" s="192" t="n">
        <x:v>0</x:v>
      </x:c>
    </x:row>
    <x:row r="1011" ht="56" customHeight="1">
      <x:c r="A1011" s="192" t="str">
        <x:v>resignation</x:v>
      </x:c>
      <x:c r="B1011" s="192" t="str">
        <x:v>n.</x:v>
      </x:c>
      <x:c r="C1011" s="194" t="str">
        <x:v>відставка</x:v>
      </x:c>
      <x:c r="D1011" s="195" t="str">
        <x:v>Акт про звільнення.</x:v>
      </x:c>
      <x:c r="E1011" s="192" t="str">
        <x:v>Oxford C1</x:v>
      </x:c>
      <x:c r="F1011" s="192" t="str">
        <x:v>Core</x:v>
      </x:c>
      <x:c r="G1011" s="192" t="str">
        <x:v>Not Started</x:v>
      </x:c>
      <x:c r="H1011" s="192" t="n">
        <x:v>0</x:v>
      </x:c>
    </x:row>
    <x:row r="1012" ht="56" customHeight="1">
      <x:c r="A1012" s="192" t="str">
        <x:v>resistance</x:v>
      </x:c>
      <x:c r="B1012" s="192" t="str">
        <x:v>n.</x:v>
      </x:c>
      <x:c r="C1012" s="194" t="str">
        <x:v>опір</x:v>
      </x:c>
      <x:c r="D1012" s="195" t="str">
        <x:v>Акт опору, або здатність до опору.</x:v>
      </x:c>
      <x:c r="E1012" s="192" t="str">
        <x:v>Oxford C1</x:v>
      </x:c>
      <x:c r="F1012" s="192" t="str">
        <x:v>Core</x:v>
      </x:c>
      <x:c r="G1012" s="192" t="str">
        <x:v>Not Started</x:v>
      </x:c>
      <x:c r="H1012" s="192" t="n">
        <x:v>0</x:v>
      </x:c>
    </x:row>
    <x:row r="1013" ht="56" customHeight="1">
      <x:c r="A1013" s="192" t="str">
        <x:v>respective</x:v>
      </x:c>
      <x:c r="B1013" s="192" t="str">
        <x:v>adj.</x:v>
      </x:c>
      <x:c r="C1013" s="194" t="str">
        <x:v>відповідний</x:v>
      </x:c>
      <x:c r="D1013" s="195" t="str">
        <x:v>Що стосується конкретних осіб або речей, кожен до кожного; особливий; власні.</x:v>
      </x:c>
      <x:c r="E1013" s="192" t="str">
        <x:v>Oxford C1</x:v>
      </x:c>
      <x:c r="F1013" s="192" t="str">
        <x:v>Core</x:v>
      </x:c>
      <x:c r="G1013" s="192" t="str">
        <x:v>Not Started</x:v>
      </x:c>
      <x:c r="H1013" s="192" t="n">
        <x:v>0</x:v>
      </x:c>
    </x:row>
    <x:row r="1014" ht="56" customHeight="1">
      <x:c r="A1014" s="192" t="str">
        <x:v>respectively</x:v>
      </x:c>
      <x:c r="B1014" s="192" t="str">
        <x:v>adv.</x:v>
      </x:c>
      <x:c r="C1014" s="194" t="str">
        <x:v>відповідно</x:v>
      </x:c>
      <x:c r="D1014" s="195" t="str">
        <x:v>У відносний спосіб; часто використовується під час порівняння списків масивів, де цей термін означає, що елементи в списках відповідають один одному в тому порядку, в якому вони вказані.</x:v>
      </x:c>
      <x:c r="E1014" s="192" t="str">
        <x:v>Oxford C1</x:v>
      </x:c>
      <x:c r="F1014" s="192" t="str">
        <x:v>Core</x:v>
      </x:c>
      <x:c r="G1014" s="192" t="str">
        <x:v>Not Started</x:v>
      </x:c>
      <x:c r="H1014" s="192" t="n">
        <x:v>0</x:v>
      </x:c>
    </x:row>
    <x:row r="1015" ht="56" customHeight="1">
      <x:c r="A1015" s="192" t="str">
        <x:v>restoration</x:v>
      </x:c>
      <x:c r="B1015" s="192" t="str">
        <x:v>n.</x:v>
      </x:c>
      <x:c r="C1015" s="194" t="str">
        <x:v>реставрація</x:v>
      </x:c>
      <x:c r="D1015" s="195" t="str">
        <x:v>Процес повернення об’єкта до початкового стану; процес відновлення чогось.</x:v>
      </x:c>
      <x:c r="E1015" s="192" t="str">
        <x:v>Oxford C1</x:v>
      </x:c>
      <x:c r="F1015" s="192" t="str">
        <x:v>Core</x:v>
      </x:c>
      <x:c r="G1015" s="192" t="str">
        <x:v>Not Started</x:v>
      </x:c>
      <x:c r="H1015" s="192" t="n">
        <x:v>0</x:v>
      </x:c>
    </x:row>
    <x:row r="1016" ht="56" customHeight="1">
      <x:c r="A1016" s="192" t="str">
        <x:v>restraint</x:v>
      </x:c>
      <x:c r="B1016" s="192" t="str">
        <x:v>n.</x:v>
      </x:c>
      <x:c r="C1016" s="194" t="str">
        <x:v>стриманість</x:v>
      </x:c>
      <x:c r="D1016" s="195" t="str">
        <x:v>контроль або обережність; резерв</x:v>
      </x:c>
      <x:c r="E1016" s="192" t="str">
        <x:v>Oxford C1</x:v>
      </x:c>
      <x:c r="F1016" s="192" t="str">
        <x:v>Core</x:v>
      </x:c>
      <x:c r="G1016" s="192" t="str">
        <x:v>Not Started</x:v>
      </x:c>
      <x:c r="H1016" s="192" t="n">
        <x:v>0</x:v>
      </x:c>
    </x:row>
    <x:row r="1017" ht="56" customHeight="1">
      <x:c r="A1017" s="192" t="str">
        <x:v>resume</x:v>
      </x:c>
      <x:c r="B1017" s="192" t="str">
        <x:v>v.</x:v>
      </x:c>
      <x:c r="C1017" s="194" t="str">
        <x:v>резюме</x:v>
      </x:c>
      <x:c r="D1017" s="195" t="str">
        <x:v>Почати (щось) знову, що було зупинено або призупинено з точки, на якій воно було зупинено або призупинено; продовжувати, продовжувати.</x:v>
      </x:c>
      <x:c r="E1017" s="192" t="str">
        <x:v>Oxford C1</x:v>
      </x:c>
      <x:c r="F1017" s="192" t="str">
        <x:v>Core</x:v>
      </x:c>
      <x:c r="G1017" s="192" t="str">
        <x:v>Not Started</x:v>
      </x:c>
      <x:c r="H1017" s="192" t="n">
        <x:v>0</x:v>
      </x:c>
    </x:row>
    <x:row r="1018" ht="56" customHeight="1">
      <x:c r="A1018" s="192" t="str">
        <x:v>retreat</x:v>
      </x:c>
      <x:c r="B1018" s="192" t="str">
        <x:v>n., v.</x:v>
      </x:c>
      <x:c r="C1018" s="194" t="str">
        <x:v>відступ</x:v>
      </x:c>
      <x:c r="D1018" s="195" t="str">
        <x:v>Щоб вийти з позиції, поверніться назад.</x:v>
      </x:c>
      <x:c r="E1018" s="192" t="str">
        <x:v>Oxford C1</x:v>
      </x:c>
      <x:c r="F1018" s="192" t="str">
        <x:v>Core</x:v>
      </x:c>
      <x:c r="G1018" s="192" t="str">
        <x:v>Not Started</x:v>
      </x:c>
      <x:c r="H1018" s="192" t="n">
        <x:v>0</x:v>
      </x:c>
    </x:row>
    <x:row r="1019" ht="56" customHeight="1">
      <x:c r="A1019" s="192" t="str">
        <x:v>retrieve</x:v>
      </x:c>
      <x:c r="B1019" s="192" t="str">
        <x:v>v.</x:v>
      </x:c>
      <x:c r="C1019" s="194" t="str">
        <x:v>отримати</x:v>
      </x:c>
      <x:c r="D1019" s="195" t="str">
        <x:v>Повернути або повернути щось.</x:v>
      </x:c>
      <x:c r="E1019" s="192" t="str">
        <x:v>Oxford C1</x:v>
      </x:c>
      <x:c r="F1019" s="192" t="str">
        <x:v>Core</x:v>
      </x:c>
      <x:c r="G1019" s="192" t="str">
        <x:v>Not Started</x:v>
      </x:c>
      <x:c r="H1019" s="192" t="n">
        <x:v>0</x:v>
      </x:c>
    </x:row>
    <x:row r="1020" ht="56" customHeight="1">
      <x:c r="A1020" s="192" t="str">
        <x:v>revelation</x:v>
      </x:c>
      <x:c r="B1020" s="192" t="str">
        <x:v>n.</x:v>
      </x:c>
      <x:c r="C1020" s="194" t="str">
        <x:v>одкровення</x:v>
      </x:c>
      <x:c r="D1020" s="195" t="str">
        <x:v>Акт виявлення або розголошення.</x:v>
      </x:c>
      <x:c r="E1020" s="192" t="str">
        <x:v>Oxford C1</x:v>
      </x:c>
      <x:c r="F1020" s="192" t="str">
        <x:v>Core</x:v>
      </x:c>
      <x:c r="G1020" s="192" t="str">
        <x:v>Not Started</x:v>
      </x:c>
      <x:c r="H1020" s="192" t="n">
        <x:v>0</x:v>
      </x:c>
    </x:row>
    <x:row r="1021" ht="56" customHeight="1">
      <x:c r="A1021" s="192" t="str">
        <x:v>revenge</x:v>
      </x:c>
      <x:c r="B1021" s="192" t="str">
        <x:v>n.</x:v>
      </x:c>
      <x:c r="C1021" s="194" t="str">
        <x:v>помста</x:v>
      </x:c>
      <x:c r="D1021" s="195" t="str">
        <x:v>Будь-яка форма особистих дій у відповідь проти особи, установи чи групи за певну передбачувану чи уявну шкоду чи несправедливість.</x:v>
      </x:c>
      <x:c r="E1021" s="192" t="str">
        <x:v>Oxford C1</x:v>
      </x:c>
      <x:c r="F1021" s="192" t="str">
        <x:v>Core</x:v>
      </x:c>
      <x:c r="G1021" s="192" t="str">
        <x:v>Not Started</x:v>
      </x:c>
      <x:c r="H1021" s="192" t="n">
        <x:v>0</x:v>
      </x:c>
    </x:row>
    <x:row r="1022" ht="56" customHeight="1">
      <x:c r="A1022" s="192" t="str">
        <x:v>reverse</x:v>
      </x:c>
      <x:c r="B1022" s="192" t="str">
        <x:v>v.</x:v>
      </x:c>
      <x:c r="C1022" s="194" t="str">
        <x:v>змінювати на протилежне; рухатися назад</x:v>
      </x:c>
      <x:c r="D1022" s="195" t="str">
        <x:v>Змінювати напрям, порядок або результат на протилежний; також рухатися назад.</x:v>
      </x:c>
      <x:c r="E1022" s="192" t="str">
        <x:v>Oxford C1</x:v>
      </x:c>
      <x:c r="F1022" s="192" t="str">
        <x:v>Core</x:v>
      </x:c>
      <x:c r="G1022" s="192" t="str">
        <x:v>Not Started</x:v>
      </x:c>
      <x:c r="H1022" s="192" t="n">
        <x:v>0</x:v>
      </x:c>
    </x:row>
    <x:row r="1023" ht="56" customHeight="1">
      <x:c r="A1023" s="192" t="str">
        <x:v>revival</x:v>
      </x:c>
      <x:c r="B1023" s="192" t="str">
        <x:v>n.</x:v>
      </x:c>
      <x:c r="C1023" s="194" t="str">
        <x:v>відродження</x:v>
      </x:c>
      <x:c r="D1023" s="195" t="str">
        <x:v>Акт оживлення, або стан оживлення.</x:v>
      </x:c>
      <x:c r="E1023" s="192" t="str">
        <x:v>Oxford C1</x:v>
      </x:c>
      <x:c r="F1023" s="192" t="str">
        <x:v>Core</x:v>
      </x:c>
      <x:c r="G1023" s="192" t="str">
        <x:v>Not Started</x:v>
      </x:c>
      <x:c r="H1023" s="192" t="n">
        <x:v>0</x:v>
      </x:c>
    </x:row>
    <x:row r="1024" ht="56" customHeight="1">
      <x:c r="A1024" s="192" t="str">
        <x:v>revive</x:v>
      </x:c>
      <x:c r="B1024" s="192" t="str">
        <x:v>v.</x:v>
      </x:c>
      <x:c r="C1024" s="194" t="str">
        <x:v>оживити</x:v>
      </x:c>
      <x:c r="D1024" s="195" t="str">
        <x:v>(фігуративно) Змусити (щось) вийти зі стану занепаду, занедбаності, забуття чи невідомості; знову зробити (щось) активним або жвавим; реанімувати, оживляти.</x:v>
      </x:c>
      <x:c r="E1024" s="192" t="str">
        <x:v>Oxford C1</x:v>
      </x:c>
      <x:c r="F1024" s="192" t="str">
        <x:v>Core</x:v>
      </x:c>
      <x:c r="G1024" s="192" t="str">
        <x:v>Not Started</x:v>
      </x:c>
      <x:c r="H1024" s="192" t="n">
        <x:v>0</x:v>
      </x:c>
    </x:row>
    <x:row r="1025" ht="56" customHeight="1">
      <x:c r="A1025" s="192" t="str">
        <x:v>revolutionary</x:v>
      </x:c>
      <x:c r="B1025" s="192" t="str">
        <x:v>adj.</x:v>
      </x:c>
      <x:c r="C1025" s="194" t="str">
        <x:v>революційний</x:v>
      </x:c>
      <x:c r="D1025" s="195" t="str">
        <x:v>Щось або стосується чогось, що передвіщає великі зміни; повалення постійного мислення</x:v>
      </x:c>
      <x:c r="E1025" s="192" t="str">
        <x:v>Oxford C1</x:v>
      </x:c>
      <x:c r="F1025" s="192" t="str">
        <x:v>Core</x:v>
      </x:c>
      <x:c r="G1025" s="192" t="str">
        <x:v>Not Started</x:v>
      </x:c>
      <x:c r="H1025" s="192" t="n">
        <x:v>0</x:v>
      </x:c>
    </x:row>
    <x:row r="1026" ht="56" customHeight="1">
      <x:c r="A1026" s="192" t="str">
        <x:v>rhetoric</x:v>
      </x:c>
      <x:c r="B1026" s="192" t="str">
        <x:v>n.</x:v>
      </x:c>
      <x:c r="C1026" s="194" t="str">
        <x:v>риторика</x:v>
      </x:c>
      <x:c r="D1026" s="195" t="str">
        <x:v>Мистецтво використання мови, особливо публічних виступів, як засобу переконання.</x:v>
      </x:c>
      <x:c r="E1026" s="192" t="str">
        <x:v>Oxford C1</x:v>
      </x:c>
      <x:c r="F1026" s="192" t="str">
        <x:v>Core</x:v>
      </x:c>
      <x:c r="G1026" s="192" t="str">
        <x:v>Not Started</x:v>
      </x:c>
      <x:c r="H1026" s="192" t="n">
        <x:v>0</x:v>
      </x:c>
    </x:row>
    <x:row r="1027" ht="56" customHeight="1">
      <x:c r="A1027" s="192" t="str">
        <x:v>rifle</x:v>
      </x:c>
      <x:c r="B1027" s="192" t="str">
        <x:v>n.</x:v>
      </x:c>
      <x:c r="C1027" s="194" t="str">
        <x:v>гвинтівка</x:v>
      </x:c>
      <x:c r="D1027" s="195" t="str">
        <x:v>Вогнепальна зброя, стріляна з плеча; підвищена дальність і точність пострілу забезпечується довгим нарізним стволом.</x:v>
      </x:c>
      <x:c r="E1027" s="192" t="str">
        <x:v>Oxford C1</x:v>
      </x:c>
      <x:c r="F1027" s="192" t="str">
        <x:v>Core</x:v>
      </x:c>
      <x:c r="G1027" s="192" t="str">
        <x:v>Not Started</x:v>
      </x:c>
      <x:c r="H1027" s="192" t="n">
        <x:v>0</x:v>
      </x:c>
    </x:row>
    <x:row r="1028" ht="56" customHeight="1">
      <x:c r="A1028" s="192" t="str">
        <x:v>riot</x:v>
      </x:c>
      <x:c r="B1028" s="192" t="str">
        <x:v>n.</x:v>
      </x:c>
      <x:c r="C1028" s="194" t="str">
        <x:v>бунт</x:v>
      </x:c>
      <x:c r="D1028" s="195" t="str">
        <x:v>Бурхливе порушення громадського порядку великою групою людей, що часто супроводжується насильством або пошкодженням майна.</x:v>
      </x:c>
      <x:c r="E1028" s="192" t="str">
        <x:v>Oxford C1</x:v>
      </x:c>
      <x:c r="F1028" s="192" t="str">
        <x:v>Core</x:v>
      </x:c>
      <x:c r="G1028" s="192" t="str">
        <x:v>Not Started</x:v>
      </x:c>
      <x:c r="H1028" s="192" t="n">
        <x:v>0</x:v>
      </x:c>
    </x:row>
    <x:row r="1029" ht="56" customHeight="1">
      <x:c r="A1029" s="192" t="str">
        <x:v>rip</x:v>
      </x:c>
      <x:c r="B1029" s="192" t="str">
        <x:v>v.</x:v>
      </x:c>
      <x:c r="C1029" s="194" t="str">
        <x:v>рвати; розривати</x:v>
      </x:c>
      <x:c r="D1029" s="195" t="str">
        <x:v>Розділяти або відокремлювати частини (особливо чогось тендітного, наприклад, паперу чи тканини), розрізаючи чи розриваючи; гвалтом відірвати або вирвати.</x:v>
      </x:c>
      <x:c r="E1029" s="192" t="str">
        <x:v>Oxford C1</x:v>
      </x:c>
      <x:c r="F1029" s="192" t="str">
        <x:v>Core</x:v>
      </x:c>
      <x:c r="G1029" s="192" t="str">
        <x:v>Not Started</x:v>
      </x:c>
      <x:c r="H1029" s="192" t="n">
        <x:v>0</x:v>
      </x:c>
    </x:row>
    <x:row r="1030" ht="56" customHeight="1">
      <x:c r="A1030" s="192" t="str">
        <x:v>ritual</x:v>
      </x:c>
      <x:c r="B1030" s="192" t="str">
        <x:v>n.</x:v>
      </x:c>
      <x:c r="C1030" s="194" t="str">
        <x:v>ритуал</x:v>
      </x:c>
      <x:c r="D1030" s="195" t="str">
        <x:v>обряд; повторюваний набір дій, особливо в релігійному контексті.</x:v>
      </x:c>
      <x:c r="E1030" s="192" t="str">
        <x:v>Oxford C1</x:v>
      </x:c>
      <x:c r="F1030" s="192" t="str">
        <x:v>Core</x:v>
      </x:c>
      <x:c r="G1030" s="192" t="str">
        <x:v>Not Started</x:v>
      </x:c>
      <x:c r="H1030" s="192" t="n">
        <x:v>0</x:v>
      </x:c>
    </x:row>
    <x:row r="1031" ht="56" customHeight="1">
      <x:c r="A1031" s="192" t="str">
        <x:v>robust</x:v>
      </x:c>
      <x:c r="B1031" s="192" t="str">
        <x:v>adj.</x:v>
      </x:c>
      <x:c r="C1031" s="194" t="str">
        <x:v>надійний</x:v>
      </x:c>
      <x:c r="D1031" s="195" t="str">
        <x:v>Показ сили і здоров'я; сильний; (часто, особливо) і великий, і здоровий.</x:v>
      </x:c>
      <x:c r="E1031" s="192" t="str">
        <x:v>Oxford C1</x:v>
      </x:c>
      <x:c r="F1031" s="192" t="str">
        <x:v>Core</x:v>
      </x:c>
      <x:c r="G1031" s="192" t="str">
        <x:v>Not Started</x:v>
      </x:c>
      <x:c r="H1031" s="192" t="n">
        <x:v>0</x:v>
      </x:c>
    </x:row>
    <x:row r="1032" ht="56" customHeight="1">
      <x:c r="A1032" s="192" t="str">
        <x:v>rock</x:v>
      </x:c>
      <x:c r="B1032" s="192" t="str">
        <x:v>v.</x:v>
      </x:c>
      <x:c r="C1032" s="194" t="str">
        <x:v>рок</x:v>
      </x:c>
      <x:c r="D1032" s="195" t="str">
        <x:v>М’яко рухатися вперед і назад.</x:v>
      </x:c>
      <x:c r="E1032" s="192" t="str">
        <x:v>Oxford C1</x:v>
      </x:c>
      <x:c r="F1032" s="192" t="str">
        <x:v>Core</x:v>
      </x:c>
      <x:c r="G1032" s="192" t="str">
        <x:v>Not Started</x:v>
      </x:c>
      <x:c r="H1032" s="192" t="n">
        <x:v>0</x:v>
      </x:c>
    </x:row>
    <x:row r="1033" ht="56" customHeight="1">
      <x:c r="A1033" s="192" t="str">
        <x:v>rod</x:v>
      </x:c>
      <x:c r="B1033" s="192" t="str">
        <x:v>n.</x:v>
      </x:c>
      <x:c r="C1033" s="194" t="str">
        <x:v>стрижень</x:v>
      </x:c>
      <x:c r="D1033" s="195" t="str">
        <x:v>Пряма кругла палиця, древко, брусок, тростина або палиця.</x:v>
      </x:c>
      <x:c r="E1033" s="192" t="str">
        <x:v>Oxford C1</x:v>
      </x:c>
      <x:c r="F1033" s="192" t="str">
        <x:v>Core</x:v>
      </x:c>
      <x:c r="G1033" s="192" t="str">
        <x:v>Not Started</x:v>
      </x:c>
      <x:c r="H1033" s="192" t="n">
        <x:v>0</x:v>
      </x:c>
    </x:row>
    <x:row r="1034" ht="56" customHeight="1">
      <x:c r="A1034" s="192" t="str">
        <x:v>rotate</x:v>
      </x:c>
      <x:c r="B1034" s="192" t="str">
        <x:v>v.</x:v>
      </x:c>
      <x:c r="C1034" s="194" t="str">
        <x:v>обертатися</x:v>
      </x:c>
      <x:c r="D1034" s="195" t="str">
        <x:v>Крутитись, обертатися чи обертатися.</x:v>
      </x:c>
      <x:c r="E1034" s="192" t="str">
        <x:v>Oxford C1</x:v>
      </x:c>
      <x:c r="F1034" s="192" t="str">
        <x:v>Core</x:v>
      </x:c>
      <x:c r="G1034" s="192" t="str">
        <x:v>Not Started</x:v>
      </x:c>
      <x:c r="H1034" s="192" t="n">
        <x:v>0</x:v>
      </x:c>
    </x:row>
    <x:row r="1035" ht="56" customHeight="1">
      <x:c r="A1035" s="192" t="str">
        <x:v>rotation</x:v>
      </x:c>
      <x:c r="B1035" s="192" t="str">
        <x:v>n.</x:v>
      </x:c>
      <x:c r="C1035" s="194" t="str">
        <x:v>обертання</x:v>
      </x:c>
      <x:c r="D1035" s="195" t="str">
        <x:v>Акт повороту навколо центру або осі.</x:v>
      </x:c>
      <x:c r="E1035" s="192" t="str">
        <x:v>Oxford C1</x:v>
      </x:c>
      <x:c r="F1035" s="192" t="str">
        <x:v>Core</x:v>
      </x:c>
      <x:c r="G1035" s="192" t="str">
        <x:v>Not Started</x:v>
      </x:c>
      <x:c r="H1035" s="192" t="n">
        <x:v>0</x:v>
      </x:c>
    </x:row>
    <x:row r="1036" ht="56" customHeight="1">
      <x:c r="A1036" s="192" t="str">
        <x:v>ruling</x:v>
      </x:c>
      <x:c r="B1036" s="192" t="str">
        <x:v>n.</x:v>
      </x:c>
      <x:c r="C1036" s="194" t="str">
        <x:v>правлячий</x:v>
      </x:c>
      <x:c r="D1036" s="195" t="str">
        <x:v>Наказ або рішення з правового питання від когось із владних повноважень.</x:v>
      </x:c>
      <x:c r="E1036" s="192" t="str">
        <x:v>Oxford C1</x:v>
      </x:c>
      <x:c r="F1036" s="192" t="str">
        <x:v>Core</x:v>
      </x:c>
      <x:c r="G1036" s="192" t="str">
        <x:v>Not Started</x:v>
      </x:c>
      <x:c r="H1036" s="192" t="n">
        <x:v>0</x:v>
      </x:c>
    </x:row>
    <x:row r="1037" ht="56" customHeight="1">
      <x:c r="A1037" s="192" t="str">
        <x:v>rumour</x:v>
      </x:c>
      <x:c r="B1037" s="192" t="str">
        <x:v>n.</x:v>
      </x:c>
      <x:c r="C1037" s="194" t="str">
        <x:v>чутка</x:v>
      </x:c>
      <x:c r="D1037" s="195" t="str">
        <x:v>Неперевірена інформація, яка поширюється між людьми.</x:v>
      </x:c>
      <x:c r="E1037" s="192" t="str">
        <x:v>Oxford C1</x:v>
      </x:c>
      <x:c r="F1037" s="192" t="str">
        <x:v>Core</x:v>
      </x:c>
      <x:c r="G1037" s="192" t="str">
        <x:v>Not Started</x:v>
      </x:c>
      <x:c r="H1037" s="192" t="n">
        <x:v>0</x:v>
      </x:c>
    </x:row>
    <x:row r="1038" ht="56" customHeight="1">
      <x:c r="A1038" s="192" t="str">
        <x:v>sack</x:v>
      </x:c>
      <x:c r="B1038" s="192" t="str">
        <x:v>v.</x:v>
      </x:c>
      <x:c r="C1038" s="194" t="str">
        <x:v>мішок</x:v>
      </x:c>
      <x:c r="D1038" s="195" t="str">
        <x:v>Складати в мішок або мішки.</x:v>
      </x:c>
      <x:c r="E1038" s="192" t="str">
        <x:v>Oxford C1</x:v>
      </x:c>
      <x:c r="F1038" s="192" t="str">
        <x:v>Core</x:v>
      </x:c>
      <x:c r="G1038" s="192" t="str">
        <x:v>Not Started</x:v>
      </x:c>
      <x:c r="H1038" s="192" t="n">
        <x:v>0</x:v>
      </x:c>
    </x:row>
    <x:row r="1039" ht="56" customHeight="1">
      <x:c r="A1039" s="192" t="str">
        <x:v>sacred</x:v>
      </x:c>
      <x:c r="B1039" s="192" t="str">
        <x:v>adj.</x:v>
      </x:c>
      <x:c r="C1039" s="194" t="str">
        <x:v>священний</x:v>
      </x:c>
      <x:c r="D1039" s="195" t="str">
        <x:v>Характеризується урочистою релігійною церемонією або релігійним використанням, особливо в позитивному сенсі; освячений, освячений.</x:v>
      </x:c>
      <x:c r="E1039" s="192" t="str">
        <x:v>Oxford C1</x:v>
      </x:c>
      <x:c r="F1039" s="192" t="str">
        <x:v>Core</x:v>
      </x:c>
      <x:c r="G1039" s="192" t="str">
        <x:v>Not Started</x:v>
      </x:c>
      <x:c r="H1039" s="192" t="n">
        <x:v>0</x:v>
      </x:c>
    </x:row>
    <x:row r="1040" ht="56" customHeight="1">
      <x:c r="A1040" s="192" t="str">
        <x:v>sacrifice</x:v>
      </x:c>
      <x:c r="B1040" s="192" t="str">
        <x:v>n., v.</x:v>
      </x:c>
      <x:c r="C1040" s="194" t="str">
        <x:v>жертва</x:v>
      </x:c>
      <x:c r="D1040" s="195" t="str">
        <x:v>(релігія) Пропонувати (людину, тварину або предмет) божеству.</x:v>
      </x:c>
      <x:c r="E1040" s="192" t="str">
        <x:v>Oxford C1</x:v>
      </x:c>
      <x:c r="F1040" s="192" t="str">
        <x:v>Core</x:v>
      </x:c>
      <x:c r="G1040" s="192" t="str">
        <x:v>Not Started</x:v>
      </x:c>
      <x:c r="H1040" s="192" t="n">
        <x:v>0</x:v>
      </x:c>
    </x:row>
    <x:row r="1041" ht="56" customHeight="1">
      <x:c r="A1041" s="192" t="str">
        <x:v>saint</x:v>
      </x:c>
      <x:c r="B1041" s="192" t="str">
        <x:v>n.</x:v>
      </x:c>
      <x:c r="C1041" s="194" t="str">
        <x:v>святий</x:v>
      </x:c>
      <x:c r="D1041" s="195" t="str">
        <x:v>Померла особа, яку церква чи інша релігійна група офіційно визнала особливо святою чи благочестивою; один видатний для благочестя та чесноти.</x:v>
      </x:c>
      <x:c r="E1041" s="192" t="str">
        <x:v>Oxford C1</x:v>
      </x:c>
      <x:c r="F1041" s="192" t="str">
        <x:v>Core</x:v>
      </x:c>
      <x:c r="G1041" s="192" t="str">
        <x:v>Not Started</x:v>
      </x:c>
      <x:c r="H1041" s="192" t="n">
        <x:v>0</x:v>
      </x:c>
    </x:row>
    <x:row r="1042" ht="56" customHeight="1">
      <x:c r="A1042" s="192" t="str">
        <x:v>sake</x:v>
      </x:c>
      <x:c r="B1042" s="192" t="str">
        <x:v>n.</x:v>
      </x:c>
      <x:c r="C1042" s="194" t="str">
        <x:v>заради</x:v>
      </x:c>
      <x:c r="D1042" s="195" t="str">
        <x:v>причина, інтерес або рахунок</x:v>
      </x:c>
      <x:c r="E1042" s="192" t="str">
        <x:v>Oxford C1</x:v>
      </x:c>
      <x:c r="F1042" s="192" t="str">
        <x:v>Core</x:v>
      </x:c>
      <x:c r="G1042" s="192" t="str">
        <x:v>Not Started</x:v>
      </x:c>
      <x:c r="H1042" s="192" t="n">
        <x:v>0</x:v>
      </x:c>
    </x:row>
    <x:row r="1043" ht="56" customHeight="1">
      <x:c r="A1043" s="192" t="str">
        <x:v>sanction</x:v>
      </x:c>
      <x:c r="B1043" s="192" t="str">
        <x:v>n.</x:v>
      </x:c>
      <x:c r="C1043" s="194" t="str">
        <x:v>санкція</x:v>
      </x:c>
      <x:c r="D1043" s="195" t="str">
        <x:v>Штраф, покарання або якийсь примусовий захід, спрямований на забезпечення дотримання; особливо прийнятий декількома країнами або міжнародним органом.</x:v>
      </x:c>
      <x:c r="E1043" s="192" t="str">
        <x:v>Oxford C1</x:v>
      </x:c>
      <x:c r="F1043" s="192" t="str">
        <x:v>Core</x:v>
      </x:c>
      <x:c r="G1043" s="192" t="str">
        <x:v>Not Started</x:v>
      </x:c>
      <x:c r="H1043" s="192" t="n">
        <x:v>0</x:v>
      </x:c>
    </x:row>
    <x:row r="1044" ht="56" customHeight="1">
      <x:c r="A1044" s="192" t="str">
        <x:v>say</x:v>
      </x:c>
      <x:c r="B1044" s="192" t="str">
        <x:v>n.</x:v>
      </x:c>
      <x:c r="C1044" s="194" t="str">
        <x:v>сказати</x:v>
      </x:c>
      <x:c r="D1044" s="195" t="str">
        <x:v>) можливість висловитися; право чи повноваження впливати або приймати рішення.</x:v>
      </x:c>
      <x:c r="E1044" s="192" t="str">
        <x:v>Oxford C1</x:v>
      </x:c>
      <x:c r="F1044" s="192" t="str">
        <x:v>Core</x:v>
      </x:c>
      <x:c r="G1044" s="192" t="str">
        <x:v>Not Started</x:v>
      </x:c>
      <x:c r="H1044" s="192" t="n">
        <x:v>0</x:v>
      </x:c>
    </x:row>
    <x:row r="1045" ht="56" customHeight="1">
      <x:c r="A1045" s="192" t="str">
        <x:v>scattered</x:v>
      </x:c>
      <x:c r="B1045" s="192" t="str">
        <x:v>adj.</x:v>
      </x:c>
      <x:c r="C1045" s="194" t="str">
        <x:v>розкиданий</x:v>
      </x:c>
      <x:c r="D1045" s="195" t="str">
        <x:v>Розпорошені, розбиті на роз'єднані одиниці.</x:v>
      </x:c>
      <x:c r="E1045" s="192" t="str">
        <x:v>Oxford C1</x:v>
      </x:c>
      <x:c r="F1045" s="192" t="str">
        <x:v>Core</x:v>
      </x:c>
      <x:c r="G1045" s="192" t="str">
        <x:v>Not Started</x:v>
      </x:c>
      <x:c r="H1045" s="192" t="n">
        <x:v>0</x:v>
      </x:c>
    </x:row>
    <x:row r="1046" ht="56" customHeight="1">
      <x:c r="A1046" s="192" t="str">
        <x:v>sceptical</x:v>
      </x:c>
      <x:c r="B1046" s="192" t="str">
        <x:v>adj.</x:v>
      </x:c>
      <x:c r="C1046" s="194" t="str">
        <x:v>скептичний</x:v>
      </x:c>
      <x:c r="D1046" s="195" t="str">
        <x:v>Схильний сумніватися в правдивості або обґрунтованості твердження.</x:v>
      </x:c>
      <x:c r="E1046" s="192" t="str">
        <x:v>Oxford C1</x:v>
      </x:c>
      <x:c r="F1046" s="192" t="str">
        <x:v>Core</x:v>
      </x:c>
      <x:c r="G1046" s="192" t="str">
        <x:v>Not Started</x:v>
      </x:c>
      <x:c r="H1046" s="192" t="n">
        <x:v>0</x:v>
      </x:c>
    </x:row>
    <x:row r="1047" ht="56" customHeight="1">
      <x:c r="A1047" s="192" t="str">
        <x:v>scope</x:v>
      </x:c>
      <x:c r="B1047" s="192" t="str">
        <x:v>n.</x:v>
      </x:c>
      <x:c r="C1047" s="194" t="str">
        <x:v>обсяг</x:v>
      </x:c>
      <x:c r="D1047" s="195" t="str">
        <x:v>Широта, глибина або охоплення теми; ступінь застосовності або актуальності; домен, компетенція або компетенція.</x:v>
      </x:c>
      <x:c r="E1047" s="192" t="str">
        <x:v>Oxford C1 + AWL 6</x:v>
      </x:c>
      <x:c r="F1047" s="192" t="str">
        <x:v>High</x:v>
      </x:c>
      <x:c r="G1047" s="192" t="str">
        <x:v>Not Started</x:v>
      </x:c>
      <x:c r="H1047" s="192" t="n">
        <x:v>0</x:v>
      </x:c>
    </x:row>
    <x:row r="1048" ht="56" customHeight="1">
      <x:c r="A1048" s="192" t="str">
        <x:v>screw</x:v>
      </x:c>
      <x:c r="B1048" s="192" t="str">
        <x:v>v., n.</x:v>
      </x:c>
      <x:c r="C1048" s="194" t="str">
        <x:v>гвинт</x:v>
      </x:c>
      <x:c r="D1048" s="195" t="str">
        <x:v>Для з’єднання або складання частин за допомогою гвинта.</x:v>
      </x:c>
      <x:c r="E1048" s="192" t="str">
        <x:v>Oxford C1</x:v>
      </x:c>
      <x:c r="F1048" s="192" t="str">
        <x:v>Core</x:v>
      </x:c>
      <x:c r="G1048" s="192" t="str">
        <x:v>Not Started</x:v>
      </x:c>
      <x:c r="H1048" s="192" t="n">
        <x:v>0</x:v>
      </x:c>
    </x:row>
    <x:row r="1049" ht="56" customHeight="1">
      <x:c r="A1049" s="192" t="str">
        <x:v>scrutiny</x:v>
      </x:c>
      <x:c r="B1049" s="192" t="str">
        <x:v>n.</x:v>
      </x:c>
      <x:c r="C1049" s="194" t="str">
        <x:v>перевірка</x:v>
      </x:c>
      <x:c r="D1049" s="195" t="str">
        <x:v>Інтенсивне вивчення когось або чогось.</x:v>
      </x:c>
      <x:c r="E1049" s="192" t="str">
        <x:v>Oxford C1</x:v>
      </x:c>
      <x:c r="F1049" s="192" t="str">
        <x:v>Core</x:v>
      </x:c>
      <x:c r="G1049" s="192" t="str">
        <x:v>Not Started</x:v>
      </x:c>
      <x:c r="H1049" s="192" t="n">
        <x:v>0</x:v>
      </x:c>
    </x:row>
    <x:row r="1050" ht="56" customHeight="1">
      <x:c r="A1050" s="192" t="str">
        <x:v>seal</x:v>
      </x:c>
      <x:c r="B1050" s="192" t="str">
        <x:v>v., n.</x:v>
      </x:c>
      <x:c r="C1050" s="194" t="str">
        <x:v>печатка</x:v>
      </x:c>
      <x:c r="D1050" s="195" t="str">
        <x:v>Полювати на тюленів.</x:v>
      </x:c>
      <x:c r="E1050" s="192" t="str">
        <x:v>Oxford C1</x:v>
      </x:c>
      <x:c r="F1050" s="192" t="str">
        <x:v>Core</x:v>
      </x:c>
      <x:c r="G1050" s="192" t="str">
        <x:v>Not Started</x:v>
      </x:c>
      <x:c r="H1050" s="192" t="n">
        <x:v>0</x:v>
      </x:c>
    </x:row>
    <x:row r="1051" ht="56" customHeight="1">
      <x:c r="A1051" s="192" t="str">
        <x:v>secular</x:v>
      </x:c>
      <x:c r="B1051" s="192" t="str">
        <x:v>adj.</x:v>
      </x:c>
      <x:c r="C1051" s="194" t="str">
        <x:v>світський</x:v>
      </x:c>
      <x:c r="D1051" s="195" t="str">
        <x:v>Не особливо релігійний; світський або цивільний, на відміну від духовного.</x:v>
      </x:c>
      <x:c r="E1051" s="192" t="str">
        <x:v>Oxford C1</x:v>
      </x:c>
      <x:c r="F1051" s="192" t="str">
        <x:v>Core</x:v>
      </x:c>
      <x:c r="G1051" s="192" t="str">
        <x:v>Not Started</x:v>
      </x:c>
      <x:c r="H1051" s="192" t="n">
        <x:v>0</x:v>
      </x:c>
    </x:row>
    <x:row r="1052" ht="56" customHeight="1">
      <x:c r="A1052" s="192" t="str">
        <x:v>seemingly</x:v>
      </x:c>
      <x:c r="B1052" s="192" t="str">
        <x:v>adv.</x:v>
      </x:c>
      <x:c r="C1052" s="194" t="str">
        <x:v>здавалося б</x:v>
      </x:c>
      <x:c r="D1052" s="195" t="str">
        <x:v>Як з'являється; мабуть.</x:v>
      </x:c>
      <x:c r="E1052" s="192" t="str">
        <x:v>Oxford C1</x:v>
      </x:c>
      <x:c r="F1052" s="192" t="str">
        <x:v>Core</x:v>
      </x:c>
      <x:c r="G1052" s="192" t="str">
        <x:v>Not Started</x:v>
      </x:c>
      <x:c r="H1052" s="192" t="n">
        <x:v>0</x:v>
      </x:c>
    </x:row>
    <x:row r="1053" ht="56" customHeight="1">
      <x:c r="A1053" s="192" t="str">
        <x:v>segment</x:v>
      </x:c>
      <x:c r="B1053" s="192" t="str">
        <x:v>n.</x:v>
      </x:c>
      <x:c r="C1053" s="194" t="str">
        <x:v>сегмент</x:v>
      </x:c>
      <x:c r="D1053" s="195" t="str">
        <x:v>Одна з частин, на яку природно поділяється або ділиться будь-яке тіло; розділена або відрізана частина; розділ; порція.</x:v>
      </x:c>
      <x:c r="E1053" s="192" t="str">
        <x:v>Oxford C1</x:v>
      </x:c>
      <x:c r="F1053" s="192" t="str">
        <x:v>Core</x:v>
      </x:c>
      <x:c r="G1053" s="192" t="str">
        <x:v>Not Started</x:v>
      </x:c>
      <x:c r="H1053" s="192" t="n">
        <x:v>0</x:v>
      </x:c>
    </x:row>
    <x:row r="1054" ht="56" customHeight="1">
      <x:c r="A1054" s="192" t="str">
        <x:v>seize</x:v>
      </x:c>
      <x:c r="B1054" s="192" t="str">
        <x:v>v.</x:v>
      </x:c>
      <x:c r="C1054" s="194" t="str">
        <x:v>схопити</x:v>
      </x:c>
      <x:c r="D1054" s="195" t="str">
        <x:v>Навмисно вхопитися за; схопити або захопити.</x:v>
      </x:c>
      <x:c r="E1054" s="192" t="str">
        <x:v>Oxford C1</x:v>
      </x:c>
      <x:c r="F1054" s="192" t="str">
        <x:v>Core</x:v>
      </x:c>
      <x:c r="G1054" s="192" t="str">
        <x:v>Not Started</x:v>
      </x:c>
      <x:c r="H1054" s="192" t="n">
        <x:v>0</x:v>
      </x:c>
    </x:row>
    <x:row r="1055" ht="56" customHeight="1">
      <x:c r="A1055" s="192" t="str">
        <x:v>seldom</x:v>
      </x:c>
      <x:c r="B1055" s="192" t="str">
        <x:v>adv.</x:v>
      </x:c>
      <x:c r="C1055" s="194" t="str">
        <x:v>рідко</x:v>
      </x:c>
      <x:c r="D1055" s="195" t="str">
        <x:v>Нечасто, рідко.</x:v>
      </x:c>
      <x:c r="E1055" s="192" t="str">
        <x:v>Oxford C1</x:v>
      </x:c>
      <x:c r="F1055" s="192" t="str">
        <x:v>Core</x:v>
      </x:c>
      <x:c r="G1055" s="192" t="str">
        <x:v>Not Started</x:v>
      </x:c>
      <x:c r="H1055" s="192" t="n">
        <x:v>0</x:v>
      </x:c>
    </x:row>
    <x:row r="1056" ht="56" customHeight="1">
      <x:c r="A1056" s="192" t="str">
        <x:v>selective</x:v>
      </x:c>
      <x:c r="B1056" s="192" t="str">
        <x:v>adj.</x:v>
      </x:c>
      <x:c r="C1056" s="194" t="str">
        <x:v>вибірковий</x:v>
      </x:c>
      <x:c r="D1056" s="195" t="str">
        <x:v>Вибагливий, метушливий або розбірливий при виборі.</x:v>
      </x:c>
      <x:c r="E1056" s="192" t="str">
        <x:v>Oxford C1</x:v>
      </x:c>
      <x:c r="F1056" s="192" t="str">
        <x:v>Core</x:v>
      </x:c>
      <x:c r="G1056" s="192" t="str">
        <x:v>Not Started</x:v>
      </x:c>
      <x:c r="H1056" s="192" t="n">
        <x:v>0</x:v>
      </x:c>
    </x:row>
    <x:row r="1057" ht="56" customHeight="1">
      <x:c r="A1057" s="192" t="str">
        <x:v>senator</x:v>
      </x:c>
      <x:c r="B1057" s="192" t="str">
        <x:v>n.</x:v>
      </x:c>
      <x:c r="C1057" s="194" t="str">
        <x:v>сенатор</x:v>
      </x:c>
      <x:c r="D1057" s="195" t="str">
        <x:v>Член, який зазвичай обирається до палати або палати законодавчого органу, який називається сенатом, як, наприклад, законодавчі органи Сполучених Штатів і Канади.</x:v>
      </x:c>
      <x:c r="E1057" s="192" t="str">
        <x:v>Oxford C1</x:v>
      </x:c>
      <x:c r="F1057" s="192" t="str">
        <x:v>Core</x:v>
      </x:c>
      <x:c r="G1057" s="192" t="str">
        <x:v>Not Started</x:v>
      </x:c>
      <x:c r="H1057" s="192" t="n">
        <x:v>0</x:v>
      </x:c>
    </x:row>
    <x:row r="1058" ht="56" customHeight="1">
      <x:c r="A1058" s="192" t="str">
        <x:v>sensation</x:v>
      </x:c>
      <x:c r="B1058" s="192" t="str">
        <x:v>n.</x:v>
      </x:c>
      <x:c r="C1058" s="194" t="str">
        <x:v>сенсація</x:v>
      </x:c>
      <x:c r="D1058" s="195" t="str">
        <x:v>Фізичне відчуття або сприйняття чогось, що контактує з тілом; щось відчув.</x:v>
      </x:c>
      <x:c r="E1058" s="192" t="str">
        <x:v>Oxford C1</x:v>
      </x:c>
      <x:c r="F1058" s="192" t="str">
        <x:v>Core</x:v>
      </x:c>
      <x:c r="G1058" s="192" t="str">
        <x:v>Not Started</x:v>
      </x:c>
      <x:c r="H1058" s="192" t="n">
        <x:v>0</x:v>
      </x:c>
    </x:row>
    <x:row r="1059" ht="56" customHeight="1">
      <x:c r="A1059" s="192" t="str">
        <x:v>sensitivity</x:v>
      </x:c>
      <x:c r="B1059" s="192" t="str">
        <x:v>n.</x:v>
      </x:c>
      <x:c r="C1059" s="194" t="str">
        <x:v>чутливість</x:v>
      </x:c>
      <x:c r="D1059" s="195" t="str">
        <x:v>Якість або стан чутливості; чутливість.</x:v>
      </x:c>
      <x:c r="E1059" s="192" t="str">
        <x:v>Oxford C1</x:v>
      </x:c>
      <x:c r="F1059" s="192" t="str">
        <x:v>Core</x:v>
      </x:c>
      <x:c r="G1059" s="192" t="str">
        <x:v>Not Started</x:v>
      </x:c>
      <x:c r="H1059" s="192" t="n">
        <x:v>0</x:v>
      </x:c>
    </x:row>
    <x:row r="1060" ht="56" customHeight="1">
      <x:c r="A1060" s="192" t="str">
        <x:v>sentiment</x:v>
      </x:c>
      <x:c r="B1060" s="192" t="str">
        <x:v>n.</x:v>
      </x:c>
      <x:c r="C1060" s="194" t="str">
        <x:v>почуття</x:v>
      </x:c>
      <x:c r="D1060" s="195" t="str">
        <x:v>Загальна думка, відчуття чи відчуття.</x:v>
      </x:c>
      <x:c r="E1060" s="192" t="str">
        <x:v>Oxford C1</x:v>
      </x:c>
      <x:c r="F1060" s="192" t="str">
        <x:v>Core</x:v>
      </x:c>
      <x:c r="G1060" s="192" t="str">
        <x:v>Not Started</x:v>
      </x:c>
      <x:c r="H1060" s="192" t="n">
        <x:v>0</x:v>
      </x:c>
    </x:row>
    <x:row r="1061" ht="56" customHeight="1">
      <x:c r="A1061" s="192" t="str">
        <x:v>separation</x:v>
      </x:c>
      <x:c r="B1061" s="192" t="str">
        <x:v>n.</x:v>
      </x:c>
      <x:c r="C1061" s="194" t="str">
        <x:v>розділення</x:v>
      </x:c>
      <x:c r="D1061" s="195" t="str">
        <x:v>Акт роз'єднання двох або більше речей або умова роз'єднання.</x:v>
      </x:c>
      <x:c r="E1061" s="192" t="str">
        <x:v>Oxford C1</x:v>
      </x:c>
      <x:c r="F1061" s="192" t="str">
        <x:v>Core</x:v>
      </x:c>
      <x:c r="G1061" s="192" t="str">
        <x:v>Not Started</x:v>
      </x:c>
      <x:c r="H1061" s="192" t="n">
        <x:v>0</x:v>
      </x:c>
    </x:row>
    <x:row r="1062" ht="56" customHeight="1">
      <x:c r="A1062" s="192" t="str">
        <x:v>serial</x:v>
      </x:c>
      <x:c r="B1062" s="192" t="str">
        <x:v>adj.</x:v>
      </x:c>
      <x:c r="C1062" s="194" t="str">
        <x:v>серійний</x:v>
      </x:c>
      <x:c r="D1062" s="195" t="str">
        <x:v>Маючи відношення до або розташовані в ряд.</x:v>
      </x:c>
      <x:c r="E1062" s="192" t="str">
        <x:v>Oxford C1</x:v>
      </x:c>
      <x:c r="F1062" s="192" t="str">
        <x:v>Core</x:v>
      </x:c>
      <x:c r="G1062" s="192" t="str">
        <x:v>Not Started</x:v>
      </x:c>
      <x:c r="H1062" s="192" t="n">
        <x:v>0</x:v>
      </x:c>
    </x:row>
    <x:row r="1063" ht="56" customHeight="1">
      <x:c r="A1063" s="192" t="str">
        <x:v>settlement</x:v>
      </x:c>
      <x:c r="B1063" s="192" t="str">
        <x:v>n.</x:v>
      </x:c>
      <x:c r="C1063" s="194" t="str">
        <x:v>поселення</x:v>
      </x:c>
      <x:c r="D1063" s="195" t="str">
        <x:v>Спільнота людей, які живуть разом, наприклад хутір, село, містечко чи місто; населене місце.</x:v>
      </x:c>
      <x:c r="E1063" s="192" t="str">
        <x:v>Oxford C1</x:v>
      </x:c>
      <x:c r="F1063" s="192" t="str">
        <x:v>Core</x:v>
      </x:c>
      <x:c r="G1063" s="192" t="str">
        <x:v>Not Started</x:v>
      </x:c>
      <x:c r="H1063" s="192" t="n">
        <x:v>0</x:v>
      </x:c>
    </x:row>
    <x:row r="1064" ht="56" customHeight="1">
      <x:c r="A1064" s="192" t="str">
        <x:v>set-up</x:v>
      </x:c>
      <x:c r="B1064" s="192" t="str">
        <x:v>n.</x:v>
      </x:c>
      <x:c r="C1064" s="194" t="str">
        <x:v>установка</x:v>
      </x:c>
      <x:c r="D1064" s="195" t="str">
        <x:v>Спосіб організації або комплект обладнання, підготовлений для певної мети.</x:v>
      </x:c>
      <x:c r="E1064" s="192" t="str">
        <x:v>Oxford C1</x:v>
      </x:c>
      <x:c r="F1064" s="192" t="str">
        <x:v>Core</x:v>
      </x:c>
      <x:c r="G1064" s="192" t="str">
        <x:v>Not Started</x:v>
      </x:c>
      <x:c r="H1064" s="192" t="n">
        <x:v>0</x:v>
      </x:c>
    </x:row>
    <x:row r="1065" ht="56" customHeight="1">
      <x:c r="A1065" s="192" t="str">
        <x:v>sexuality</x:v>
      </x:c>
      <x:c r="B1065" s="192" t="str">
        <x:v>n.</x:v>
      </x:c>
      <x:c r="C1065" s="194" t="str">
        <x:v>сексуальність</x:v>
      </x:c>
      <x:c r="D1065" s="195" t="str">
        <x:v>Статева активність; стурбованість або інтерес до сексуальної активності.</x:v>
      </x:c>
      <x:c r="E1065" s="192" t="str">
        <x:v>Oxford C1</x:v>
      </x:c>
      <x:c r="F1065" s="192" t="str">
        <x:v>Core</x:v>
      </x:c>
      <x:c r="G1065" s="192" t="str">
        <x:v>Not Started</x:v>
      </x:c>
      <x:c r="H1065" s="192" t="n">
        <x:v>0</x:v>
      </x:c>
    </x:row>
    <x:row r="1066" ht="56" customHeight="1">
      <x:c r="A1066" s="192" t="str">
        <x:v>shareholder</x:v>
      </x:c>
      <x:c r="B1066" s="192" t="str">
        <x:v>n.</x:v>
      </x:c>
      <x:c r="C1066" s="194" t="str">
        <x:v>акціонер</x:v>
      </x:c>
      <x:c r="D1066" s="195" t="str">
        <x:v>Той, хто володіє акціями корпорації.</x:v>
      </x:c>
      <x:c r="E1066" s="192" t="str">
        <x:v>Oxford C1</x:v>
      </x:c>
      <x:c r="F1066" s="192" t="str">
        <x:v>Core</x:v>
      </x:c>
      <x:c r="G1066" s="192" t="str">
        <x:v>Not Started</x:v>
      </x:c>
      <x:c r="H1066" s="192" t="n">
        <x:v>0</x:v>
      </x:c>
    </x:row>
    <x:row r="1067" ht="56" customHeight="1">
      <x:c r="A1067" s="192" t="str">
        <x:v>shatter</x:v>
      </x:c>
      <x:c r="B1067" s="192" t="str">
        <x:v>v.</x:v>
      </x:c>
      <x:c r="C1067" s="194" t="str">
        <x:v>розбити</x:v>
      </x:c>
      <x:c r="D1067" s="195" t="str">
        <x:v>Сильно розбивати що-небудь на частини.</x:v>
      </x:c>
      <x:c r="E1067" s="192" t="str">
        <x:v>Oxford C1</x:v>
      </x:c>
      <x:c r="F1067" s="192" t="str">
        <x:v>Core</x:v>
      </x:c>
      <x:c r="G1067" s="192" t="str">
        <x:v>Not Started</x:v>
      </x:c>
      <x:c r="H1067" s="192" t="n">
        <x:v>0</x:v>
      </x:c>
    </x:row>
    <x:row r="1068" ht="56" customHeight="1">
      <x:c r="A1068" s="192" t="str">
        <x:v>shed</x:v>
      </x:c>
      <x:c r="B1068" s="192" t="str">
        <x:v>v.</x:v>
      </x:c>
      <x:c r="C1068" s="194" t="str">
        <x:v>сарай</x:v>
      </x:c>
      <x:c r="D1068" s="195" t="str">
        <x:v>Дозволити текти або падати.</x:v>
      </x:c>
      <x:c r="E1068" s="192" t="str">
        <x:v>Oxford C1</x:v>
      </x:c>
      <x:c r="F1068" s="192" t="str">
        <x:v>Core</x:v>
      </x:c>
      <x:c r="G1068" s="192" t="str">
        <x:v>Not Started</x:v>
      </x:c>
      <x:c r="H1068" s="192" t="n">
        <x:v>0</x:v>
      </x:c>
    </x:row>
    <x:row r="1069" ht="56" customHeight="1">
      <x:c r="A1069" s="192" t="str">
        <x:v>sheer</x:v>
      </x:c>
      <x:c r="B1069" s="192" t="str">
        <x:v>adj.</x:v>
      </x:c>
      <x:c r="C1069" s="194" t="str">
        <x:v>чистий</x:v>
      </x:c>
      <x:c r="D1069" s="195" t="str">
        <x:v>прямо; повний; чистий.</x:v>
      </x:c>
      <x:c r="E1069" s="192" t="str">
        <x:v>Oxford C1</x:v>
      </x:c>
      <x:c r="F1069" s="192" t="str">
        <x:v>Core</x:v>
      </x:c>
      <x:c r="G1069" s="192" t="str">
        <x:v>Not Started</x:v>
      </x:c>
      <x:c r="H1069" s="192" t="n">
        <x:v>0</x:v>
      </x:c>
    </x:row>
    <x:row r="1070" ht="56" customHeight="1">
      <x:c r="A1070" s="192" t="str">
        <x:v>shipping</x:v>
      </x:c>
      <x:c r="B1070" s="192" t="str">
        <x:v>n.</x:v>
      </x:c>
      <x:c r="C1070" s="194" t="str">
        <x:v>доставка</x:v>
      </x:c>
      <x:c r="D1070" s="195" t="str">
        <x:v>Перевезення вантажів.</x:v>
      </x:c>
      <x:c r="E1070" s="192" t="str">
        <x:v>Oxford C1</x:v>
      </x:c>
      <x:c r="F1070" s="192" t="str">
        <x:v>Core</x:v>
      </x:c>
      <x:c r="G1070" s="192" t="str">
        <x:v>Not Started</x:v>
      </x:c>
      <x:c r="H1070" s="192" t="n">
        <x:v>0</x:v>
      </x:c>
    </x:row>
    <x:row r="1071" ht="56" customHeight="1">
      <x:c r="A1071" s="192" t="str">
        <x:v>shoot</x:v>
      </x:c>
      <x:c r="B1071" s="192" t="str">
        <x:v>n.</x:v>
      </x:c>
      <x:c r="C1071" s="194" t="str">
        <x:v>стріляти</x:v>
      </x:c>
      <x:c r="D1071" s="195" t="str">
        <x:v>Стебло, що з’являється, і зародкові листки нової рослини.</x:v>
      </x:c>
      <x:c r="E1071" s="192" t="str">
        <x:v>Oxford C1</x:v>
      </x:c>
      <x:c r="F1071" s="192" t="str">
        <x:v>Core</x:v>
      </x:c>
      <x:c r="G1071" s="192" t="str">
        <x:v>Not Started</x:v>
      </x:c>
      <x:c r="H1071" s="192" t="n">
        <x:v>0</x:v>
      </x:c>
    </x:row>
    <x:row r="1072" ht="56" customHeight="1">
      <x:c r="A1072" s="192" t="str">
        <x:v>shrink</x:v>
      </x:c>
      <x:c r="B1072" s="192" t="str">
        <x:v>v.</x:v>
      </x:c>
      <x:c r="C1072" s="194" t="str">
        <x:v>скорочуватися</x:v>
      </x:c>
      <x:c r="D1072" s="195" t="str">
        <x:v>Стати меншим; контрактувати.</x:v>
      </x:c>
      <x:c r="E1072" s="192" t="str">
        <x:v>Oxford C1</x:v>
      </x:c>
      <x:c r="F1072" s="192" t="str">
        <x:v>Core</x:v>
      </x:c>
      <x:c r="G1072" s="192" t="str">
        <x:v>Not Started</x:v>
      </x:c>
      <x:c r="H1072" s="192" t="n">
        <x:v>0</x:v>
      </x:c>
    </x:row>
    <x:row r="1073" ht="56" customHeight="1">
      <x:c r="A1073" s="192" t="str">
        <x:v>shrug</x:v>
      </x:c>
      <x:c r="B1073" s="192" t="str">
        <x:v>v.</x:v>
      </x:c>
      <x:c r="C1073" s="194" t="str">
        <x:v>знизати плечима</x:v>
      </x:c>
      <x:c r="D1073" s="195" t="str">
        <x:v>Підняти (плечі), щоб висловити невпевненість, відсутність занепокоєння, (раніше) страх тощо.</x:v>
      </x:c>
      <x:c r="E1073" s="192" t="str">
        <x:v>Oxford C1</x:v>
      </x:c>
      <x:c r="F1073" s="192" t="str">
        <x:v>Core</x:v>
      </x:c>
      <x:c r="G1073" s="192" t="str">
        <x:v>Not Started</x:v>
      </x:c>
      <x:c r="H1073" s="192" t="n">
        <x:v>0</x:v>
      </x:c>
    </x:row>
    <x:row r="1074" ht="56" customHeight="1">
      <x:c r="A1074" s="192" t="str">
        <x:v>sigh</x:v>
      </x:c>
      <x:c r="B1074" s="192" t="str">
        <x:v>v., n.</x:v>
      </x:c>
      <x:c r="C1074" s="194" t="str">
        <x:v>зітхати</x:v>
      </x:c>
      <x:c r="D1074" s="195" t="str">
        <x:v>Вдихнути більшу кількість повітря, ніж зазвичай, і негайно вигнати його;</x:v>
      </x:c>
      <x:c r="E1074" s="192" t="str">
        <x:v>Oxford C1</x:v>
      </x:c>
      <x:c r="F1074" s="192" t="str">
        <x:v>Core</x:v>
      </x:c>
      <x:c r="G1074" s="192" t="str">
        <x:v>Not Started</x:v>
      </x:c>
      <x:c r="H1074" s="192" t="n">
        <x:v>0</x:v>
      </x:c>
    </x:row>
    <x:row r="1075" ht="56" customHeight="1">
      <x:c r="A1075" s="192" t="str">
        <x:v>simulate</x:v>
      </x:c>
      <x:c r="B1075" s="192" t="str">
        <x:v>v.</x:v>
      </x:c>
      <x:c r="C1075" s="194" t="str">
        <x:v>симулювати</x:v>
      </x:c>
      <x:c r="D1075" s="195" t="str">
        <x:v>Змоделювати, відтворити, відтворити поведінку, зовнішній вигляд або властивості.</x:v>
      </x:c>
      <x:c r="E1075" s="192" t="str">
        <x:v>Oxford C1</x:v>
      </x:c>
      <x:c r="F1075" s="192" t="str">
        <x:v>Core</x:v>
      </x:c>
      <x:c r="G1075" s="192" t="str">
        <x:v>Not Started</x:v>
      </x:c>
      <x:c r="H1075" s="192" t="n">
        <x:v>0</x:v>
      </x:c>
    </x:row>
    <x:row r="1076" ht="56" customHeight="1">
      <x:c r="A1076" s="192" t="str">
        <x:v>simulation</x:v>
      </x:c>
      <x:c r="B1076" s="192" t="str">
        <x:v>n.</x:v>
      </x:c>
      <x:c r="C1076" s="194" t="str">
        <x:v>моделювання</x:v>
      </x:c>
      <x:c r="D1076" s="195" t="str">
        <x:v>Щось, що імітує систему чи середовище, щоб передбачити реальну поведінку.</x:v>
      </x:c>
      <x:c r="E1076" s="192" t="str">
        <x:v>Oxford C1 + AWL 7</x:v>
      </x:c>
      <x:c r="F1076" s="192" t="str">
        <x:v>High</x:v>
      </x:c>
      <x:c r="G1076" s="192" t="str">
        <x:v>Not Started</x:v>
      </x:c>
      <x:c r="H1076" s="192" t="n">
        <x:v>0</x:v>
      </x:c>
    </x:row>
    <x:row r="1077" ht="56" customHeight="1">
      <x:c r="A1077" s="192" t="str">
        <x:v>simultaneously</x:v>
      </x:c>
      <x:c r="B1077" s="192" t="str">
        <x:v>adv.</x:v>
      </x:c>
      <x:c r="C1077" s="194" t="str">
        <x:v>одночасно</x:v>
      </x:c>
      <x:c r="D1077" s="195" t="str">
        <x:v>Відбувається одночасно.</x:v>
      </x:c>
      <x:c r="E1077" s="192" t="str">
        <x:v>Oxford C1</x:v>
      </x:c>
      <x:c r="F1077" s="192" t="str">
        <x:v>Core</x:v>
      </x:c>
      <x:c r="G1077" s="192" t="str">
        <x:v>Not Started</x:v>
      </x:c>
      <x:c r="H1077" s="192" t="n">
        <x:v>0</x:v>
      </x:c>
    </x:row>
    <x:row r="1078" ht="56" customHeight="1">
      <x:c r="A1078" s="192" t="str">
        <x:v>sin</x:v>
      </x:c>
      <x:c r="B1078" s="192" t="str">
        <x:v>n.</x:v>
      </x:c>
      <x:c r="C1078" s="194" t="str">
        <x:v>гріх</x:v>
      </x:c>
      <x:c r="D1078" s="195" t="str">
        <x:v>Порушення божественної волі або релігійного закону.</x:v>
      </x:c>
      <x:c r="E1078" s="192" t="str">
        <x:v>Oxford C1</x:v>
      </x:c>
      <x:c r="F1078" s="192" t="str">
        <x:v>Core</x:v>
      </x:c>
      <x:c r="G1078" s="192" t="str">
        <x:v>Not Started</x:v>
      </x:c>
      <x:c r="H1078" s="192" t="n">
        <x:v>0</x:v>
      </x:c>
    </x:row>
    <x:row r="1079" ht="56" customHeight="1">
      <x:c r="A1079" s="192" t="str">
        <x:v>situated</x:v>
      </x:c>
      <x:c r="B1079" s="192" t="str">
        <x:v>adj.</x:v>
      </x:c>
      <x:c r="C1079" s="194" t="str">
        <x:v>розташований</x:v>
      </x:c>
      <x:c r="D1079" s="195" t="str">
        <x:v>Знаходиться в конкретному місці.</x:v>
      </x:c>
      <x:c r="E1079" s="192" t="str">
        <x:v>Oxford C1</x:v>
      </x:c>
      <x:c r="F1079" s="192" t="str">
        <x:v>Core</x:v>
      </x:c>
      <x:c r="G1079" s="192" t="str">
        <x:v>Not Started</x:v>
      </x:c>
      <x:c r="H1079" s="192" t="n">
        <x:v>0</x:v>
      </x:c>
    </x:row>
    <x:row r="1080" ht="56" customHeight="1">
      <x:c r="A1080" s="192" t="str">
        <x:v>sketch</x:v>
      </x:c>
      <x:c r="B1080" s="192" t="str">
        <x:v>n.</x:v>
      </x:c>
      <x:c r="C1080" s="194" t="str">
        <x:v>ескіз</x:v>
      </x:c>
      <x:c r="D1080" s="195" t="str">
        <x:v>Швидко виконаний малюнок від руки, який не передбачається як закінчена робота, часто складається з безлічі ліній, що накладаються один на одного.</x:v>
      </x:c>
      <x:c r="E1080" s="192" t="str">
        <x:v>Oxford C1</x:v>
      </x:c>
      <x:c r="F1080" s="192" t="str">
        <x:v>Core</x:v>
      </x:c>
      <x:c r="G1080" s="192" t="str">
        <x:v>Not Started</x:v>
      </x:c>
      <x:c r="H1080" s="192" t="n">
        <x:v>0</x:v>
      </x:c>
    </x:row>
    <x:row r="1081" ht="56" customHeight="1">
      <x:c r="A1081" s="192" t="str">
        <x:v>skip</x:v>
      </x:c>
      <x:c r="B1081" s="192" t="str">
        <x:v>v.</x:v>
      </x:c>
      <x:c r="C1081" s="194" t="str">
        <x:v>пропустити</x:v>
      </x:c>
      <x:c r="D1081" s="195" t="str">
        <x:v>Пересуватися, стрибаючи на ногах.</x:v>
      </x:c>
      <x:c r="E1081" s="192" t="str">
        <x:v>Oxford C1</x:v>
      </x:c>
      <x:c r="F1081" s="192" t="str">
        <x:v>Core</x:v>
      </x:c>
      <x:c r="G1081" s="192" t="str">
        <x:v>Not Started</x:v>
      </x:c>
      <x:c r="H1081" s="192" t="n">
        <x:v>0</x:v>
      </x:c>
    </x:row>
    <x:row r="1082" ht="56" customHeight="1">
      <x:c r="A1082" s="192" t="str">
        <x:v>slam</x:v>
      </x:c>
      <x:c r="B1082" s="192" t="str">
        <x:v>v.</x:v>
      </x:c>
      <x:c r="C1082" s="194" t="str">
        <x:v>грюкнути</x:v>
      </x:c>
      <x:c r="D1082" s="195" t="str">
        <x:v>Закрити з раптовою силою, щоб створити удар і шум.</x:v>
      </x:c>
      <x:c r="E1082" s="192" t="str">
        <x:v>Oxford C1</x:v>
      </x:c>
      <x:c r="F1082" s="192" t="str">
        <x:v>Core</x:v>
      </x:c>
      <x:c r="G1082" s="192" t="str">
        <x:v>Not Started</x:v>
      </x:c>
      <x:c r="H1082" s="192" t="n">
        <x:v>0</x:v>
      </x:c>
    </x:row>
    <x:row r="1083" ht="56" customHeight="1">
      <x:c r="A1083" s="192" t="str">
        <x:v>slap</x:v>
      </x:c>
      <x:c r="B1083" s="192" t="str">
        <x:v>v.</x:v>
      </x:c>
      <x:c r="C1083" s="194" t="str">
        <x:v>ляпас</x:v>
      </x:c>
      <x:c r="D1083" s="195" t="str">
        <x:v>Вдарити когось, як правило, відкритою долонею, часто по обличчю.</x:v>
      </x:c>
      <x:c r="E1083" s="192" t="str">
        <x:v>Oxford C1</x:v>
      </x:c>
      <x:c r="F1083" s="192" t="str">
        <x:v>Core</x:v>
      </x:c>
      <x:c r="G1083" s="192" t="str">
        <x:v>Not Started</x:v>
      </x:c>
      <x:c r="H1083" s="192" t="n">
        <x:v>0</x:v>
      </x:c>
    </x:row>
    <x:row r="1084" ht="56" customHeight="1">
      <x:c r="A1084" s="192" t="str">
        <x:v>slash</x:v>
      </x:c>
      <x:c r="B1084" s="192" t="str">
        <x:v>v.</x:v>
      </x:c>
      <x:c r="C1084" s="194" t="str">
        <x:v>слеш</x:v>
      </x:c>
      <x:c r="D1084" s="195" t="str">
        <x:v>Порізати або спробувати порізати, зокрема:</x:v>
      </x:c>
      <x:c r="E1084" s="192" t="str">
        <x:v>Oxford C1</x:v>
      </x:c>
      <x:c r="F1084" s="192" t="str">
        <x:v>Core</x:v>
      </x:c>
      <x:c r="G1084" s="192" t="str">
        <x:v>Not Started</x:v>
      </x:c>
      <x:c r="H1084" s="192" t="n">
        <x:v>0</x:v>
      </x:c>
    </x:row>
    <x:row r="1085" ht="56" customHeight="1">
      <x:c r="A1085" s="192" t="str">
        <x:v>slavery</x:v>
      </x:c>
      <x:c r="B1085" s="192" t="str">
        <x:v>n.</x:v>
      </x:c>
      <x:c r="C1085" s="194" t="str">
        <x:v>рабство</x:v>
      </x:c>
      <x:c r="D1085" s="195" t="str">
        <x:v>Інститут або соціальна практика володіння людьми як власністю, особливо для використання в якості примусової праці.</x:v>
      </x:c>
      <x:c r="E1085" s="192" t="str">
        <x:v>Oxford C1</x:v>
      </x:c>
      <x:c r="F1085" s="192" t="str">
        <x:v>Core</x:v>
      </x:c>
      <x:c r="G1085" s="192" t="str">
        <x:v>Not Started</x:v>
      </x:c>
      <x:c r="H1085" s="192" t="n">
        <x:v>0</x:v>
      </x:c>
    </x:row>
    <x:row r="1086" ht="56" customHeight="1">
      <x:c r="A1086" s="192" t="str">
        <x:v>slot</x:v>
      </x:c>
      <x:c r="B1086" s="192" t="str">
        <x:v>n.</x:v>
      </x:c>
      <x:c r="C1086" s="194" t="str">
        <x:v>слот</x:v>
      </x:c>
      <x:c r="D1086" s="195" t="str">
        <x:v>Вузька западина, перфорація або отвір; особливо, один для прийому шматка, що підходить або ковзає в нього.</x:v>
      </x:c>
      <x:c r="E1086" s="192" t="str">
        <x:v>Oxford C1</x:v>
      </x:c>
      <x:c r="F1086" s="192" t="str">
        <x:v>Core</x:v>
      </x:c>
      <x:c r="G1086" s="192" t="str">
        <x:v>Not Started</x:v>
      </x:c>
      <x:c r="H1086" s="192" t="n">
        <x:v>0</x:v>
      </x:c>
    </x:row>
    <x:row r="1087" ht="56" customHeight="1">
      <x:c r="A1087" s="192" t="str">
        <x:v>smash</x:v>
      </x:c>
      <x:c r="B1087" s="192" t="str">
        <x:v>v.</x:v>
      </x:c>
      <x:c r="C1087" s="194" t="str">
        <x:v>розбити</x:v>
      </x:c>
      <x:c r="D1087" s="195" t="str">
        <x:v>Сильно ламати (щось крихке).</x:v>
      </x:c>
      <x:c r="E1087" s="192" t="str">
        <x:v>Oxford C1</x:v>
      </x:c>
      <x:c r="F1087" s="192" t="str">
        <x:v>Core</x:v>
      </x:c>
      <x:c r="G1087" s="192" t="str">
        <x:v>Not Started</x:v>
      </x:c>
      <x:c r="H1087" s="192" t="n">
        <x:v>0</x:v>
      </x:c>
    </x:row>
    <x:row r="1088" ht="56" customHeight="1">
      <x:c r="A1088" s="192" t="str">
        <x:v>snap</x:v>
      </x:c>
      <x:c r="B1088" s="192" t="str">
        <x:v>v.</x:v>
      </x:c>
      <x:c r="C1088" s="194" t="str">
        <x:v>хапати</x:v>
      </x:c>
      <x:c r="D1088" s="195" t="str">
        <x:v>Раптово зламатися або розвалитися.</x:v>
      </x:c>
      <x:c r="E1088" s="192" t="str">
        <x:v>Oxford C1</x:v>
      </x:c>
      <x:c r="F1088" s="192" t="str">
        <x:v>Core</x:v>
      </x:c>
      <x:c r="G1088" s="192" t="str">
        <x:v>Not Started</x:v>
      </x:c>
      <x:c r="H1088" s="192" t="n">
        <x:v>0</x:v>
      </x:c>
    </x:row>
    <x:row r="1089" ht="56" customHeight="1">
      <x:c r="A1089" s="192" t="str">
        <x:v>soak</x:v>
      </x:c>
      <x:c r="B1089" s="192" t="str">
        <x:v>v.</x:v>
      </x:c>
      <x:c r="C1089" s="194" t="str">
        <x:v>замочити</x:v>
      </x:c>
      <x:c r="D1089" s="195" t="str">
        <x:v>Насичуватися рідиною шляхом занурення в неї.</x:v>
      </x:c>
      <x:c r="E1089" s="192" t="str">
        <x:v>Oxford C1</x:v>
      </x:c>
      <x:c r="F1089" s="192" t="str">
        <x:v>Core</x:v>
      </x:c>
      <x:c r="G1089" s="192" t="str">
        <x:v>Not Started</x:v>
      </x:c>
      <x:c r="H1089" s="192" t="n">
        <x:v>0</x:v>
      </x:c>
    </x:row>
    <x:row r="1090" ht="56" customHeight="1">
      <x:c r="A1090" s="192" t="str">
        <x:v>soar</x:v>
      </x:c>
      <x:c r="B1090" s="192" t="str">
        <x:v>v.</x:v>
      </x:c>
      <x:c r="C1090" s="194" t="str">
        <x:v>парити</x:v>
      </x:c>
      <x:c r="D1090" s="195" t="str">
        <x:v>Літати високо без зусиль, як птах.</x:v>
      </x:c>
      <x:c r="E1090" s="192" t="str">
        <x:v>Oxford C1</x:v>
      </x:c>
      <x:c r="F1090" s="192" t="str">
        <x:v>Core</x:v>
      </x:c>
      <x:c r="G1090" s="192" t="str">
        <x:v>Not Started</x:v>
      </x:c>
      <x:c r="H1090" s="192" t="n">
        <x:v>0</x:v>
      </x:c>
    </x:row>
    <x:row r="1091" ht="56" customHeight="1">
      <x:c r="A1091" s="192" t="str">
        <x:v>socialist</x:v>
      </x:c>
      <x:c r="B1091" s="192" t="str">
        <x:v>adj.</x:v>
      </x:c>
      <x:c r="C1091" s="194" t="str">
        <x:v>соціалістичний</x:v>
      </x:c>
      <x:c r="D1091" s="195" t="str">
        <x:v>Відносно, підтримка чи пропаганда соціалізму.</x:v>
      </x:c>
      <x:c r="E1091" s="192" t="str">
        <x:v>Oxford C1</x:v>
      </x:c>
      <x:c r="F1091" s="192" t="str">
        <x:v>Core</x:v>
      </x:c>
      <x:c r="G1091" s="192" t="str">
        <x:v>Not Started</x:v>
      </x:c>
      <x:c r="H1091" s="192" t="n">
        <x:v>0</x:v>
      </x:c>
    </x:row>
    <x:row r="1092" ht="56" customHeight="1">
      <x:c r="A1092" s="192" t="str">
        <x:v>sole</x:v>
      </x:c>
      <x:c r="B1092" s="192" t="str">
        <x:v>adj.</x:v>
      </x:c>
      <x:c r="C1092" s="194" t="str">
        <x:v>підошва</x:v>
      </x:c>
      <x:c r="D1092" s="195" t="str">
        <x:v>Тільки.</x:v>
      </x:c>
      <x:c r="E1092" s="192" t="str">
        <x:v>Oxford C1</x:v>
      </x:c>
      <x:c r="F1092" s="192" t="str">
        <x:v>Core</x:v>
      </x:c>
      <x:c r="G1092" s="192" t="str">
        <x:v>Not Started</x:v>
      </x:c>
      <x:c r="H1092" s="192" t="n">
        <x:v>0</x:v>
      </x:c>
    </x:row>
    <x:row r="1093" ht="56" customHeight="1">
      <x:c r="A1093" s="192" t="str">
        <x:v>solely</x:v>
      </x:c>
      <x:c r="B1093" s="192" t="str">
        <x:v>adv.</x:v>
      </x:c>
      <x:c r="C1093" s="194" t="str">
        <x:v>виключно</x:v>
      </x:c>
      <x:c r="D1093" s="195" t="str">
        <x:v>поодинці; виключно.</x:v>
      </x:c>
      <x:c r="E1093" s="192" t="str">
        <x:v>Oxford C1 + AWL 7</x:v>
      </x:c>
      <x:c r="F1093" s="192" t="str">
        <x:v>High</x:v>
      </x:c>
      <x:c r="G1093" s="192" t="str">
        <x:v>Not Started</x:v>
      </x:c>
      <x:c r="H1093" s="192" t="n">
        <x:v>0</x:v>
      </x:c>
    </x:row>
    <x:row r="1094" ht="56" customHeight="1">
      <x:c r="A1094" s="192" t="str">
        <x:v>solicitor</x:v>
      </x:c>
      <x:c r="B1094" s="192" t="str">
        <x:v>n.</x:v>
      </x:c>
      <x:c r="C1094" s="194" t="str">
        <x:v>адвокат</x:v>
      </x:c>
      <x:c r="D1094" s="195" t="str">
        <x:v>У багатьох юрисдикціях загального права тип юриста, традиційна роль якого полягає в пропонуванні юридичних послуг клієнтам, окрім виступу їхнього адвоката в суді.</x:v>
      </x:c>
      <x:c r="E1094" s="192" t="str">
        <x:v>Oxford C1</x:v>
      </x:c>
      <x:c r="F1094" s="192" t="str">
        <x:v>Core</x:v>
      </x:c>
      <x:c r="G1094" s="192" t="str">
        <x:v>Not Started</x:v>
      </x:c>
      <x:c r="H1094" s="192" t="n">
        <x:v>0</x:v>
      </x:c>
    </x:row>
    <x:row r="1095" ht="56" customHeight="1">
      <x:c r="A1095" s="192" t="str">
        <x:v>solidarity</x:v>
      </x:c>
      <x:c r="B1095" s="192" t="str">
        <x:v>n.</x:v>
      </x:c>
      <x:c r="C1095" s="194" t="str">
        <x:v>солідарність</x:v>
      </x:c>
      <x:c r="D1095" s="195" t="str">
        <x:v>Узи єдності чи згоди між індивідами, об’єднаними навколо спільної мети або проти спільного ворога, як-от принцип об’єднання, який визначає робітничий рух; взаємопідтримка всередині групи.</x:v>
      </x:c>
      <x:c r="E1095" s="192" t="str">
        <x:v>Oxford C1</x:v>
      </x:c>
      <x:c r="F1095" s="192" t="str">
        <x:v>Core</x:v>
      </x:c>
      <x:c r="G1095" s="192" t="str">
        <x:v>Not Started</x:v>
      </x:c>
      <x:c r="H1095" s="192" t="n">
        <x:v>0</x:v>
      </x:c>
    </x:row>
    <x:row r="1096" ht="56" customHeight="1">
      <x:c r="A1096" s="192" t="str">
        <x:v>solo</x:v>
      </x:c>
      <x:c r="B1096" s="192" t="str">
        <x:v>adj., n.</x:v>
      </x:c>
      <x:c r="C1096" s="194" t="str">
        <x:v>соло</x:v>
      </x:c>
      <x:c r="D1096" s="195" t="str">
        <x:v>Робота або виконання, виконане однією особою.</x:v>
      </x:c>
      <x:c r="E1096" s="192" t="str">
        <x:v>Oxford C1</x:v>
      </x:c>
      <x:c r="F1096" s="192" t="str">
        <x:v>Core</x:v>
      </x:c>
      <x:c r="G1096" s="192" t="str">
        <x:v>Not Started</x:v>
      </x:c>
      <x:c r="H1096" s="192" t="n">
        <x:v>0</x:v>
      </x:c>
    </x:row>
    <x:row r="1097" ht="56" customHeight="1">
      <x:c r="A1097" s="192" t="str">
        <x:v>sound</x:v>
      </x:c>
      <x:c r="B1097" s="192" t="str">
        <x:v>adj.</x:v>
      </x:c>
      <x:c r="C1097" s="194" t="str">
        <x:v>звук</x:v>
      </x:c>
      <x:c r="D1097" s="195" t="str">
        <x:v>Тихо і глибоко.</x:v>
      </x:c>
      <x:c r="E1097" s="192" t="str">
        <x:v>Oxford C1</x:v>
      </x:c>
      <x:c r="F1097" s="192" t="str">
        <x:v>Core</x:v>
      </x:c>
      <x:c r="G1097" s="192" t="str">
        <x:v>Not Started</x:v>
      </x:c>
      <x:c r="H1097" s="192" t="n">
        <x:v>0</x:v>
      </x:c>
    </x:row>
    <x:row r="1098" ht="56" customHeight="1">
      <x:c r="A1098" s="192" t="str">
        <x:v>sovereignty</x:v>
      </x:c>
      <x:c r="B1098" s="192" t="str">
        <x:v>n.</x:v>
      </x:c>
      <x:c r="C1098" s="194" t="str">
        <x:v>суверенітет</x:v>
      </x:c>
      <x:c r="D1098" s="195" t="str">
        <x:v>Нації чи іншого державного устрою: стан здатний контролювати ресурси, самостійно приймати закони та іншим чином керувати собою без примусу чи згоди інших держав.</x:v>
      </x:c>
      <x:c r="E1098" s="192" t="str">
        <x:v>Oxford C1</x:v>
      </x:c>
      <x:c r="F1098" s="192" t="str">
        <x:v>Core</x:v>
      </x:c>
      <x:c r="G1098" s="192" t="str">
        <x:v>Not Started</x:v>
      </x:c>
      <x:c r="H1098" s="192" t="n">
        <x:v>0</x:v>
      </x:c>
    </x:row>
    <x:row r="1099" ht="56" customHeight="1">
      <x:c r="A1099" s="192" t="str">
        <x:v>spam</x:v>
      </x:c>
      <x:c r="B1099" s="192" t="str">
        <x:v>n.</x:v>
      </x:c>
      <x:c r="C1099" s="194" t="str">
        <x:v>спам</x:v>
      </x:c>
      <x:c r="D1099" s="195" t="str">
        <x:v>Небажані масові електронні повідомлення.</x:v>
      </x:c>
      <x:c r="E1099" s="192" t="str">
        <x:v>Oxford C1</x:v>
      </x:c>
      <x:c r="F1099" s="192" t="str">
        <x:v>Core</x:v>
      </x:c>
      <x:c r="G1099" s="192" t="str">
        <x:v>Not Started</x:v>
      </x:c>
      <x:c r="H1099" s="192" t="n">
        <x:v>0</x:v>
      </x:c>
    </x:row>
    <x:row r="1100" ht="56" customHeight="1">
      <x:c r="A1100" s="192" t="str">
        <x:v>span</x:v>
      </x:c>
      <x:c r="B1100" s="192" t="str">
        <x:v>v., n.</x:v>
      </x:c>
      <x:c r="C1100" s="194" t="str">
        <x:v>охоплювати; тривати</x:v>
      </x:c>
      <x:c r="D1100" s="195" t="str">
        <x:v>Протягнути через відстань між або впоперек.</x:v>
      </x:c>
      <x:c r="E1100" s="192" t="str">
        <x:v>Oxford C1</x:v>
      </x:c>
      <x:c r="F1100" s="192" t="str">
        <x:v>Core</x:v>
      </x:c>
      <x:c r="G1100" s="192" t="str">
        <x:v>Not Started</x:v>
      </x:c>
      <x:c r="H1100" s="192" t="n">
        <x:v>0</x:v>
      </x:c>
    </x:row>
    <x:row r="1101" ht="56" customHeight="1">
      <x:c r="A1101" s="192" t="str">
        <x:v>spare</x:v>
      </x:c>
      <x:c r="B1101" s="192" t="str">
        <x:v>v.</x:v>
      </x:c>
      <x:c r="C1101" s="194" t="str">
        <x:v>запасний</x:v>
      </x:c>
      <x:c r="D1101" s="195" t="str">
        <x:v>Виявляти милосердя, милувати.</x:v>
      </x:c>
      <x:c r="E1101" s="192" t="str">
        <x:v>Oxford C1</x:v>
      </x:c>
      <x:c r="F1101" s="192" t="str">
        <x:v>Core</x:v>
      </x:c>
      <x:c r="G1101" s="192" t="str">
        <x:v>Not Started</x:v>
      </x:c>
      <x:c r="H1101" s="192" t="n">
        <x:v>0</x:v>
      </x:c>
    </x:row>
    <x:row r="1102" ht="56" customHeight="1">
      <x:c r="A1102" s="192" t="str">
        <x:v>spark</x:v>
      </x:c>
      <x:c r="B1102" s="192" t="str">
        <x:v>v.</x:v>
      </x:c>
      <x:c r="C1102" s="194" t="str">
        <x:v>іскра</x:v>
      </x:c>
      <x:c r="D1102" s="195" t="str">
        <x:v>Випускати іскру чи іскри.</x:v>
      </x:c>
      <x:c r="E1102" s="192" t="str">
        <x:v>Oxford C1</x:v>
      </x:c>
      <x:c r="F1102" s="192" t="str">
        <x:v>Core</x:v>
      </x:c>
      <x:c r="G1102" s="192" t="str">
        <x:v>Not Started</x:v>
      </x:c>
      <x:c r="H1102" s="192" t="n">
        <x:v>0</x:v>
      </x:c>
    </x:row>
    <x:row r="1103" ht="56" customHeight="1">
      <x:c r="A1103" s="192" t="str">
        <x:v>specialized</x:v>
      </x:c>
      <x:c r="B1103" s="192" t="str">
        <x:v>adj.</x:v>
      </x:c>
      <x:c r="C1103" s="194" t="str">
        <x:v>спеціалізований</x:v>
      </x:c>
      <x:c r="D1103" s="195" t="str">
        <x:v>Має високу кваліфікацію в конкретній галузі або спеціально адаптована до неї.</x:v>
      </x:c>
      <x:c r="E1103" s="192" t="str">
        <x:v>Oxford C1</x:v>
      </x:c>
      <x:c r="F1103" s="192" t="str">
        <x:v>Core</x:v>
      </x:c>
      <x:c r="G1103" s="192" t="str">
        <x:v>Not Started</x:v>
      </x:c>
      <x:c r="H1103" s="192" t="n">
        <x:v>0</x:v>
      </x:c>
    </x:row>
    <x:row r="1104" ht="56" customHeight="1">
      <x:c r="A1104" s="192" t="str">
        <x:v>specification</x:v>
      </x:c>
      <x:c r="B1104" s="192" t="str">
        <x:v>n.</x:v>
      </x:c>
      <x:c r="C1104" s="194" t="str">
        <x:v>специфікація</x:v>
      </x:c>
      <x:c r="D1104" s="195" t="str">
        <x:v>Чіткий набір вимог, яким має задовольняти матеріал, продукт або послуга.</x:v>
      </x:c>
      <x:c r="E1104" s="192" t="str">
        <x:v>Oxford C1</x:v>
      </x:c>
      <x:c r="F1104" s="192" t="str">
        <x:v>Core</x:v>
      </x:c>
      <x:c r="G1104" s="192" t="str">
        <x:v>Not Started</x:v>
      </x:c>
      <x:c r="H1104" s="192" t="n">
        <x:v>0</x:v>
      </x:c>
    </x:row>
    <x:row r="1105" ht="56" customHeight="1">
      <x:c r="A1105" s="192" t="str">
        <x:v>specimen</x:v>
      </x:c>
      <x:c r="B1105" s="192" t="str">
        <x:v>n.</x:v>
      </x:c>
      <x:c r="C1105" s="194" t="str">
        <x:v>зразок</x:v>
      </x:c>
      <x:c r="D1105" s="195" t="str">
        <x:v>Окремий екземпляр, який представляє клас; приклад.</x:v>
      </x:c>
      <x:c r="E1105" s="192" t="str">
        <x:v>Oxford C1</x:v>
      </x:c>
      <x:c r="F1105" s="192" t="str">
        <x:v>Core</x:v>
      </x:c>
      <x:c r="G1105" s="192" t="str">
        <x:v>Not Started</x:v>
      </x:c>
      <x:c r="H1105" s="192" t="n">
        <x:v>0</x:v>
      </x:c>
    </x:row>
    <x:row r="1106" ht="56" customHeight="1">
      <x:c r="A1106" s="192" t="str">
        <x:v>spectacle</x:v>
      </x:c>
      <x:c r="B1106" s="192" t="str">
        <x:v>n.</x:v>
      </x:c>
      <x:c r="C1106" s="194" t="str">
        <x:v>видовище</x:v>
      </x:c>
      <x:c r="D1106" s="195" t="str">
        <x:v>Захоплююча або надзвичайна сцена, виставка, вистава тощо.</x:v>
      </x:c>
      <x:c r="E1106" s="192" t="str">
        <x:v>Oxford C1</x:v>
      </x:c>
      <x:c r="F1106" s="192" t="str">
        <x:v>Core</x:v>
      </x:c>
      <x:c r="G1106" s="192" t="str">
        <x:v>Not Started</x:v>
      </x:c>
      <x:c r="H1106" s="192" t="n">
        <x:v>0</x:v>
      </x:c>
    </x:row>
    <x:row r="1107" ht="56" customHeight="1">
      <x:c r="A1107" s="192" t="str">
        <x:v>spectrum</x:v>
      </x:c>
      <x:c r="B1107" s="192" t="str">
        <x:v>n.</x:v>
      </x:c>
      <x:c r="C1107" s="194" t="str">
        <x:v>спектр</x:v>
      </x:c>
      <x:c r="D1107" s="195" t="str">
        <x:v>Зокрема, діапазон кольорів, що представляє світло (електромагнітне випромінювання) суміжних частот; отже, електромагнітний спектр, видимий спектр, ультрафіолетовий спектр тощо.</x:v>
      </x:c>
      <x:c r="E1107" s="192" t="str">
        <x:v>Oxford C1</x:v>
      </x:c>
      <x:c r="F1107" s="192" t="str">
        <x:v>Core</x:v>
      </x:c>
      <x:c r="G1107" s="192" t="str">
        <x:v>Not Started</x:v>
      </x:c>
      <x:c r="H1107" s="192" t="n">
        <x:v>0</x:v>
      </x:c>
    </x:row>
    <x:row r="1108" ht="56" customHeight="1">
      <x:c r="A1108" s="192" t="str">
        <x:v>spell</x:v>
      </x:c>
      <x:c r="B1108" s="192" t="str">
        <x:v>n.</x:v>
      </x:c>
      <x:c r="C1108" s="194" t="str">
        <x:v>заклинання</x:v>
      </x:c>
      <x:c r="D1108" s="195" t="str">
        <x:v>Слова чи формули мають магічну силу.</x:v>
      </x:c>
      <x:c r="E1108" s="192" t="str">
        <x:v>Oxford C1</x:v>
      </x:c>
      <x:c r="F1108" s="192" t="str">
        <x:v>Core</x:v>
      </x:c>
      <x:c r="G1108" s="192" t="str">
        <x:v>Not Started</x:v>
      </x:c>
      <x:c r="H1108" s="192" t="n">
        <x:v>0</x:v>
      </x:c>
    </x:row>
    <x:row r="1109" ht="56" customHeight="1">
      <x:c r="A1109" s="192" t="str">
        <x:v>sphere</x:v>
      </x:c>
      <x:c r="B1109" s="192" t="str">
        <x:v>n.</x:v>
      </x:c>
      <x:c r="C1109" s="194" t="str">
        <x:v>сфера</x:v>
      </x:c>
      <x:c r="D1109" s="195" t="str">
        <x:v>Тривимірна поверхня, що складається з усіх точок, рівновіддалених від центру. .</x:v>
      </x:c>
      <x:c r="E1109" s="192" t="str">
        <x:v>Oxford C1 + AWL 9</x:v>
      </x:c>
      <x:c r="F1109" s="192" t="str">
        <x:v>High</x:v>
      </x:c>
      <x:c r="G1109" s="192" t="str">
        <x:v>Not Started</x:v>
      </x:c>
      <x:c r="H1109" s="192" t="n">
        <x:v>0</x:v>
      </x:c>
    </x:row>
    <x:row r="1110" ht="56" customHeight="1">
      <x:c r="A1110" s="192" t="str">
        <x:v>spin</x:v>
      </x:c>
      <x:c r="B1110" s="192" t="str">
        <x:v>v., n.</x:v>
      </x:c>
      <x:c r="C1110" s="194" t="str">
        <x:v>спін</x:v>
      </x:c>
      <x:c r="D1110" s="195" t="str">
        <x:v>Обертатися, обертатися, обертатися (зазвичай швидко); частково або повністю повернути в інший бік.</x:v>
      </x:c>
      <x:c r="E1110" s="192" t="str">
        <x:v>Oxford C1</x:v>
      </x:c>
      <x:c r="F1110" s="192" t="str">
        <x:v>Core</x:v>
      </x:c>
      <x:c r="G1110" s="192" t="str">
        <x:v>Not Started</x:v>
      </x:c>
      <x:c r="H1110" s="192" t="n">
        <x:v>0</x:v>
      </x:c>
    </x:row>
    <x:row r="1111" ht="56" customHeight="1">
      <x:c r="A1111" s="192" t="str">
        <x:v>spine</x:v>
      </x:c>
      <x:c r="B1111" s="192" t="str">
        <x:v>n.</x:v>
      </x:c>
      <x:c r="C1111" s="194" t="str">
        <x:v>хребет</x:v>
      </x:c>
      <x:c r="D1111" s="195" t="str">
        <x:v>Низка кісток, розташованих ззаду від голови до тазу людини або від голови до хвоста тварини, охоплюють спинний мозок і забезпечують підтримку грудної клітки та живота.</x:v>
      </x:c>
      <x:c r="E1111" s="192" t="str">
        <x:v>Oxford C1</x:v>
      </x:c>
      <x:c r="F1111" s="192" t="str">
        <x:v>Core</x:v>
      </x:c>
      <x:c r="G1111" s="192" t="str">
        <x:v>Not Started</x:v>
      </x:c>
      <x:c r="H1111" s="192" t="n">
        <x:v>0</x:v>
      </x:c>
    </x:row>
    <x:row r="1112" ht="56" customHeight="1">
      <x:c r="A1112" s="192" t="str">
        <x:v>spotlight</x:v>
      </x:c>
      <x:c r="B1112" s="192" t="str">
        <x:v>n.</x:v>
      </x:c>
      <x:c r="C1112" s="194" t="str">
        <x:v>центр уваги; прожектор</x:v>
      </x:c>
      <x:c r="D1112" s="195" t="str">
        <x:v>Центр уваги; головна або найважливіша частина.</x:v>
      </x:c>
      <x:c r="E1112" s="192" t="str">
        <x:v>Oxford C1</x:v>
      </x:c>
      <x:c r="F1112" s="192" t="str">
        <x:v>Core</x:v>
      </x:c>
      <x:c r="G1112" s="192" t="str">
        <x:v>Not Started</x:v>
      </x:c>
      <x:c r="H1112" s="192" t="n">
        <x:v>0</x:v>
      </x:c>
    </x:row>
    <x:row r="1113" ht="56" customHeight="1">
      <x:c r="A1113" s="192" t="str">
        <x:v>spouse</x:v>
      </x:c>
      <x:c r="B1113" s="192" t="str">
        <x:v>n.</x:v>
      </x:c>
      <x:c r="C1113" s="194" t="str">
        <x:v>дружина</x:v>
      </x:c>
      <x:c r="D1113" s="195" t="str">
        <x:v>Особа, яка перебуває у шлюбі чи шлюбних стосунках.</x:v>
      </x:c>
      <x:c r="E1113" s="192" t="str">
        <x:v>Oxford C1</x:v>
      </x:c>
      <x:c r="F1113" s="192" t="str">
        <x:v>Core</x:v>
      </x:c>
      <x:c r="G1113" s="192" t="str">
        <x:v>Not Started</x:v>
      </x:c>
      <x:c r="H1113" s="192" t="n">
        <x:v>0</x:v>
      </x:c>
    </x:row>
    <x:row r="1114" ht="56" customHeight="1">
      <x:c r="A1114" s="192" t="str">
        <x:v>spy</x:v>
      </x:c>
      <x:c r="B1114" s="192" t="str">
        <x:v>n., v.</x:v>
      </x:c>
      <x:c r="C1114" s="194" t="str">
        <x:v>шпигун</x:v>
      </x:c>
      <x:c r="D1114" s="195" t="str">
        <x:v>Діяти як шпигун.</x:v>
      </x:c>
      <x:c r="E1114" s="192" t="str">
        <x:v>Oxford C1</x:v>
      </x:c>
      <x:c r="F1114" s="192" t="str">
        <x:v>Core</x:v>
      </x:c>
      <x:c r="G1114" s="192" t="str">
        <x:v>Not Started</x:v>
      </x:c>
      <x:c r="H1114" s="192" t="n">
        <x:v>0</x:v>
      </x:c>
    </x:row>
    <x:row r="1115" ht="56" customHeight="1">
      <x:c r="A1115" s="192" t="str">
        <x:v>squad</x:v>
      </x:c>
      <x:c r="B1115" s="192" t="str">
        <x:v>n.</x:v>
      </x:c>
      <x:c r="C1115" s="194" t="str">
        <x:v>загін</x:v>
      </x:c>
      <x:c r="D1115" s="195" t="str">
        <x:v>Група людей, організована для якоїсь спільної мети, зазвичай із десяти членів.</x:v>
      </x:c>
      <x:c r="E1115" s="192" t="str">
        <x:v>Oxford C1</x:v>
      </x:c>
      <x:c r="F1115" s="192" t="str">
        <x:v>Core</x:v>
      </x:c>
      <x:c r="G1115" s="192" t="str">
        <x:v>Not Started</x:v>
      </x:c>
      <x:c r="H1115" s="192" t="n">
        <x:v>0</x:v>
      </x:c>
    </x:row>
    <x:row r="1116" ht="56" customHeight="1">
      <x:c r="A1116" s="192" t="str">
        <x:v>squeeze</x:v>
      </x:c>
      <x:c r="B1116" s="192" t="str">
        <x:v>v.</x:v>
      </x:c>
      <x:c r="C1116" s="194" t="str">
        <x:v>стискати</x:v>
      </x:c>
      <x:c r="D1116" s="195" t="str">
        <x:v>Чинити тиск одночасно з двох або більше сторін.</x:v>
      </x:c>
      <x:c r="E1116" s="192" t="str">
        <x:v>Oxford C1</x:v>
      </x:c>
      <x:c r="F1116" s="192" t="str">
        <x:v>Core</x:v>
      </x:c>
      <x:c r="G1116" s="192" t="str">
        <x:v>Not Started</x:v>
      </x:c>
      <x:c r="H1116" s="192" t="n">
        <x:v>0</x:v>
      </x:c>
    </x:row>
    <x:row r="1117" ht="56" customHeight="1">
      <x:c r="A1117" s="192" t="str">
        <x:v>stab</x:v>
      </x:c>
      <x:c r="B1117" s="192" t="str">
        <x:v>v.</x:v>
      </x:c>
      <x:c r="C1117" s="194" t="str">
        <x:v>удар</x:v>
      </x:c>
      <x:c r="D1117" s="195" t="str">
        <x:v>Проткнути або поранити (когось) інструментом (зазвичай гострим) або зброєю, особливо ножем або кинджалом.</x:v>
      </x:c>
      <x:c r="E1117" s="192" t="str">
        <x:v>Oxford C1</x:v>
      </x:c>
      <x:c r="F1117" s="192" t="str">
        <x:v>Core</x:v>
      </x:c>
      <x:c r="G1117" s="192" t="str">
        <x:v>Not Started</x:v>
      </x:c>
      <x:c r="H1117" s="192" t="n">
        <x:v>0</x:v>
      </x:c>
    </x:row>
    <x:row r="1118" ht="56" customHeight="1">
      <x:c r="A1118" s="192" t="str">
        <x:v>stability</x:v>
      </x:c>
      <x:c r="B1118" s="192" t="str">
        <x:v>n.</x:v>
      </x:c>
      <x:c r="C1118" s="194" t="str">
        <x:v>стабільність</x:v>
      </x:c>
      <x:c r="D1118" s="195" t="str">
        <x:v>Умова стабільності або рівноваги, а отже, стійкості до змін.</x:v>
      </x:c>
      <x:c r="E1118" s="192" t="str">
        <x:v>Oxford C1 + AWL 5</x:v>
      </x:c>
      <x:c r="F1118" s="192" t="str">
        <x:v>High</x:v>
      </x:c>
      <x:c r="G1118" s="192" t="str">
        <x:v>Not Started</x:v>
      </x:c>
      <x:c r="H1118" s="192" t="n">
        <x:v>0</x:v>
      </x:c>
    </x:row>
    <x:row r="1119" ht="56" customHeight="1">
      <x:c r="A1119" s="192" t="str">
        <x:v>stabilize</x:v>
      </x:c>
      <x:c r="B1119" s="192" t="str">
        <x:v>v.</x:v>
      </x:c>
      <x:c r="C1119" s="194" t="str">
        <x:v>стабілізувати</x:v>
      </x:c>
      <x:c r="D1119" s="195" t="str">
        <x:v>Зробити стабільним.</x:v>
      </x:c>
      <x:c r="E1119" s="192" t="str">
        <x:v>Oxford C1</x:v>
      </x:c>
      <x:c r="F1119" s="192" t="str">
        <x:v>Core</x:v>
      </x:c>
      <x:c r="G1119" s="192" t="str">
        <x:v>Not Started</x:v>
      </x:c>
      <x:c r="H1119" s="192" t="n">
        <x:v>0</x:v>
      </x:c>
    </x:row>
    <x:row r="1120" ht="56" customHeight="1">
      <x:c r="A1120" s="192" t="str">
        <x:v>stake</x:v>
      </x:c>
      <x:c r="B1120" s="192" t="str">
        <x:v>n.</x:v>
      </x:c>
      <x:c r="C1120" s="194" t="str">
        <x:v>кол</x:v>
      </x:c>
      <x:c r="D1120" s="195" t="str">
        <x:v>Частка або інтерес у бізнесі чи певній ситуації.</x:v>
      </x:c>
      <x:c r="E1120" s="192" t="str">
        <x:v>Oxford C1</x:v>
      </x:c>
      <x:c r="F1120" s="192" t="str">
        <x:v>Core</x:v>
      </x:c>
      <x:c r="G1120" s="192" t="str">
        <x:v>Not Started</x:v>
      </x:c>
      <x:c r="H1120" s="192" t="n">
        <x:v>0</x:v>
      </x:c>
    </x:row>
    <x:row r="1121" ht="56" customHeight="1">
      <x:c r="A1121" s="192" t="str">
        <x:v>standing</x:v>
      </x:c>
      <x:c r="B1121" s="192" t="str">
        <x:v>adj.</x:v>
      </x:c>
      <x:c r="C1121" s="194" t="str">
        <x:v>стоячи</x:v>
      </x:c>
      <x:c r="D1121" s="195" t="str">
        <x:v>Зведені, а не вирубані.</x:v>
      </x:c>
      <x:c r="E1121" s="192" t="str">
        <x:v>Oxford C1</x:v>
      </x:c>
      <x:c r="F1121" s="192" t="str">
        <x:v>Core</x:v>
      </x:c>
      <x:c r="G1121" s="192" t="str">
        <x:v>Not Started</x:v>
      </x:c>
      <x:c r="H1121" s="192" t="n">
        <x:v>0</x:v>
      </x:c>
    </x:row>
    <x:row r="1122" ht="56" customHeight="1">
      <x:c r="A1122" s="192" t="str">
        <x:v>stark</x:v>
      </x:c>
      <x:c r="B1122" s="192" t="str">
        <x:v>adj.</x:v>
      </x:c>
      <x:c r="C1122" s="194" t="str">
        <x:v>разючий; суворий</x:v>
      </x:c>
      <x:c r="D1122" s="195" t="str">
        <x:v>Простий на вигляд; безплідний, безлюдний.</x:v>
      </x:c>
      <x:c r="E1122" s="192" t="str">
        <x:v>Oxford C1</x:v>
      </x:c>
      <x:c r="F1122" s="192" t="str">
        <x:v>Core</x:v>
      </x:c>
      <x:c r="G1122" s="192" t="str">
        <x:v>Not Started</x:v>
      </x:c>
      <x:c r="H1122" s="192" t="n">
        <x:v>0</x:v>
      </x:c>
    </x:row>
    <x:row r="1123" ht="56" customHeight="1">
      <x:c r="A1123" s="192" t="str">
        <x:v>statistical</x:v>
      </x:c>
      <x:c r="B1123" s="192" t="str">
        <x:v>adj.</x:v>
      </x:c>
      <x:c r="C1123" s="194" t="str">
        <x:v>статистичний</x:v>
      </x:c>
      <x:c r="D1123" s="195" t="str">
        <x:v>Статистики або пов’язані зі статистикою.</x:v>
      </x:c>
      <x:c r="E1123" s="192" t="str">
        <x:v>Oxford C1</x:v>
      </x:c>
      <x:c r="F1123" s="192" t="str">
        <x:v>Core</x:v>
      </x:c>
      <x:c r="G1123" s="192" t="str">
        <x:v>Not Started</x:v>
      </x:c>
      <x:c r="H1123" s="192" t="n">
        <x:v>0</x:v>
      </x:c>
    </x:row>
    <x:row r="1124" ht="56" customHeight="1">
      <x:c r="A1124" s="192" t="str">
        <x:v>steer</x:v>
      </x:c>
      <x:c r="B1124" s="192" t="str">
        <x:v>v.</x:v>
      </x:c>
      <x:c r="C1124" s="194" t="str">
        <x:v>керувати</x:v>
      </x:c>
      <x:c r="D1124" s="195" t="str">
        <x:v>Керувати курсом судна, транспортного засобу, літального апарату тощо (за допомогою такого пристрою, як стерно, весло або штурвал).</x:v>
      </x:c>
      <x:c r="E1124" s="192" t="str">
        <x:v>Oxford C1</x:v>
      </x:c>
      <x:c r="F1124" s="192" t="str">
        <x:v>Core</x:v>
      </x:c>
      <x:c r="G1124" s="192" t="str">
        <x:v>Not Started</x:v>
      </x:c>
      <x:c r="H1124" s="192" t="n">
        <x:v>0</x:v>
      </x:c>
    </x:row>
    <x:row r="1125" ht="56" customHeight="1">
      <x:c r="A1125" s="192" t="str">
        <x:v>stem</x:v>
      </x:c>
      <x:c r="B1125" s="192" t="str">
        <x:v>n., v.</x:v>
      </x:c>
      <x:c r="C1125" s="194" t="str">
        <x:v>основа</x:v>
      </x:c>
      <x:c r="D1125" s="195" t="str">
        <x:v>Для видалення стебла з.</x:v>
      </x:c>
      <x:c r="E1125" s="192" t="str">
        <x:v>Oxford C1</x:v>
      </x:c>
      <x:c r="F1125" s="192" t="str">
        <x:v>Core</x:v>
      </x:c>
      <x:c r="G1125" s="192" t="str">
        <x:v>Not Started</x:v>
      </x:c>
      <x:c r="H1125" s="192" t="n">
        <x:v>0</x:v>
      </x:c>
    </x:row>
    <x:row r="1126" ht="56" customHeight="1">
      <x:c r="A1126" s="192" t="str">
        <x:v>stereotype</x:v>
      </x:c>
      <x:c r="B1126" s="192" t="str">
        <x:v>n.</x:v>
      </x:c>
      <x:c r="C1126" s="194" t="str">
        <x:v>стереотип</x:v>
      </x:c>
      <x:c r="D1126" s="195" t="str">
        <x:v>Загальноприйняте, шаблонне та часто надто спрощене або перебільшене уявлення, думка чи образ (особи чи групи людей).</x:v>
      </x:c>
      <x:c r="E1126" s="192" t="str">
        <x:v>Oxford C1</x:v>
      </x:c>
      <x:c r="F1126" s="192" t="str">
        <x:v>Core</x:v>
      </x:c>
      <x:c r="G1126" s="192" t="str">
        <x:v>Not Started</x:v>
      </x:c>
      <x:c r="H1126" s="192" t="n">
        <x:v>0</x:v>
      </x:c>
    </x:row>
    <x:row r="1127" ht="56" customHeight="1">
      <x:c r="A1127" s="192" t="str">
        <x:v>stimulus</x:v>
      </x:c>
      <x:c r="B1127" s="192" t="str">
        <x:v>n.</x:v>
      </x:c>
      <x:c r="C1127" s="194" t="str">
        <x:v>стимул</x:v>
      </x:c>
      <x:c r="D1127" s="195" t="str">
        <x:v>Зовнішнє явище, яке впливає на систему, викликаючи або змінюючи внутрішнє явище; наприклад, поштовх або стимул, який спонукає людину вжити заходів або змінити поведінку.</x:v>
      </x:c>
      <x:c r="E1127" s="192" t="str">
        <x:v>Oxford C1</x:v>
      </x:c>
      <x:c r="F1127" s="192" t="str">
        <x:v>Core</x:v>
      </x:c>
      <x:c r="G1127" s="192" t="str">
        <x:v>Not Started</x:v>
      </x:c>
      <x:c r="H1127" s="192" t="n">
        <x:v>0</x:v>
      </x:c>
    </x:row>
    <x:row r="1128" ht="56" customHeight="1">
      <x:c r="A1128" s="192" t="str">
        <x:v>stir</x:v>
      </x:c>
      <x:c r="B1128" s="192" t="str">
        <x:v>v.</x:v>
      </x:c>
      <x:c r="C1128" s="194" t="str">
        <x:v>ворушити</x:v>
      </x:c>
      <x:c r="D1128" s="195" t="str">
        <x:v>Порушувати взаємне розташування частинок (рідини чи подібного), пропускаючи через них предмет.</x:v>
      </x:c>
      <x:c r="E1128" s="192" t="str">
        <x:v>Oxford C1</x:v>
      </x:c>
      <x:c r="F1128" s="192" t="str">
        <x:v>Core</x:v>
      </x:c>
      <x:c r="G1128" s="192" t="str">
        <x:v>Not Started</x:v>
      </x:c>
      <x:c r="H1128" s="192" t="n">
        <x:v>0</x:v>
      </x:c>
    </x:row>
    <x:row r="1129" ht="56" customHeight="1">
      <x:c r="A1129" s="192" t="str">
        <x:v>storage</x:v>
      </x:c>
      <x:c r="B1129" s="192" t="str">
        <x:v>n.</x:v>
      </x:c>
      <x:c r="C1129" s="194" t="str">
        <x:v>зберігання</x:v>
      </x:c>
      <x:c r="D1129" s="195" t="str">
        <x:v>Акт зберігання товару; стан зберігання.</x:v>
      </x:c>
      <x:c r="E1129" s="192" t="str">
        <x:v>Oxford C1</x:v>
      </x:c>
      <x:c r="F1129" s="192" t="str">
        <x:v>Core</x:v>
      </x:c>
      <x:c r="G1129" s="192" t="str">
        <x:v>Not Started</x:v>
      </x:c>
      <x:c r="H1129" s="192" t="n">
        <x:v>0</x:v>
      </x:c>
    </x:row>
    <x:row r="1130" ht="56" customHeight="1">
      <x:c r="A1130" s="192" t="str">
        <x:v>straightforward</x:v>
      </x:c>
      <x:c r="B1130" s="192" t="str">
        <x:v>adj.</x:v>
      </x:c>
      <x:c r="C1130" s="194" t="str">
        <x:v>прямолінійний</x:v>
      </x:c>
      <x:c r="D1130" s="195" t="str">
        <x:v>Легко, просто, нескладно, без труднощів.</x:v>
      </x:c>
      <x:c r="E1130" s="192" t="str">
        <x:v>Oxford C1 + AWL 10</x:v>
      </x:c>
      <x:c r="F1130" s="192" t="str">
        <x:v>High</x:v>
      </x:c>
      <x:c r="G1130" s="192" t="str">
        <x:v>Not Started</x:v>
      </x:c>
      <x:c r="H1130" s="192" t="n">
        <x:v>0</x:v>
      </x:c>
    </x:row>
    <x:row r="1131" ht="56" customHeight="1">
      <x:c r="A1131" s="192" t="str">
        <x:v>strain</x:v>
      </x:c>
      <x:c r="B1131" s="192" t="str">
        <x:v>n.</x:v>
      </x:c>
      <x:c r="C1131" s="194" t="str">
        <x:v>штам</x:v>
      </x:c>
      <x:c r="D1131" s="195" t="str">
        <x:v>Певний різновид мікроба, вірусу чи іншого організму, зазвичай таксономічно внутрішньовидового.</x:v>
      </x:c>
      <x:c r="E1131" s="192" t="str">
        <x:v>Oxford C1</x:v>
      </x:c>
      <x:c r="F1131" s="192" t="str">
        <x:v>Core</x:v>
      </x:c>
      <x:c r="G1131" s="192" t="str">
        <x:v>Not Started</x:v>
      </x:c>
      <x:c r="H1131" s="192" t="n">
        <x:v>0</x:v>
      </x:c>
    </x:row>
    <x:row r="1132" ht="56" customHeight="1">
      <x:c r="A1132" s="192" t="str">
        <x:v>strand</x:v>
      </x:c>
      <x:c r="B1132" s="192" t="str">
        <x:v>n.</x:v>
      </x:c>
      <x:c r="C1132" s="194" t="str">
        <x:v>пасмо; нитка; окремий компонент</x:v>
      </x:c>
      <x:c r="D1132" s="195" t="str">
        <x:v>Кожна з ниток, скручених разом, утворюють пряжу, мотузку або шнур.</x:v>
      </x:c>
      <x:c r="E1132" s="192" t="str">
        <x:v>Oxford C1</x:v>
      </x:c>
      <x:c r="F1132" s="192" t="str">
        <x:v>Core</x:v>
      </x:c>
      <x:c r="G1132" s="192" t="str">
        <x:v>Not Started</x:v>
      </x:c>
      <x:c r="H1132" s="192" t="n">
        <x:v>0</x:v>
      </x:c>
    </x:row>
    <x:row r="1133" ht="56" customHeight="1">
      <x:c r="A1133" s="192" t="str">
        <x:v>strategic</x:v>
      </x:c>
      <x:c r="B1133" s="192" t="str">
        <x:v>adj.</x:v>
      </x:c>
      <x:c r="C1133" s="194" t="str">
        <x:v>стратегічний</x:v>
      </x:c>
      <x:c r="D1133" s="195" t="str">
        <x:v>Відносно стратегії.</x:v>
      </x:c>
      <x:c r="E1133" s="192" t="str">
        <x:v>Oxford C1</x:v>
      </x:c>
      <x:c r="F1133" s="192" t="str">
        <x:v>Core</x:v>
      </x:c>
      <x:c r="G1133" s="192" t="str">
        <x:v>Not Started</x:v>
      </x:c>
      <x:c r="H1133" s="192" t="n">
        <x:v>0</x:v>
      </x:c>
    </x:row>
    <x:row r="1134" ht="56" customHeight="1">
      <x:c r="A1134" s="192" t="str">
        <x:v>striking</x:v>
      </x:c>
      <x:c r="B1134" s="192" t="str">
        <x:v>adj.</x:v>
      </x:c>
      <x:c r="C1134" s="194" t="str">
        <x:v>разючий</x:v>
      </x:c>
      <x:c r="D1134" s="195" t="str">
        <x:v>Справити сильне враження.</x:v>
      </x:c>
      <x:c r="E1134" s="192" t="str">
        <x:v>Oxford C1</x:v>
      </x:c>
      <x:c r="F1134" s="192" t="str">
        <x:v>Core</x:v>
      </x:c>
      <x:c r="G1134" s="192" t="str">
        <x:v>Not Started</x:v>
      </x:c>
      <x:c r="H1134" s="192" t="n">
        <x:v>0</x:v>
      </x:c>
    </x:row>
    <x:row r="1135" ht="56" customHeight="1">
      <x:c r="A1135" s="192" t="str">
        <x:v>strip (long narrow piece)</x:v>
      </x:c>
      <x:c r="B1135" s="192" t="str">
        <x:v>n.</x:v>
      </x:c>
      <x:c r="C1135" s="194" t="str">
        <x:v>смужка (довгий вузький шматок)</x:v>
      </x:c>
      <x:c r="D1135" s="195" t="str">
        <x:v>Довгий і вузький шматок матеріалу, землі або іншої поверхні.</x:v>
      </x:c>
      <x:c r="E1135" s="192" t="str">
        <x:v>Oxford C1</x:v>
      </x:c>
      <x:c r="F1135" s="192" t="str">
        <x:v>Core</x:v>
      </x:c>
      <x:c r="G1135" s="192" t="str">
        <x:v>Not Started</x:v>
      </x:c>
      <x:c r="H1135" s="192" t="n">
        <x:v>0</x:v>
      </x:c>
    </x:row>
    <x:row r="1136" ht="56" customHeight="1">
      <x:c r="A1136" s="192" t="str">
        <x:v>strip (remove clothes/a layer)</x:v>
      </x:c>
      <x:c r="B1136" s="192" t="str">
        <x:v>v.</x:v>
      </x:c>
      <x:c r="C1136" s="194" t="str">
        <x:v>роздягатися (зняти одяг/шар)</x:v>
      </x:c>
      <x:c r="D1136" s="195" t="str">
        <x:v>Знімати одяг, покриття або зовнішній шар із когось чи чогось.</x:v>
      </x:c>
      <x:c r="E1136" s="192" t="str">
        <x:v>Oxford C1</x:v>
      </x:c>
      <x:c r="F1136" s="192" t="str">
        <x:v>Core</x:v>
      </x:c>
      <x:c r="G1136" s="192" t="str">
        <x:v>Not Started</x:v>
      </x:c>
      <x:c r="H1136" s="192" t="n">
        <x:v>0</x:v>
      </x:c>
    </x:row>
    <x:row r="1137" ht="56" customHeight="1">
      <x:c r="A1137" s="192" t="str">
        <x:v>strive</x:v>
      </x:c>
      <x:c r="B1137" s="192" t="str">
        <x:v>v.</x:v>
      </x:c>
      <x:c r="C1137" s="194" t="str">
        <x:v>прагнути</x:v>
      </x:c>
      <x:c r="D1137" s="195" t="str">
        <x:v>Намагатися досягти результату; докладати напружених зусиль; намагатися щиро й наполегливо.</x:v>
      </x:c>
      <x:c r="E1137" s="192" t="str">
        <x:v>Oxford C1</x:v>
      </x:c>
      <x:c r="F1137" s="192" t="str">
        <x:v>Core</x:v>
      </x:c>
      <x:c r="G1137" s="192" t="str">
        <x:v>Not Started</x:v>
      </x:c>
      <x:c r="H1137" s="192" t="n">
        <x:v>0</x:v>
      </x:c>
    </x:row>
    <x:row r="1138" ht="56" customHeight="1">
      <x:c r="A1138" s="192" t="str">
        <x:v>structural</x:v>
      </x:c>
      <x:c r="B1138" s="192" t="str">
        <x:v>adj.</x:v>
      </x:c>
      <x:c r="C1138" s="194" t="str">
        <x:v>структурний</x:v>
      </x:c>
      <x:c r="D1138" s="195" t="str">
        <x:v>З, що стосується або має структуру.</x:v>
      </x:c>
      <x:c r="E1138" s="192" t="str">
        <x:v>Oxford C1</x:v>
      </x:c>
      <x:c r="F1138" s="192" t="str">
        <x:v>Core</x:v>
      </x:c>
      <x:c r="G1138" s="192" t="str">
        <x:v>Not Started</x:v>
      </x:c>
      <x:c r="H1138" s="192" t="n">
        <x:v>0</x:v>
      </x:c>
    </x:row>
    <x:row r="1139" ht="56" customHeight="1">
      <x:c r="A1139" s="192" t="str">
        <x:v>stumble</x:v>
      </x:c>
      <x:c r="B1139" s="192" t="str">
        <x:v>v.</x:v>
      </x:c>
      <x:c r="C1139" s="194" t="str">
        <x:v>спотикатися</x:v>
      </x:c>
      <x:c r="D1139" s="195" t="str">
        <x:v>Спіткнутися або впасти; незграбно ходити.</x:v>
      </x:c>
      <x:c r="E1139" s="192" t="str">
        <x:v>Oxford C1</x:v>
      </x:c>
      <x:c r="F1139" s="192" t="str">
        <x:v>Core</x:v>
      </x:c>
      <x:c r="G1139" s="192" t="str">
        <x:v>Not Started</x:v>
      </x:c>
      <x:c r="H1139" s="192" t="n">
        <x:v>0</x:v>
      </x:c>
    </x:row>
    <x:row r="1140" ht="56" customHeight="1">
      <x:c r="A1140" s="192" t="str">
        <x:v>stun</x:v>
      </x:c>
      <x:c r="B1140" s="192" t="str">
        <x:v>v.</x:v>
      </x:c>
      <x:c r="C1140" s="194" t="str">
        <x:v>оглушити</x:v>
      </x:c>
      <x:c r="D1140" s="195" t="str">
        <x:v>Виводити з ладу; особливо, викликаючи дезорієнтацію або втрату свідомості.</x:v>
      </x:c>
      <x:c r="E1140" s="192" t="str">
        <x:v>Oxford C1</x:v>
      </x:c>
      <x:c r="F1140" s="192" t="str">
        <x:v>Core</x:v>
      </x:c>
      <x:c r="G1140" s="192" t="str">
        <x:v>Not Started</x:v>
      </x:c>
      <x:c r="H1140" s="192" t="n">
        <x:v>0</x:v>
      </x:c>
    </x:row>
    <x:row r="1141" ht="56" customHeight="1">
      <x:c r="A1141" s="192" t="str">
        <x:v>submission</x:v>
      </x:c>
      <x:c r="B1141" s="192" t="str">
        <x:v>n.</x:v>
      </x:c>
      <x:c r="C1141" s="194" t="str">
        <x:v>подання</x:v>
      </x:c>
      <x:c r="D1141" s="195" t="str">
        <x:v>Акт подання або надання напр. завершена робота.</x:v>
      </x:c>
      <x:c r="E1141" s="192" t="str">
        <x:v>Oxford C1</x:v>
      </x:c>
      <x:c r="F1141" s="192" t="str">
        <x:v>Core</x:v>
      </x:c>
      <x:c r="G1141" s="192" t="str">
        <x:v>Not Started</x:v>
      </x:c>
      <x:c r="H1141" s="192" t="n">
        <x:v>0</x:v>
      </x:c>
    </x:row>
    <x:row r="1142" ht="56" customHeight="1">
      <x:c r="A1142" s="192" t="str">
        <x:v>subscriber</x:v>
      </x:c>
      <x:c r="B1142" s="192" t="str">
        <x:v>n.</x:v>
      </x:c>
      <x:c r="C1142" s="194" t="str">
        <x:v>абонент</x:v>
      </x:c>
      <x:c r="D1142" s="195" t="str">
        <x:v>Особа, яка підписується на публікацію чи послугу.</x:v>
      </x:c>
      <x:c r="E1142" s="192" t="str">
        <x:v>Oxford C1</x:v>
      </x:c>
      <x:c r="F1142" s="192" t="str">
        <x:v>Core</x:v>
      </x:c>
      <x:c r="G1142" s="192" t="str">
        <x:v>Not Started</x:v>
      </x:c>
      <x:c r="H1142" s="192" t="n">
        <x:v>0</x:v>
      </x:c>
    </x:row>
    <x:row r="1143" ht="56" customHeight="1">
      <x:c r="A1143" s="192" t="str">
        <x:v>subscription</x:v>
      </x:c>
      <x:c r="B1143" s="192" t="str">
        <x:v>n.</x:v>
      </x:c>
      <x:c r="C1143" s="194" t="str">
        <x:v>підписка</x:v>
      </x:c>
      <x:c r="D1143" s="195" t="str">
        <x:v>Доступ до ресурсу на певний період часу, як правило, платний.</x:v>
      </x:c>
      <x:c r="E1143" s="192" t="str">
        <x:v>Oxford C1</x:v>
      </x:c>
      <x:c r="F1143" s="192" t="str">
        <x:v>Core</x:v>
      </x:c>
      <x:c r="G1143" s="192" t="str">
        <x:v>Not Started</x:v>
      </x:c>
      <x:c r="H1143" s="192" t="n">
        <x:v>0</x:v>
      </x:c>
    </x:row>
    <x:row r="1144" ht="56" customHeight="1">
      <x:c r="A1144" s="192" t="str">
        <x:v>subsidy</x:v>
      </x:c>
      <x:c r="B1144" s="192" t="str">
        <x:v>n.</x:v>
      </x:c>
      <x:c r="C1144" s="194" t="str">
        <x:v>субсидія</x:v>
      </x:c>
      <x:c r="D1144" s="195" t="str">
        <x:v>Фінансова підтримка або допомога, наприклад грант.</x:v>
      </x:c>
      <x:c r="E1144" s="192" t="str">
        <x:v>Oxford C1</x:v>
      </x:c>
      <x:c r="F1144" s="192" t="str">
        <x:v>Core</x:v>
      </x:c>
      <x:c r="G1144" s="192" t="str">
        <x:v>Not Started</x:v>
      </x:c>
      <x:c r="H1144" s="192" t="n">
        <x:v>0</x:v>
      </x:c>
    </x:row>
    <x:row r="1145" ht="56" customHeight="1">
      <x:c r="A1145" s="192" t="str">
        <x:v>substantial</x:v>
      </x:c>
      <x:c r="B1145" s="192" t="str">
        <x:v>adj.</x:v>
      </x:c>
      <x:c r="C1145" s="194" t="str">
        <x:v>істотний</x:v>
      </x:c>
      <x:c r="D1145" s="195" t="str">
        <x:v>Великі за розміром, кількістю або вартістю; достатній; значний.</x:v>
      </x:c>
      <x:c r="E1145" s="192" t="str">
        <x:v>Oxford C1</x:v>
      </x:c>
      <x:c r="F1145" s="192" t="str">
        <x:v>Core</x:v>
      </x:c>
      <x:c r="G1145" s="192" t="str">
        <x:v>Not Started</x:v>
      </x:c>
      <x:c r="H1145" s="192" t="n">
        <x:v>0</x:v>
      </x:c>
    </x:row>
    <x:row r="1146" ht="56" customHeight="1">
      <x:c r="A1146" s="192" t="str">
        <x:v>substantially</x:v>
      </x:c>
      <x:c r="B1146" s="192" t="str">
        <x:v>adv.</x:v>
      </x:c>
      <x:c r="C1146" s="194" t="str">
        <x:v>істотно</x:v>
      </x:c>
      <x:c r="D1146" s="195" t="str">
        <x:v>Значною мірою; по суті; по суті.</x:v>
      </x:c>
      <x:c r="E1146" s="192" t="str">
        <x:v>Oxford C1</x:v>
      </x:c>
      <x:c r="F1146" s="192" t="str">
        <x:v>Core</x:v>
      </x:c>
      <x:c r="G1146" s="192" t="str">
        <x:v>Not Started</x:v>
      </x:c>
      <x:c r="H1146" s="192" t="n">
        <x:v>0</x:v>
      </x:c>
    </x:row>
    <x:row r="1147" ht="56" customHeight="1">
      <x:c r="A1147" s="192" t="str">
        <x:v>substitute</x:v>
      </x:c>
      <x:c r="B1147" s="192" t="str">
        <x:v>n., v.</x:v>
      </x:c>
      <x:c r="C1147" s="194" t="str">
        <x:v>замінник</x:v>
      </x:c>
      <x:c r="D1147" s="195" t="str">
        <x:v>Використовувати замість чогось іншого з такою ж функцією.</x:v>
      </x:c>
      <x:c r="E1147" s="192" t="str">
        <x:v>Oxford C1</x:v>
      </x:c>
      <x:c r="F1147" s="192" t="str">
        <x:v>Core</x:v>
      </x:c>
      <x:c r="G1147" s="192" t="str">
        <x:v>Not Started</x:v>
      </x:c>
      <x:c r="H1147" s="192" t="n">
        <x:v>0</x:v>
      </x:c>
    </x:row>
    <x:row r="1148" ht="56" customHeight="1">
      <x:c r="A1148" s="192" t="str">
        <x:v>substitution</x:v>
      </x:c>
      <x:c r="B1148" s="192" t="str">
        <x:v>n.</x:v>
      </x:c>
      <x:c r="C1148" s="194" t="str">
        <x:v>заміна</x:v>
      </x:c>
      <x:c r="D1148" s="195" t="str">
        <x:v>Акт заміщення або стан заміщення.</x:v>
      </x:c>
      <x:c r="E1148" s="192" t="str">
        <x:v>Oxford C1 + AWL 5</x:v>
      </x:c>
      <x:c r="F1148" s="192" t="str">
        <x:v>High</x:v>
      </x:c>
      <x:c r="G1148" s="192" t="str">
        <x:v>Not Started</x:v>
      </x:c>
      <x:c r="H1148" s="192" t="n">
        <x:v>0</x:v>
      </x:c>
    </x:row>
    <x:row r="1149" ht="56" customHeight="1">
      <x:c r="A1149" s="192" t="str">
        <x:v>subtle</x:v>
      </x:c>
      <x:c r="B1149" s="192" t="str">
        <x:v>adj.</x:v>
      </x:c>
      <x:c r="C1149" s="194" t="str">
        <x:v>тонкий</x:v>
      </x:c>
      <x:c r="D1149" s="195" t="str">
        <x:v>Відчуття, що стосуються матеріальних речей.</x:v>
      </x:c>
      <x:c r="E1149" s="192" t="str">
        <x:v>Oxford C1</x:v>
      </x:c>
      <x:c r="F1149" s="192" t="str">
        <x:v>Core</x:v>
      </x:c>
      <x:c r="G1149" s="192" t="str">
        <x:v>Not Started</x:v>
      </x:c>
      <x:c r="H1149" s="192" t="n">
        <x:v>0</x:v>
      </x:c>
    </x:row>
    <x:row r="1150" ht="56" customHeight="1">
      <x:c r="A1150" s="192" t="str">
        <x:v>suburban</x:v>
      </x:c>
      <x:c r="B1150" s="192" t="str">
        <x:v>adj.</x:v>
      </x:c>
      <x:c r="C1150" s="194" t="str">
        <x:v>приміський</x:v>
      </x:c>
      <x:c r="D1150" s="195" t="str">
        <x:v>Пов’язаний із містом, характерний для нього чи розташований на околиці міста; передмістя або передмістя.</x:v>
      </x:c>
      <x:c r="E1150" s="192" t="str">
        <x:v>Oxford C1</x:v>
      </x:c>
      <x:c r="F1150" s="192" t="str">
        <x:v>Core</x:v>
      </x:c>
      <x:c r="G1150" s="192" t="str">
        <x:v>Not Started</x:v>
      </x:c>
      <x:c r="H1150" s="192" t="n">
        <x:v>0</x:v>
      </x:c>
    </x:row>
    <x:row r="1151" ht="56" customHeight="1">
      <x:c r="A1151" s="192" t="str">
        <x:v>succession</x:v>
      </x:c>
      <x:c r="B1151" s="192" t="str">
        <x:v>n.</x:v>
      </x:c>
      <x:c r="C1151" s="194" t="str">
        <x:v>правонаступництво</x:v>
      </x:c>
      <x:c r="D1151" s="195" t="str">
        <x:v>Дія, процес або випадок досягнення успіху:</x:v>
      </x:c>
      <x:c r="E1151" s="192" t="str">
        <x:v>Oxford C1</x:v>
      </x:c>
      <x:c r="F1151" s="192" t="str">
        <x:v>Core</x:v>
      </x:c>
      <x:c r="G1151" s="192" t="str">
        <x:v>Not Started</x:v>
      </x:c>
      <x:c r="H1151" s="192" t="n">
        <x:v>0</x:v>
      </x:c>
    </x:row>
    <x:row r="1152" ht="56" customHeight="1">
      <x:c r="A1152" s="192" t="str">
        <x:v>successive</x:v>
      </x:c>
      <x:c r="B1152" s="192" t="str">
        <x:v>adj.</x:v>
      </x:c>
      <x:c r="C1152" s="194" t="str">
        <x:v>послідовний</x:v>
      </x:c>
      <x:c r="D1152" s="195" t="str">
        <x:v>Приходять один за одним у серії.</x:v>
      </x:c>
      <x:c r="E1152" s="192" t="str">
        <x:v>Oxford C1 + AWL 7</x:v>
      </x:c>
      <x:c r="F1152" s="192" t="str">
        <x:v>High</x:v>
      </x:c>
      <x:c r="G1152" s="192" t="str">
        <x:v>Not Started</x:v>
      </x:c>
      <x:c r="H1152" s="192" t="n">
        <x:v>0</x:v>
      </x:c>
    </x:row>
    <x:row r="1153" ht="56" customHeight="1">
      <x:c r="A1153" s="192" t="str">
        <x:v>successor</x:v>
      </x:c>
      <x:c r="B1153" s="192" t="str">
        <x:v>n.</x:v>
      </x:c>
      <x:c r="C1153" s="194" t="str">
        <x:v>наступник</x:v>
      </x:c>
      <x:c r="D1153" s="195" t="str">
        <x:v>Особа або річ, яка безпосередньо слідує за іншою у займанні посади чи титулу.</x:v>
      </x:c>
      <x:c r="E1153" s="192" t="str">
        <x:v>Oxford C1</x:v>
      </x:c>
      <x:c r="F1153" s="192" t="str">
        <x:v>Core</x:v>
      </x:c>
      <x:c r="G1153" s="192" t="str">
        <x:v>Not Started</x:v>
      </x:c>
      <x:c r="H1153" s="192" t="n">
        <x:v>0</x:v>
      </x:c>
    </x:row>
    <x:row r="1154" ht="56" customHeight="1">
      <x:c r="A1154" s="192" t="str">
        <x:v>suck</x:v>
      </x:c>
      <x:c r="B1154" s="192" t="str">
        <x:v>v.</x:v>
      </x:c>
      <x:c r="C1154" s="194" t="str">
        <x:v>смоктати</x:v>
      </x:c>
      <x:c r="D1154" s="195" t="str">
        <x:v>Використовувати рот і губи для втягування (рідини, особливо молока з грудей).</x:v>
      </x:c>
      <x:c r="E1154" s="192" t="str">
        <x:v>Oxford C1</x:v>
      </x:c>
      <x:c r="F1154" s="192" t="str">
        <x:v>Core</x:v>
      </x:c>
      <x:c r="G1154" s="192" t="str">
        <x:v>Not Started</x:v>
      </x:c>
      <x:c r="H1154" s="192" t="n">
        <x:v>0</x:v>
      </x:c>
    </x:row>
    <x:row r="1155" ht="56" customHeight="1">
      <x:c r="A1155" s="192" t="str">
        <x:v>sue</x:v>
      </x:c>
      <x:c r="B1155" s="192" t="str">
        <x:v>v.</x:v>
      </x:c>
      <x:c r="C1155" s="194" t="str">
        <x:v>судитися</x:v>
      </x:c>
      <x:c r="D1155" s="195" t="str">
        <x:v>Подати судовий позов проти когось, як правило, некримінальний (цивільний) позов.</x:v>
      </x:c>
      <x:c r="E1155" s="192" t="str">
        <x:v>Oxford C1</x:v>
      </x:c>
      <x:c r="F1155" s="192" t="str">
        <x:v>Core</x:v>
      </x:c>
      <x:c r="G1155" s="192" t="str">
        <x:v>Not Started</x:v>
      </x:c>
      <x:c r="H1155" s="192" t="n">
        <x:v>0</x:v>
      </x:c>
    </x:row>
    <x:row r="1156" ht="56" customHeight="1">
      <x:c r="A1156" s="192" t="str">
        <x:v>suicide</x:v>
      </x:c>
      <x:c r="B1156" s="192" t="str">
        <x:v>n.</x:v>
      </x:c>
      <x:c r="C1156" s="194" t="str">
        <x:v>самогубство</x:v>
      </x:c>
      <x:c r="D1156" s="195" t="str">
        <x:v>Акт навмисного самогубства.</x:v>
      </x:c>
      <x:c r="E1156" s="192" t="str">
        <x:v>Oxford C1</x:v>
      </x:c>
      <x:c r="F1156" s="192" t="str">
        <x:v>Core</x:v>
      </x:c>
      <x:c r="G1156" s="192" t="str">
        <x:v>Not Started</x:v>
      </x:c>
      <x:c r="H1156" s="192" t="n">
        <x:v>0</x:v>
      </x:c>
    </x:row>
    <x:row r="1157" ht="56" customHeight="1">
      <x:c r="A1157" s="192" t="str">
        <x:v>suite</x:v>
      </x:c>
      <x:c r="B1157" s="192" t="str">
        <x:v>n.</x:v>
      </x:c>
      <x:c r="C1157" s="194" t="str">
        <x:v>люкс</x:v>
      </x:c>
      <x:c r="D1157" s="195" t="str">
        <x:v>Група з’єднаних кімнат, зазвичай відокремлених від інших кімнат за допомогою доступу.</x:v>
      </x:c>
      <x:c r="E1157" s="192" t="str">
        <x:v>Oxford C1</x:v>
      </x:c>
      <x:c r="F1157" s="192" t="str">
        <x:v>Core</x:v>
      </x:c>
      <x:c r="G1157" s="192" t="str">
        <x:v>Not Started</x:v>
      </x:c>
      <x:c r="H1157" s="192" t="n">
        <x:v>0</x:v>
      </x:c>
    </x:row>
    <x:row r="1158" ht="56" customHeight="1">
      <x:c r="A1158" s="192" t="str">
        <x:v>summit</x:v>
      </x:c>
      <x:c r="B1158" s="192" t="str">
        <x:v>n.</x:v>
      </x:c>
      <x:c r="C1158" s="194" t="str">
        <x:v>вершина</x:v>
      </x:c>
      <x:c r="D1158" s="195" t="str">
        <x:v>Найвища точка пагорба, гори чи подібного географічного об’єкта.</x:v>
      </x:c>
      <x:c r="E1158" s="192" t="str">
        <x:v>Oxford C1</x:v>
      </x:c>
      <x:c r="F1158" s="192" t="str">
        <x:v>Core</x:v>
      </x:c>
      <x:c r="G1158" s="192" t="str">
        <x:v>Not Started</x:v>
      </x:c>
      <x:c r="H1158" s="192" t="n">
        <x:v>0</x:v>
      </x:c>
    </x:row>
    <x:row r="1159" ht="56" customHeight="1">
      <x:c r="A1159" s="192" t="str">
        <x:v>superb</x:v>
      </x:c>
      <x:c r="B1159" s="192" t="str">
        <x:v>adj.</x:v>
      </x:c>
      <x:c r="C1159" s="194" t="str">
        <x:v>чудовий</x:v>
      </x:c>
      <x:c r="D1159" s="195" t="str">
        <x:v>Першокласний; найвищої якості; виключно добре.</x:v>
      </x:c>
      <x:c r="E1159" s="192" t="str">
        <x:v>Oxford C1</x:v>
      </x:c>
      <x:c r="F1159" s="192" t="str">
        <x:v>Core</x:v>
      </x:c>
      <x:c r="G1159" s="192" t="str">
        <x:v>Not Started</x:v>
      </x:c>
      <x:c r="H1159" s="192" t="n">
        <x:v>0</x:v>
      </x:c>
    </x:row>
    <x:row r="1160" ht="56" customHeight="1">
      <x:c r="A1160" s="192" t="str">
        <x:v>superior</x:v>
      </x:c>
      <x:c r="B1160" s="192" t="str">
        <x:v>adj.</x:v>
      </x:c>
      <x:c r="C1160" s="194" t="str">
        <x:v>вищий</x:v>
      </x:c>
      <x:c r="D1160" s="195" t="str">
        <x:v>Вищий за рангом, статусом або якістю.</x:v>
      </x:c>
      <x:c r="E1160" s="192" t="str">
        <x:v>Oxford C1</x:v>
      </x:c>
      <x:c r="F1160" s="192" t="str">
        <x:v>Core</x:v>
      </x:c>
      <x:c r="G1160" s="192" t="str">
        <x:v>Not Started</x:v>
      </x:c>
      <x:c r="H1160" s="192" t="n">
        <x:v>0</x:v>
      </x:c>
    </x:row>
    <x:row r="1161" ht="56" customHeight="1">
      <x:c r="A1161" s="192" t="str">
        <x:v>supervise</x:v>
      </x:c>
      <x:c r="B1161" s="192" t="str">
        <x:v>v.</x:v>
      </x:c>
      <x:c r="C1161" s="194" t="str">
        <x:v>контролювати</x:v>
      </x:c>
      <x:c r="D1161" s="195" t="str">
        <x:v>Контролювати або керувати завданням чи організацією.</x:v>
      </x:c>
      <x:c r="E1161" s="192" t="str">
        <x:v>Oxford C1</x:v>
      </x:c>
      <x:c r="F1161" s="192" t="str">
        <x:v>Core</x:v>
      </x:c>
      <x:c r="G1161" s="192" t="str">
        <x:v>Not Started</x:v>
      </x:c>
      <x:c r="H1161" s="192" t="n">
        <x:v>0</x:v>
      </x:c>
    </x:row>
    <x:row r="1162" ht="56" customHeight="1">
      <x:c r="A1162" s="192" t="str">
        <x:v>supervision</x:v>
      </x:c>
      <x:c r="B1162" s="192" t="str">
        <x:v>n.</x:v>
      </x:c>
      <x:c r="C1162" s="194" t="str">
        <x:v>нагляд</x:v>
      </x:c>
      <x:c r="D1162" s="195" t="str">
        <x:v>Акт або випадок нагляду.</x:v>
      </x:c>
      <x:c r="E1162" s="192" t="str">
        <x:v>Oxford C1</x:v>
      </x:c>
      <x:c r="F1162" s="192" t="str">
        <x:v>Core</x:v>
      </x:c>
      <x:c r="G1162" s="192" t="str">
        <x:v>Not Started</x:v>
      </x:c>
      <x:c r="H1162" s="192" t="n">
        <x:v>0</x:v>
      </x:c>
    </x:row>
    <x:row r="1163" ht="56" customHeight="1">
      <x:c r="A1163" s="192" t="str">
        <x:v>supervisor</x:v>
      </x:c>
      <x:c r="B1163" s="192" t="str">
        <x:v>n.</x:v>
      </x:c>
      <x:c r="C1163" s="194" t="str">
        <x:v>наглядач</x:v>
      </x:c>
      <x:c r="D1163" s="195" t="str">
        <x:v>Особа з офіційним завданням нагляду за роботою особи чи групи, або за іншими операціями та діяльністю.</x:v>
      </x:c>
      <x:c r="E1163" s="192" t="str">
        <x:v>Oxford C1</x:v>
      </x:c>
      <x:c r="F1163" s="192" t="str">
        <x:v>Core</x:v>
      </x:c>
      <x:c r="G1163" s="192" t="str">
        <x:v>Not Started</x:v>
      </x:c>
      <x:c r="H1163" s="192" t="n">
        <x:v>0</x:v>
      </x:c>
    </x:row>
    <x:row r="1164" ht="56" customHeight="1">
      <x:c r="A1164" s="192" t="str">
        <x:v>supplement</x:v>
      </x:c>
      <x:c r="B1164" s="192" t="str">
        <x:v>n., v.</x:v>
      </x:c>
      <x:c r="C1164" s="194" t="str">
        <x:v>додаток</x:v>
      </x:c>
      <x:c r="D1164" s="195" t="str">
        <x:v>Забезпечувати чи доповнювати щось.</x:v>
      </x:c>
      <x:c r="E1164" s="192" t="str">
        <x:v>Oxford C1</x:v>
      </x:c>
      <x:c r="F1164" s="192" t="str">
        <x:v>Core</x:v>
      </x:c>
      <x:c r="G1164" s="192" t="str">
        <x:v>Not Started</x:v>
      </x:c>
      <x:c r="H1164" s="192" t="n">
        <x:v>0</x:v>
      </x:c>
    </x:row>
    <x:row r="1165" ht="56" customHeight="1">
      <x:c r="A1165" s="192" t="str">
        <x:v>supportive</x:v>
      </x:c>
      <x:c r="B1165" s="192" t="str">
        <x:v>adj.</x:v>
      </x:c>
      <x:c r="C1165" s="194" t="str">
        <x:v>підтримує</x:v>
      </x:c>
      <x:c r="D1165" s="195" t="str">
        <x:v>Надання підтримки.</x:v>
      </x:c>
      <x:c r="E1165" s="192" t="str">
        <x:v>Oxford C1</x:v>
      </x:c>
      <x:c r="F1165" s="192" t="str">
        <x:v>Core</x:v>
      </x:c>
      <x:c r="G1165" s="192" t="str">
        <x:v>Not Started</x:v>
      </x:c>
      <x:c r="H1165" s="192" t="n">
        <x:v>0</x:v>
      </x:c>
    </x:row>
    <x:row r="1166" ht="56" customHeight="1">
      <x:c r="A1166" s="192" t="str">
        <x:v>supposedly</x:v>
      </x:c>
      <x:c r="B1166" s="192" t="str">
        <x:v>adv.</x:v>
      </x:c>
      <x:c r="C1166" s="194" t="str">
        <x:v>нібито</x:v>
      </x:c>
      <x:c r="D1166" s="195" t="str">
        <x:v>Як питання припущення; у переконаннях або згідно з твердженнями деяких людей.</x:v>
      </x:c>
      <x:c r="E1166" s="192" t="str">
        <x:v>Oxford C1</x:v>
      </x:c>
      <x:c r="F1166" s="192" t="str">
        <x:v>Core</x:v>
      </x:c>
      <x:c r="G1166" s="192" t="str">
        <x:v>Not Started</x:v>
      </x:c>
      <x:c r="H1166" s="192" t="n">
        <x:v>0</x:v>
      </x:c>
    </x:row>
    <x:row r="1167" ht="56" customHeight="1">
      <x:c r="A1167" s="192" t="str">
        <x:v>suppress</x:v>
      </x:c>
      <x:c r="B1167" s="192" t="str">
        <x:v>v.</x:v>
      </x:c>
      <x:c r="C1167" s="194" t="str">
        <x:v>придушити</x:v>
      </x:c>
      <x:c r="D1167" s="195" t="str">
        <x:v>Покінчити, особливо силою, розчавити, знищити; забороняти, підкоряти.</x:v>
      </x:c>
      <x:c r="E1167" s="192" t="str">
        <x:v>Oxford C1</x:v>
      </x:c>
      <x:c r="F1167" s="192" t="str">
        <x:v>Core</x:v>
      </x:c>
      <x:c r="G1167" s="192" t="str">
        <x:v>Not Started</x:v>
      </x:c>
      <x:c r="H1167" s="192" t="n">
        <x:v>0</x:v>
      </x:c>
    </x:row>
    <x:row r="1168" ht="56" customHeight="1">
      <x:c r="A1168" s="192" t="str">
        <x:v>supreme</x:v>
      </x:c>
      <x:c r="B1168" s="192" t="str">
        <x:v>adj.</x:v>
      </x:c>
      <x:c r="C1168" s="194" t="str">
        <x:v>вищий</x:v>
      </x:c>
      <x:c r="D1168" s="195" t="str">
        <x:v>Найбільший, найпрекрасніший, екстремальний, найвищий, найвищий або найвищий.</x:v>
      </x:c>
      <x:c r="E1168" s="192" t="str">
        <x:v>Oxford C1</x:v>
      </x:c>
      <x:c r="F1168" s="192" t="str">
        <x:v>Core</x:v>
      </x:c>
      <x:c r="G1168" s="192" t="str">
        <x:v>Not Started</x:v>
      </x:c>
      <x:c r="H1168" s="192" t="n">
        <x:v>0</x:v>
      </x:c>
    </x:row>
    <x:row r="1169" ht="56" customHeight="1">
      <x:c r="A1169" s="192" t="str">
        <x:v>surge</x:v>
      </x:c>
      <x:c r="B1169" s="192" t="str">
        <x:v>n., v.</x:v>
      </x:c>
      <x:c r="C1169" s="194" t="str">
        <x:v>хвиля</x:v>
      </x:c>
      <x:c r="D1169" s="195" t="str">
        <x:v>Кинутися, затопити або раптово збільшитися.</x:v>
      </x:c>
      <x:c r="E1169" s="192" t="str">
        <x:v>Oxford C1</x:v>
      </x:c>
      <x:c r="F1169" s="192" t="str">
        <x:v>Core</x:v>
      </x:c>
      <x:c r="G1169" s="192" t="str">
        <x:v>Not Started</x:v>
      </x:c>
      <x:c r="H1169" s="192" t="n">
        <x:v>0</x:v>
      </x:c>
    </x:row>
    <x:row r="1170" ht="56" customHeight="1">
      <x:c r="A1170" s="192" t="str">
        <x:v>surgical</x:v>
      </x:c>
      <x:c r="B1170" s="192" t="str">
        <x:v>adj.</x:v>
      </x:c>
      <x:c r="C1170" s="194" t="str">
        <x:v>хірургічний</x:v>
      </x:c>
      <x:c r="D1170" s="195" t="str">
        <x:v>Відносно, використовується під час хірургічного втручання або є результатом операції.</x:v>
      </x:c>
      <x:c r="E1170" s="192" t="str">
        <x:v>Oxford C1</x:v>
      </x:c>
      <x:c r="F1170" s="192" t="str">
        <x:v>Core</x:v>
      </x:c>
      <x:c r="G1170" s="192" t="str">
        <x:v>Not Started</x:v>
      </x:c>
      <x:c r="H1170" s="192" t="n">
        <x:v>0</x:v>
      </x:c>
    </x:row>
    <x:row r="1171" ht="56" customHeight="1">
      <x:c r="A1171" s="192" t="str">
        <x:v>surplus</x:v>
      </x:c>
      <x:c r="B1171" s="192" t="str">
        <x:v>n.</x:v>
      </x:c>
      <x:c r="C1171" s="194" t="str">
        <x:v>надлишок</x:v>
      </x:c>
      <x:c r="D1171" s="195" t="str">
        <x:v>Те, що залишається, коли використання чи потреба задоволені, або коли досягнуто межі; надлишок; надлишок; надмірний вік.</x:v>
      </x:c>
      <x:c r="E1171" s="192" t="str">
        <x:v>Oxford C1</x:v>
      </x:c>
      <x:c r="F1171" s="192" t="str">
        <x:v>Core</x:v>
      </x:c>
      <x:c r="G1171" s="192" t="str">
        <x:v>Not Started</x:v>
      </x:c>
      <x:c r="H1171" s="192" t="n">
        <x:v>0</x:v>
      </x:c>
    </x:row>
    <x:row r="1172" ht="56" customHeight="1">
      <x:c r="A1172" s="192" t="str">
        <x:v>surrender</x:v>
      </x:c>
      <x:c r="B1172" s="192" t="str">
        <x:v>v.</x:v>
      </x:c>
      <x:c r="C1172" s="194" t="str">
        <x:v>здатися</x:v>
      </x:c>
      <x:c r="D1172" s="195" t="str">
        <x:v>Віддатися у владу іншого, особливо в полоні; подати або поступитися.</x:v>
      </x:c>
      <x:c r="E1172" s="192" t="str">
        <x:v>Oxford C1</x:v>
      </x:c>
      <x:c r="F1172" s="192" t="str">
        <x:v>Core</x:v>
      </x:c>
      <x:c r="G1172" s="192" t="str">
        <x:v>Not Started</x:v>
      </x:c>
      <x:c r="H1172" s="192" t="n">
        <x:v>0</x:v>
      </x:c>
    </x:row>
    <x:row r="1173" ht="56" customHeight="1">
      <x:c r="A1173" s="192" t="str">
        <x:v>surveillance</x:v>
      </x:c>
      <x:c r="B1173" s="192" t="str">
        <x:v>n.</x:v>
      </x:c>
      <x:c r="C1173" s="194" t="str">
        <x:v>спостереження</x:v>
      </x:c>
      <x:c r="D1173" s="195" t="str">
        <x:v>Ретельне спостереження за особою чи групою; особа або особи, які підозрюються.</x:v>
      </x:c>
      <x:c r="E1173" s="192" t="str">
        <x:v>Oxford C1</x:v>
      </x:c>
      <x:c r="F1173" s="192" t="str">
        <x:v>Core</x:v>
      </x:c>
      <x:c r="G1173" s="192" t="str">
        <x:v>Not Started</x:v>
      </x:c>
      <x:c r="H1173" s="192" t="n">
        <x:v>0</x:v>
      </x:c>
    </x:row>
    <x:row r="1174" ht="56" customHeight="1">
      <x:c r="A1174" s="192" t="str">
        <x:v>suspension</x:v>
      </x:c>
      <x:c r="B1174" s="192" t="str">
        <x:v>n.</x:v>
      </x:c>
      <x:c r="C1174" s="194" t="str">
        <x:v>підвіска</x:v>
      </x:c>
      <x:c r="D1174" s="195" t="str">
        <x:v>Акт призупинення або стан призупинення.</x:v>
      </x:c>
      <x:c r="E1174" s="192" t="str">
        <x:v>Oxford C1</x:v>
      </x:c>
      <x:c r="F1174" s="192" t="str">
        <x:v>Core</x:v>
      </x:c>
      <x:c r="G1174" s="192" t="str">
        <x:v>Not Started</x:v>
      </x:c>
      <x:c r="H1174" s="192" t="n">
        <x:v>0</x:v>
      </x:c>
    </x:row>
    <x:row r="1175" ht="56" customHeight="1">
      <x:c r="A1175" s="192" t="str">
        <x:v>suspicion</x:v>
      </x:c>
      <x:c r="B1175" s="192" t="str">
        <x:v>n.</x:v>
      </x:c>
      <x:c r="C1175" s="194" t="str">
        <x:v>підозра</x:v>
      </x:c>
      <x:c r="D1175" s="195" t="str">
        <x:v>Дія підозрювати щось або когось, особливо в чомусь недобре.</x:v>
      </x:c>
      <x:c r="E1175" s="192" t="str">
        <x:v>Oxford C1</x:v>
      </x:c>
      <x:c r="F1175" s="192" t="str">
        <x:v>Core</x:v>
      </x:c>
      <x:c r="G1175" s="192" t="str">
        <x:v>Not Started</x:v>
      </x:c>
      <x:c r="H1175" s="192" t="n">
        <x:v>0</x:v>
      </x:c>
    </x:row>
    <x:row r="1176" ht="56" customHeight="1">
      <x:c r="A1176" s="192" t="str">
        <x:v>suspicious</x:v>
      </x:c>
      <x:c r="B1176" s="192" t="str">
        <x:v>adj.</x:v>
      </x:c>
      <x:c r="C1176" s="194" t="str">
        <x:v>підозрілий</x:v>
      </x:c>
      <x:c r="D1176" s="195" t="str">
        <x:v>Недовірливий або схильний підозрювати.</x:v>
      </x:c>
      <x:c r="E1176" s="192" t="str">
        <x:v>Oxford C1</x:v>
      </x:c>
      <x:c r="F1176" s="192" t="str">
        <x:v>Core</x:v>
      </x:c>
      <x:c r="G1176" s="192" t="str">
        <x:v>Not Started</x:v>
      </x:c>
      <x:c r="H1176" s="192" t="n">
        <x:v>0</x:v>
      </x:c>
    </x:row>
    <x:row r="1177" ht="56" customHeight="1">
      <x:c r="A1177" s="192" t="str">
        <x:v>sustain</x:v>
      </x:c>
      <x:c r="B1177" s="192" t="str">
        <x:v>v.</x:v>
      </x:c>
      <x:c r="C1177" s="194" t="str">
        <x:v>підтримувати</x:v>
      </x:c>
      <x:c r="D1177" s="195" t="str">
        <x:v>Підтримувати або підтримувати існування.</x:v>
      </x:c>
      <x:c r="E1177" s="192" t="str">
        <x:v>Oxford C1</x:v>
      </x:c>
      <x:c r="F1177" s="192" t="str">
        <x:v>Core</x:v>
      </x:c>
      <x:c r="G1177" s="192" t="str">
        <x:v>Not Started</x:v>
      </x:c>
      <x:c r="H1177" s="192" t="n">
        <x:v>0</x:v>
      </x:c>
    </x:row>
    <x:row r="1178" ht="56" customHeight="1">
      <x:c r="A1178" s="192" t="str">
        <x:v>swing</x:v>
      </x:c>
      <x:c r="B1178" s="192" t="str">
        <x:v>v., n.</x:v>
      </x:c>
      <x:c r="C1178" s="194" t="str">
        <x:v>гойдалка</x:v>
      </x:c>
      <x:c r="D1178" s="195" t="str">
        <x:v>Покататися на гойдалках.</x:v>
      </x:c>
      <x:c r="E1178" s="192" t="str">
        <x:v>Oxford C1</x:v>
      </x:c>
      <x:c r="F1178" s="192" t="str">
        <x:v>Core</x:v>
      </x:c>
      <x:c r="G1178" s="192" t="str">
        <x:v>Not Started</x:v>
      </x:c>
      <x:c r="H1178" s="192" t="n">
        <x:v>0</x:v>
      </x:c>
    </x:row>
    <x:row r="1179" ht="56" customHeight="1">
      <x:c r="A1179" s="192" t="str">
        <x:v>sword</x:v>
      </x:c>
      <x:c r="B1179" s="192" t="str">
        <x:v>n.</x:v>
      </x:c>
      <x:c r="C1179" s="194" t="str">
        <x:v>меч</x:v>
      </x:c>
      <x:c r="D1179" s="195" t="str">
        <x:v>Довга клинкова зброя з руків’ям і, як правило, навершям і поперечною гардою (разом утворюючи ефес), яка призначена для рубання, удару, рубання та/або рубання.</x:v>
      </x:c>
      <x:c r="E1179" s="192" t="str">
        <x:v>Oxford C1</x:v>
      </x:c>
      <x:c r="F1179" s="192" t="str">
        <x:v>Core</x:v>
      </x:c>
      <x:c r="G1179" s="192" t="str">
        <x:v>Not Started</x:v>
      </x:c>
      <x:c r="H1179" s="192" t="n">
        <x:v>0</x:v>
      </x:c>
    </x:row>
    <x:row r="1180" ht="56" customHeight="1">
      <x:c r="A1180" s="192" t="str">
        <x:v>symbolic</x:v>
      </x:c>
      <x:c r="B1180" s="192" t="str">
        <x:v>adj.</x:v>
      </x:c>
      <x:c r="C1180" s="194" t="str">
        <x:v>символічний</x:v>
      </x:c>
      <x:c r="D1180" s="195" t="str">
        <x:v>Непряме представлення або посилання на іншу річ.</x:v>
      </x:c>
      <x:c r="E1180" s="192" t="str">
        <x:v>Oxford C1 + AWL 5</x:v>
      </x:c>
      <x:c r="F1180" s="192" t="str">
        <x:v>High</x:v>
      </x:c>
      <x:c r="G1180" s="192" t="str">
        <x:v>Not Started</x:v>
      </x:c>
      <x:c r="H1180" s="192" t="n">
        <x:v>0</x:v>
      </x:c>
    </x:row>
    <x:row r="1181" ht="56" customHeight="1">
      <x:c r="A1181" s="192" t="str">
        <x:v>syndrome</x:v>
      </x:c>
      <x:c r="B1181" s="192" t="str">
        <x:v>n.</x:v>
      </x:c>
      <x:c r="C1181" s="194" t="str">
        <x:v>синдром</x:v>
      </x:c>
      <x:c r="D1181" s="195" t="str">
        <x:v>Розпізнаваний зразок ознак, симптомів та/або поведінки, особливо хвороби, медичного чи психологічного стану.</x:v>
      </x:c>
      <x:c r="E1181" s="192" t="str">
        <x:v>Oxford C1</x:v>
      </x:c>
      <x:c r="F1181" s="192" t="str">
        <x:v>Core</x:v>
      </x:c>
      <x:c r="G1181" s="192" t="str">
        <x:v>Not Started</x:v>
      </x:c>
      <x:c r="H1181" s="192" t="n">
        <x:v>0</x:v>
      </x:c>
    </x:row>
    <x:row r="1182" ht="56" customHeight="1">
      <x:c r="A1182" s="192" t="str">
        <x:v>synthesis</x:v>
      </x:c>
      <x:c r="B1182" s="192" t="str">
        <x:v>n.</x:v>
      </x:c>
      <x:c r="C1182" s="194" t="str">
        <x:v>синтез</x:v>
      </x:c>
      <x:c r="D1182" s="195" t="str">
        <x:v>Утворення чогось складного або зв'язного шляхом поєднання більш простих речей.</x:v>
      </x:c>
      <x:c r="E1182" s="192" t="str">
        <x:v>Oxford C1</x:v>
      </x:c>
      <x:c r="F1182" s="192" t="str">
        <x:v>Core</x:v>
      </x:c>
      <x:c r="G1182" s="192" t="str">
        <x:v>Not Started</x:v>
      </x:c>
      <x:c r="H1182" s="192" t="n">
        <x:v>0</x:v>
      </x:c>
    </x:row>
    <x:row r="1183" ht="56" customHeight="1">
      <x:c r="A1183" s="192" t="str">
        <x:v>systematic</x:v>
      </x:c>
      <x:c r="B1183" s="192" t="str">
        <x:v>adj.</x:v>
      </x:c>
      <x:c r="C1183" s="194" t="str">
        <x:v>систематичний</x:v>
      </x:c>
      <x:c r="D1183" s="195" t="str">
        <x:v>Здійснюється за плановою, замовленою процедурою.</x:v>
      </x:c>
      <x:c r="E1183" s="192" t="str">
        <x:v>Oxford C1</x:v>
      </x:c>
      <x:c r="F1183" s="192" t="str">
        <x:v>Core</x:v>
      </x:c>
      <x:c r="G1183" s="192" t="str">
        <x:v>Not Started</x:v>
      </x:c>
      <x:c r="H1183" s="192" t="n">
        <x:v>0</x:v>
      </x:c>
    </x:row>
    <x:row r="1184" ht="56" customHeight="1">
      <x:c r="A1184" s="192" t="str">
        <x:v>tackle</x:v>
      </x:c>
      <x:c r="B1184" s="192" t="str">
        <x:v>n.</x:v>
      </x:c>
      <x:c r="C1184" s="194" t="str">
        <x:v>снасть</x:v>
      </x:c>
      <x:c r="D1184" s="195" t="str">
        <x:v>Гра, у якій гравець намагається перехопити контроль над м’ячем у суперника, як у регбі чи футболі.</x:v>
      </x:c>
      <x:c r="E1184" s="192" t="str">
        <x:v>Oxford C1</x:v>
      </x:c>
      <x:c r="F1184" s="192" t="str">
        <x:v>Core</x:v>
      </x:c>
      <x:c r="G1184" s="192" t="str">
        <x:v>Not Started</x:v>
      </x:c>
      <x:c r="H1184" s="192" t="n">
        <x:v>0</x:v>
      </x:c>
    </x:row>
    <x:row r="1185" ht="56" customHeight="1">
      <x:c r="A1185" s="192" t="str">
        <x:v>tactic</x:v>
      </x:c>
      <x:c r="B1185" s="192" t="str">
        <x:v>n.</x:v>
      </x:c>
      <x:c r="C1185" s="194" t="str">
        <x:v>тактика</x:v>
      </x:c>
      <x:c r="D1185" s="195" t="str">
        <x:v>Маневр або дія, спрямована на досягнення якоїсь мети.</x:v>
      </x:c>
      <x:c r="E1185" s="192" t="str">
        <x:v>Oxford C1</x:v>
      </x:c>
      <x:c r="F1185" s="192" t="str">
        <x:v>Core</x:v>
      </x:c>
      <x:c r="G1185" s="192" t="str">
        <x:v>Not Started</x:v>
      </x:c>
      <x:c r="H1185" s="192" t="n">
        <x:v>0</x:v>
      </x:c>
    </x:row>
    <x:row r="1186" ht="56" customHeight="1">
      <x:c r="A1186" s="192" t="str">
        <x:v>tactical</x:v>
      </x:c>
      <x:c r="B1186" s="192" t="str">
        <x:v>adj.</x:v>
      </x:c>
      <x:c r="C1186" s="194" t="str">
        <x:v>тактичний</x:v>
      </x:c>
      <x:c r="D1186" s="195" t="str">
        <x:v>Що стосується тактики або тактики.</x:v>
      </x:c>
      <x:c r="E1186" s="192" t="str">
        <x:v>Oxford C1</x:v>
      </x:c>
      <x:c r="F1186" s="192" t="str">
        <x:v>Core</x:v>
      </x:c>
      <x:c r="G1186" s="192" t="str">
        <x:v>Not Started</x:v>
      </x:c>
      <x:c r="H1186" s="192" t="n">
        <x:v>0</x:v>
      </x:c>
    </x:row>
    <x:row r="1187" ht="56" customHeight="1">
      <x:c r="A1187" s="192" t="str">
        <x:v>taxpayer</x:v>
      </x:c>
      <x:c r="B1187" s="192" t="str">
        <x:v>n.</x:v>
      </x:c>
      <x:c r="C1187" s="194" t="str">
        <x:v>платник податків</x:v>
      </x:c>
      <x:c r="D1187" s="195" t="str">
        <x:v>Особа, яка підлягає оподаткуванню, зобов’язана або сплачує податок.</x:v>
      </x:c>
      <x:c r="E1187" s="192" t="str">
        <x:v>Oxford C1</x:v>
      </x:c>
      <x:c r="F1187" s="192" t="str">
        <x:v>Core</x:v>
      </x:c>
      <x:c r="G1187" s="192" t="str">
        <x:v>Not Started</x:v>
      </x:c>
      <x:c r="H1187" s="192" t="n">
        <x:v>0</x:v>
      </x:c>
    </x:row>
    <x:row r="1188" ht="56" customHeight="1">
      <x:c r="A1188" s="192" t="str">
        <x:v>tempt</x:v>
      </x:c>
      <x:c r="B1188" s="192" t="str">
        <x:v>v.</x:v>
      </x:c>
      <x:c r="C1188" s="194" t="str">
        <x:v>спокусити</x:v>
      </x:c>
      <x:c r="D1188" s="195" t="str">
        <x:v>Спровокувати когось на неправоту, особливо обіцяючи винагороду; заманювати.</x:v>
      </x:c>
      <x:c r="E1188" s="192" t="str">
        <x:v>Oxford C1</x:v>
      </x:c>
      <x:c r="F1188" s="192" t="str">
        <x:v>Core</x:v>
      </x:c>
      <x:c r="G1188" s="192" t="str">
        <x:v>Not Started</x:v>
      </x:c>
      <x:c r="H1188" s="192" t="n">
        <x:v>0</x:v>
      </x:c>
    </x:row>
    <x:row r="1189" ht="56" customHeight="1">
      <x:c r="A1189" s="192" t="str">
        <x:v>tenant</x:v>
      </x:c>
      <x:c r="B1189" s="192" t="str">
        <x:v>n.</x:v>
      </x:c>
      <x:c r="C1189" s="194" t="str">
        <x:v>орендар</x:v>
      </x:c>
      <x:c r="D1189" s="195" t="str">
        <x:v>Той, хто має право оренди (найму).</x:v>
      </x:c>
      <x:c r="E1189" s="192" t="str">
        <x:v>Oxford C1</x:v>
      </x:c>
      <x:c r="F1189" s="192" t="str">
        <x:v>Core</x:v>
      </x:c>
      <x:c r="G1189" s="192" t="str">
        <x:v>Not Started</x:v>
      </x:c>
      <x:c r="H1189" s="192" t="n">
        <x:v>0</x:v>
      </x:c>
    </x:row>
    <x:row r="1190" ht="56" customHeight="1">
      <x:c r="A1190" s="192" t="str">
        <x:v>tender</x:v>
      </x:c>
      <x:c r="B1190" s="192" t="str">
        <x:v>adj.</x:v>
      </x:c>
      <x:c r="C1190" s="194" t="str">
        <x:v>ніжний</x:v>
      </x:c>
      <x:c r="D1190" s="195" t="str">
        <x:v>Чутливий або болючий на дотик.</x:v>
      </x:c>
      <x:c r="E1190" s="192" t="str">
        <x:v>Oxford C1</x:v>
      </x:c>
      <x:c r="F1190" s="192" t="str">
        <x:v>Core</x:v>
      </x:c>
      <x:c r="G1190" s="192" t="str">
        <x:v>Not Started</x:v>
      </x:c>
      <x:c r="H1190" s="192" t="n">
        <x:v>0</x:v>
      </x:c>
    </x:row>
    <x:row r="1191" ht="56" customHeight="1">
      <x:c r="A1191" s="192" t="str">
        <x:v>tenure</x:v>
      </x:c>
      <x:c r="B1191" s="192" t="str">
        <x:v>n.</x:v>
      </x:c>
      <x:c r="C1191" s="194" t="str">
        <x:v>володіння</x:v>
      </x:c>
      <x:c r="D1191" s="195" t="str">
        <x:v>Статус постійної посади з посиленою безпекою роботи в академічній установі.</x:v>
      </x:c>
      <x:c r="E1191" s="192" t="str">
        <x:v>Oxford C1</x:v>
      </x:c>
      <x:c r="F1191" s="192" t="str">
        <x:v>Core</x:v>
      </x:c>
      <x:c r="G1191" s="192" t="str">
        <x:v>Not Started</x:v>
      </x:c>
      <x:c r="H1191" s="192" t="n">
        <x:v>0</x:v>
      </x:c>
    </x:row>
    <x:row r="1192" ht="56" customHeight="1">
      <x:c r="A1192" s="192" t="str">
        <x:v>terminal</x:v>
      </x:c>
      <x:c r="B1192" s="192" t="str">
        <x:v>adj.</x:v>
      </x:c>
      <x:c r="C1192" s="194" t="str">
        <x:v>кінцевий</x:v>
      </x:c>
      <x:c r="D1192" s="195" t="str">
        <x:v>летальний; що призвело до смерті.</x:v>
      </x:c>
      <x:c r="E1192" s="192" t="str">
        <x:v>Oxford C1</x:v>
      </x:c>
      <x:c r="F1192" s="192" t="str">
        <x:v>Core</x:v>
      </x:c>
      <x:c r="G1192" s="192" t="str">
        <x:v>Not Started</x:v>
      </x:c>
      <x:c r="H1192" s="192" t="n">
        <x:v>0</x:v>
      </x:c>
    </x:row>
    <x:row r="1193" ht="56" customHeight="1">
      <x:c r="A1193" s="192" t="str">
        <x:v>terminate</x:v>
      </x:c>
      <x:c r="B1193" s="192" t="str">
        <x:v>v.</x:v>
      </x:c>
      <x:c r="C1193" s="194" t="str">
        <x:v>припинити</x:v>
      </x:c>
      <x:c r="D1193" s="195" t="str">
        <x:v>Закінчити щось, особливо коли воно залишилося в незавершеному стані.</x:v>
      </x:c>
      <x:c r="E1193" s="192" t="str">
        <x:v>Oxford C1</x:v>
      </x:c>
      <x:c r="F1193" s="192" t="str">
        <x:v>Core</x:v>
      </x:c>
      <x:c r="G1193" s="192" t="str">
        <x:v>Not Started</x:v>
      </x:c>
      <x:c r="H1193" s="192" t="n">
        <x:v>0</x:v>
      </x:c>
    </x:row>
    <x:row r="1194" ht="56" customHeight="1">
      <x:c r="A1194" s="192" t="str">
        <x:v>terrain</x:v>
      </x:c>
      <x:c r="B1194" s="192" t="str">
        <x:v>n.</x:v>
      </x:c>
      <x:c r="C1194" s="194" t="str">
        <x:v>місцевість; рельєф</x:v>
      </x:c>
      <x:c r="D1194" s="195" t="str">
        <x:v>Ділянка землі або її особливості.</x:v>
      </x:c>
      <x:c r="E1194" s="192" t="str">
        <x:v>Oxford C1</x:v>
      </x:c>
      <x:c r="F1194" s="192" t="str">
        <x:v>Core</x:v>
      </x:c>
      <x:c r="G1194" s="192" t="str">
        <x:v>Not Started</x:v>
      </x:c>
      <x:c r="H1194" s="192" t="n">
        <x:v>0</x:v>
      </x:c>
    </x:row>
    <x:row r="1195" ht="56" customHeight="1">
      <x:c r="A1195" s="192" t="str">
        <x:v>terrific</x:v>
      </x:c>
      <x:c r="B1195" s="192" t="str">
        <x:v>adj.</x:v>
      </x:c>
      <x:c r="C1195" s="194" t="str">
        <x:v>чудовий</x:v>
      </x:c>
      <x:c r="D1195" s="195" t="str">
        <x:v>Надзвичайно добре; відмінно, дивовижно.</x:v>
      </x:c>
      <x:c r="E1195" s="192" t="str">
        <x:v>Oxford C1</x:v>
      </x:c>
      <x:c r="F1195" s="192" t="str">
        <x:v>Core</x:v>
      </x:c>
      <x:c r="G1195" s="192" t="str">
        <x:v>Not Started</x:v>
      </x:c>
      <x:c r="H1195" s="192" t="n">
        <x:v>0</x:v>
      </x:c>
    </x:row>
    <x:row r="1196" ht="56" customHeight="1">
      <x:c r="A1196" s="192" t="str">
        <x:v>testify</x:v>
      </x:c>
      <x:c r="B1196" s="192" t="str">
        <x:v>v.</x:v>
      </x:c>
      <x:c r="C1196" s="194" t="str">
        <x:v>свідчити</x:v>
      </x:c>
      <x:c r="D1196" s="195" t="str">
        <x:v>Робити заяву або давати свідчення під присягою.</x:v>
      </x:c>
      <x:c r="E1196" s="192" t="str">
        <x:v>Oxford C1</x:v>
      </x:c>
      <x:c r="F1196" s="192" t="str">
        <x:v>Core</x:v>
      </x:c>
      <x:c r="G1196" s="192" t="str">
        <x:v>Not Started</x:v>
      </x:c>
      <x:c r="H1196" s="192" t="n">
        <x:v>0</x:v>
      </x:c>
    </x:row>
    <x:row r="1197" ht="56" customHeight="1">
      <x:c r="A1197" s="192" t="str">
        <x:v>testimony</x:v>
      </x:c>
      <x:c r="B1197" s="192" t="str">
        <x:v>n.</x:v>
      </x:c>
      <x:c r="C1197" s="194" t="str">
        <x:v>свідчення</x:v>
      </x:c>
      <x:c r="D1197" s="195" t="str">
        <x:v>Розповідь про особистий досвід.</x:v>
      </x:c>
      <x:c r="E1197" s="192" t="str">
        <x:v>Oxford C1</x:v>
      </x:c>
      <x:c r="F1197" s="192" t="str">
        <x:v>Core</x:v>
      </x:c>
      <x:c r="G1197" s="192" t="str">
        <x:v>Not Started</x:v>
      </x:c>
      <x:c r="H1197" s="192" t="n">
        <x:v>0</x:v>
      </x:c>
    </x:row>
    <x:row r="1198" ht="56" customHeight="1">
      <x:c r="A1198" s="192" t="str">
        <x:v>texture</x:v>
      </x:c>
      <x:c r="B1198" s="192" t="str">
        <x:v>n.</x:v>
      </x:c>
      <x:c r="C1198" s="194" t="str">
        <x:v>текстура</x:v>
      </x:c>
      <x:c r="D1198" s="195" t="str">
        <x:v>Відчуття або форма поверхні або речовини; гладкість, шорсткість, м'якість і т. ін.</x:v>
      </x:c>
      <x:c r="E1198" s="192" t="str">
        <x:v>Oxford C1</x:v>
      </x:c>
      <x:c r="F1198" s="192" t="str">
        <x:v>Core</x:v>
      </x:c>
      <x:c r="G1198" s="192" t="str">
        <x:v>Not Started</x:v>
      </x:c>
      <x:c r="H1198" s="192" t="n">
        <x:v>0</x:v>
      </x:c>
    </x:row>
    <x:row r="1199" ht="56" customHeight="1">
      <x:c r="A1199" s="192" t="str">
        <x:v>thankfully</x:v>
      </x:c>
      <x:c r="B1199" s="192" t="str">
        <x:v>adv.</x:v>
      </x:c>
      <x:c r="C1199" s="194" t="str">
        <x:v>на щастя</x:v>
      </x:c>
      <x:c r="D1199" s="195" t="str">
        <x:v>У вдячний спосіб; дякуючи.</x:v>
      </x:c>
      <x:c r="E1199" s="192" t="str">
        <x:v>Oxford C1</x:v>
      </x:c>
      <x:c r="F1199" s="192" t="str">
        <x:v>Core</x:v>
      </x:c>
      <x:c r="G1199" s="192" t="str">
        <x:v>Not Started</x:v>
      </x:c>
      <x:c r="H1199" s="192" t="n">
        <x:v>0</x:v>
      </x:c>
    </x:row>
    <x:row r="1200" ht="56" customHeight="1">
      <x:c r="A1200" s="192" t="str">
        <x:v>theatrical</x:v>
      </x:c>
      <x:c r="B1200" s="192" t="str">
        <x:v>adj.</x:v>
      </x:c>
      <x:c r="C1200" s="194" t="str">
        <x:v>театральний</x:v>
      </x:c>
      <x:c r="D1200" s="195" t="str">
        <x:v>Щодо театру або пов'язане з ним.</x:v>
      </x:c>
      <x:c r="E1200" s="192" t="str">
        <x:v>Oxford C1</x:v>
      </x:c>
      <x:c r="F1200" s="192" t="str">
        <x:v>Core</x:v>
      </x:c>
      <x:c r="G1200" s="192" t="str">
        <x:v>Not Started</x:v>
      </x:c>
      <x:c r="H1200" s="192" t="n">
        <x:v>0</x:v>
      </x:c>
    </x:row>
    <x:row r="1201" ht="56" customHeight="1">
      <x:c r="A1201" s="192" t="str">
        <x:v>theology</x:v>
      </x:c>
      <x:c r="B1201" s="192" t="str">
        <x:v>n.</x:v>
      </x:c>
      <x:c r="C1201" s="194" t="str">
        <x:v>теологія</x:v>
      </x:c>
      <x:c r="D1201" s="195" t="str">
        <x:v>Вивчення Бога, бога або богів; і про правдивість релігії взагалі.</x:v>
      </x:c>
      <x:c r="E1201" s="192" t="str">
        <x:v>Oxford C1</x:v>
      </x:c>
      <x:c r="F1201" s="192" t="str">
        <x:v>Core</x:v>
      </x:c>
      <x:c r="G1201" s="192" t="str">
        <x:v>Not Started</x:v>
      </x:c>
      <x:c r="H1201" s="192" t="n">
        <x:v>0</x:v>
      </x:c>
    </x:row>
    <x:row r="1202" ht="56" customHeight="1">
      <x:c r="A1202" s="192" t="str">
        <x:v>theoretical</x:v>
      </x:c>
      <x:c r="B1202" s="192" t="str">
        <x:v>adj.</x:v>
      </x:c>
      <x:c r="C1202" s="194" t="str">
        <x:v>теоретичний</x:v>
      </x:c>
      <x:c r="D1202" s="195" t="str">
        <x:v>Теорія або пов'язана з нею; анотація; не емпіричний.</x:v>
      </x:c>
      <x:c r="E1202" s="192" t="str">
        <x:v>Oxford C1</x:v>
      </x:c>
      <x:c r="F1202" s="192" t="str">
        <x:v>Core</x:v>
      </x:c>
      <x:c r="G1202" s="192" t="str">
        <x:v>Not Started</x:v>
      </x:c>
      <x:c r="H1202" s="192" t="n">
        <x:v>0</x:v>
      </x:c>
    </x:row>
    <x:row r="1203" ht="56" customHeight="1">
      <x:c r="A1203" s="192" t="str">
        <x:v>thereafter</x:v>
      </x:c>
      <x:c r="B1203" s="192" t="str">
        <x:v>adv.</x:v>
      </x:c>
      <x:c r="C1203" s="194" t="str">
        <x:v>потім</x:v>
      </x:c>
      <x:c r="D1203" s="195" t="str">
        <x:v>Після того, відтоді; відтоді.</x:v>
      </x:c>
      <x:c r="E1203" s="192" t="str">
        <x:v>Oxford C1</x:v>
      </x:c>
      <x:c r="F1203" s="192" t="str">
        <x:v>Core</x:v>
      </x:c>
      <x:c r="G1203" s="192" t="str">
        <x:v>Not Started</x:v>
      </x:c>
      <x:c r="H1203" s="192" t="n">
        <x:v>0</x:v>
      </x:c>
    </x:row>
    <x:row r="1204" ht="56" customHeight="1">
      <x:c r="A1204" s="192" t="str">
        <x:v>thereby</x:v>
      </x:c>
      <x:c r="B1204" s="192" t="str">
        <x:v>adv.</x:v>
      </x:c>
      <x:c r="C1204" s="194" t="str">
        <x:v>тим самим</x:v>
      </x:c>
      <x:c r="D1204" s="195" t="str">
        <x:v>За ним; цим; таким чином або як наслідок цього.</x:v>
      </x:c>
      <x:c r="E1204" s="192" t="str">
        <x:v>Oxford C1 + AWL 8</x:v>
      </x:c>
      <x:c r="F1204" s="192" t="str">
        <x:v>High</x:v>
      </x:c>
      <x:c r="G1204" s="192" t="str">
        <x:v>Not Started</x:v>
      </x:c>
      <x:c r="H1204" s="192" t="n">
        <x:v>0</x:v>
      </x:c>
    </x:row>
    <x:row r="1205" ht="56" customHeight="1">
      <x:c r="A1205" s="192" t="str">
        <x:v>thoughtful</x:v>
      </x:c>
      <x:c r="B1205" s="192" t="str">
        <x:v>adj.</x:v>
      </x:c>
      <x:c r="C1205" s="194" t="str">
        <x:v>вдумливий</x:v>
      </x:c>
      <x:c r="D1205" s="195" t="str">
        <x:v>Демонстрація доброзичливості або поваги до інших.</x:v>
      </x:c>
      <x:c r="E1205" s="192" t="str">
        <x:v>Oxford C1</x:v>
      </x:c>
      <x:c r="F1205" s="192" t="str">
        <x:v>Core</x:v>
      </x:c>
      <x:c r="G1205" s="192" t="str">
        <x:v>Not Started</x:v>
      </x:c>
      <x:c r="H1205" s="192" t="n">
        <x:v>0</x:v>
      </x:c>
    </x:row>
    <x:row r="1206" ht="56" customHeight="1">
      <x:c r="A1206" s="192" t="str">
        <x:v>thought-provoking</x:v>
      </x:c>
      <x:c r="B1206" s="192" t="str">
        <x:v>adj.</x:v>
      </x:c>
      <x:c r="C1206" s="194" t="str">
        <x:v>що спонукає до роздумів</x:v>
      </x:c>
      <x:c r="D1206" s="195" t="str">
        <x:v>Цікавий у такий спосіб, що ставить під сумнів чиїсь переконання, погляди чи точку зору.</x:v>
      </x:c>
      <x:c r="E1206" s="192" t="str">
        <x:v>Oxford C1</x:v>
      </x:c>
      <x:c r="F1206" s="192" t="str">
        <x:v>Core</x:v>
      </x:c>
      <x:c r="G1206" s="192" t="str">
        <x:v>Not Started</x:v>
      </x:c>
      <x:c r="H1206" s="192" t="n">
        <x:v>0</x:v>
      </x:c>
    </x:row>
    <x:row r="1207" ht="56" customHeight="1">
      <x:c r="A1207" s="192" t="str">
        <x:v>thread</x:v>
      </x:c>
      <x:c r="B1207" s="192" t="str">
        <x:v>n.</x:v>
      </x:c>
      <x:c r="C1207" s="194" t="str">
        <x:v>нитка</x:v>
      </x:c>
      <x:c r="D1207" s="195" t="str">
        <x:v>Шнур, утворений шляхом прядіння або скручування разом текстильних волокон або ниток в одне або кілька безперервних ниток, зазвичай використовується в рукоділлі.</x:v>
      </x:c>
      <x:c r="E1207" s="192" t="str">
        <x:v>Oxford C1</x:v>
      </x:c>
      <x:c r="F1207" s="192" t="str">
        <x:v>Core</x:v>
      </x:c>
      <x:c r="G1207" s="192" t="str">
        <x:v>Not Started</x:v>
      </x:c>
      <x:c r="H1207" s="192" t="n">
        <x:v>0</x:v>
      </x:c>
    </x:row>
    <x:row r="1208" ht="56" customHeight="1">
      <x:c r="A1208" s="192" t="str">
        <x:v>threshold</x:v>
      </x:c>
      <x:c r="B1208" s="192" t="str">
        <x:v>n.</x:v>
      </x:c>
      <x:c r="C1208" s="194" t="str">
        <x:v>поріг</x:v>
      </x:c>
      <x:c r="D1208" s="195" t="str">
        <x:v>Найнижча частина дверного отвору, яку можна перетинати, щоб увійти; підвіконня.</x:v>
      </x:c>
      <x:c r="E1208" s="192" t="str">
        <x:v>Oxford C1</x:v>
      </x:c>
      <x:c r="F1208" s="192" t="str">
        <x:v>Core</x:v>
      </x:c>
      <x:c r="G1208" s="192" t="str">
        <x:v>Not Started</x:v>
      </x:c>
      <x:c r="H1208" s="192" t="n">
        <x:v>0</x:v>
      </x:c>
    </x:row>
    <x:row r="1209" ht="56" customHeight="1">
      <x:c r="A1209" s="192" t="str">
        <x:v>thrilled</x:v>
      </x:c>
      <x:c r="B1209" s="192" t="str">
        <x:v>adj.</x:v>
      </x:c>
      <x:c r="C1209" s="194" t="str">
        <x:v>схвильований</x:v>
      </x:c>
      <x:c r="D1209" s="195" t="str">
        <x:v>Надзвичайно схвильований або в захваті.</x:v>
      </x:c>
      <x:c r="E1209" s="192" t="str">
        <x:v>Oxford C1</x:v>
      </x:c>
      <x:c r="F1209" s="192" t="str">
        <x:v>Core</x:v>
      </x:c>
      <x:c r="G1209" s="192" t="str">
        <x:v>Not Started</x:v>
      </x:c>
      <x:c r="H1209" s="192" t="n">
        <x:v>0</x:v>
      </x:c>
    </x:row>
    <x:row r="1210" ht="56" customHeight="1">
      <x:c r="A1210" s="192" t="str">
        <x:v>thrive</x:v>
      </x:c>
      <x:c r="B1210" s="192" t="str">
        <x:v>v.</x:v>
      </x:c>
      <x:c r="C1210" s="194" t="str">
        <x:v>процвітати</x:v>
      </x:c>
      <x:c r="D1210" s="195" t="str">
        <x:v>Для збільшення багатства або успіху; процвітати, бути прибутковим.</x:v>
      </x:c>
      <x:c r="E1210" s="192" t="str">
        <x:v>Oxford C1</x:v>
      </x:c>
      <x:c r="F1210" s="192" t="str">
        <x:v>Core</x:v>
      </x:c>
      <x:c r="G1210" s="192" t="str">
        <x:v>Not Started</x:v>
      </x:c>
      <x:c r="H1210" s="192" t="n">
        <x:v>0</x:v>
      </x:c>
    </x:row>
    <x:row r="1211" ht="56" customHeight="1">
      <x:c r="A1211" s="192" t="str">
        <x:v>tide</x:v>
      </x:c>
      <x:c r="B1211" s="192" t="str">
        <x:v>n.</x:v>
      </x:c>
      <x:c r="C1211" s="194" t="str">
        <x:v>приплив</x:v>
      </x:c>
      <x:c r="D1211" s="195" t="str">
        <x:v>Добове коливання рівня моря, викликане гравітаційним впливом Місяця і Сонця.</x:v>
      </x:c>
      <x:c r="E1211" s="192" t="str">
        <x:v>Oxford C1</x:v>
      </x:c>
      <x:c r="F1211" s="192" t="str">
        <x:v>Core</x:v>
      </x:c>
      <x:c r="G1211" s="192" t="str">
        <x:v>Not Started</x:v>
      </x:c>
      <x:c r="H1211" s="192" t="n">
        <x:v>0</x:v>
      </x:c>
    </x:row>
    <x:row r="1212" ht="56" customHeight="1">
      <x:c r="A1212" s="192" t="str">
        <x:v>tighten</x:v>
      </x:c>
      <x:c r="B1212" s="192" t="str">
        <x:v>v.</x:v>
      </x:c>
      <x:c r="C1212" s="194" t="str">
        <x:v>затягувати</x:v>
      </x:c>
      <x:c r="D1212" s="195" t="str">
        <x:v>Зробити щільніше.</x:v>
      </x:c>
      <x:c r="E1212" s="192" t="str">
        <x:v>Oxford C1</x:v>
      </x:c>
      <x:c r="F1212" s="192" t="str">
        <x:v>Core</x:v>
      </x:c>
      <x:c r="G1212" s="192" t="str">
        <x:v>Not Started</x:v>
      </x:c>
      <x:c r="H1212" s="192" t="n">
        <x:v>0</x:v>
      </x:c>
    </x:row>
    <x:row r="1213" ht="56" customHeight="1">
      <x:c r="A1213" s="192" t="str">
        <x:v>timber</x:v>
      </x:c>
      <x:c r="B1213" s="192" t="str">
        <x:v>n.</x:v>
      </x:c>
      <x:c r="C1213" s="194" t="str">
        <x:v>деревина</x:v>
      </x:c>
      <x:c r="D1213" s="195" t="str">
        <x:v>Дерева в лісі розглядаються як джерело деревини.</x:v>
      </x:c>
      <x:c r="E1213" s="192" t="str">
        <x:v>Oxford C1</x:v>
      </x:c>
      <x:c r="F1213" s="192" t="str">
        <x:v>Core</x:v>
      </x:c>
      <x:c r="G1213" s="192" t="str">
        <x:v>Not Started</x:v>
      </x:c>
      <x:c r="H1213" s="192" t="n">
        <x:v>0</x:v>
      </x:c>
    </x:row>
    <x:row r="1214" ht="56" customHeight="1">
      <x:c r="A1214" s="192" t="str">
        <x:v>timely</x:v>
      </x:c>
      <x:c r="B1214" s="192" t="str">
        <x:v>adj.</x:v>
      </x:c>
      <x:c r="C1214" s="194" t="str">
        <x:v>вчасно</x:v>
      </x:c>
      <x:c r="D1214" s="195" t="str">
        <x:v>Зроблено в належний час або в межах належного часу; підказка.</x:v>
      </x:c>
      <x:c r="E1214" s="192" t="str">
        <x:v>Oxford C1</x:v>
      </x:c>
      <x:c r="F1214" s="192" t="str">
        <x:v>Core</x:v>
      </x:c>
      <x:c r="G1214" s="192" t="str">
        <x:v>Not Started</x:v>
      </x:c>
      <x:c r="H1214" s="192" t="n">
        <x:v>0</x:v>
      </x:c>
    </x:row>
    <x:row r="1215" ht="56" customHeight="1">
      <x:c r="A1215" s="192" t="str">
        <x:v>tobacco</x:v>
      </x:c>
      <x:c r="B1215" s="192" t="str">
        <x:v>n.</x:v>
      </x:c>
      <x:c r="C1215" s="194" t="str">
        <x:v>тютюн</x:v>
      </x:c>
      <x:c r="D1215" s="195" t="str">
        <x:v>Листя Nicotiana tabacum та деяких інших видів культивують і збирають для виготовлення сигарет, сигар, нюхального тютюну, для куріння в трубках або для жування.</x:v>
      </x:c>
      <x:c r="E1215" s="192" t="str">
        <x:v>Oxford C1</x:v>
      </x:c>
      <x:c r="F1215" s="192" t="str">
        <x:v>Core</x:v>
      </x:c>
      <x:c r="G1215" s="192" t="str">
        <x:v>Not Started</x:v>
      </x:c>
      <x:c r="H1215" s="192" t="n">
        <x:v>0</x:v>
      </x:c>
    </x:row>
    <x:row r="1216" ht="56" customHeight="1">
      <x:c r="A1216" s="192" t="str">
        <x:v>tolerance</x:v>
      </x:c>
      <x:c r="B1216" s="192" t="str">
        <x:v>n.</x:v>
      </x:c>
      <x:c r="C1216" s="194" t="str">
        <x:v>толерантність</x:v>
      </x:c>
      <x:c r="D1216" s="195" t="str">
        <x:v>Здатність або практика толерантності; прийняття або терпляче ставлення до переконань, думок або практики інших; відсутність фанатизму.</x:v>
      </x:c>
      <x:c r="E1216" s="192" t="str">
        <x:v>Oxford C1</x:v>
      </x:c>
      <x:c r="F1216" s="192" t="str">
        <x:v>Core</x:v>
      </x:c>
      <x:c r="G1216" s="192" t="str">
        <x:v>Not Started</x:v>
      </x:c>
      <x:c r="H1216" s="192" t="n">
        <x:v>0</x:v>
      </x:c>
    </x:row>
    <x:row r="1217" ht="56" customHeight="1">
      <x:c r="A1217" s="192" t="str">
        <x:v>tolerate</x:v>
      </x:c>
      <x:c r="B1217" s="192" t="str">
        <x:v>v.</x:v>
      </x:c>
      <x:c r="C1217" s="194" t="str">
        <x:v>терпіти</x:v>
      </x:c>
      <x:c r="D1217" s="195" t="str">
        <x:v>Дозволити або дозволити без явного схвалення, як правило, якщо це сприймається як негативне.</x:v>
      </x:c>
      <x:c r="E1217" s="192" t="str">
        <x:v>Oxford C1</x:v>
      </x:c>
      <x:c r="F1217" s="192" t="str">
        <x:v>Core</x:v>
      </x:c>
      <x:c r="G1217" s="192" t="str">
        <x:v>Not Started</x:v>
      </x:c>
      <x:c r="H1217" s="192" t="n">
        <x:v>0</x:v>
      </x:c>
    </x:row>
    <x:row r="1218" ht="56" customHeight="1">
      <x:c r="A1218" s="192" t="str">
        <x:v>toll</x:v>
      </x:c>
      <x:c r="B1218" s="192" t="str">
        <x:v>n.</x:v>
      </x:c>
      <x:c r="C1218" s="194" t="str">
        <x:v>мито</x:v>
      </x:c>
      <x:c r="D1218" s="195" t="str">
        <x:v>Плата, сплачена за певну свободу чи привілей, зокрема за привілей проходити по мосту чи шосе, або за право продавати товари на ярмарку, ринку тощо.</x:v>
      </x:c>
      <x:c r="E1218" s="192" t="str">
        <x:v>Oxford C1</x:v>
      </x:c>
      <x:c r="F1218" s="192" t="str">
        <x:v>Core</x:v>
      </x:c>
      <x:c r="G1218" s="192" t="str">
        <x:v>Not Started</x:v>
      </x:c>
      <x:c r="H1218" s="192" t="n">
        <x:v>0</x:v>
      </x:c>
    </x:row>
    <x:row r="1219" ht="56" customHeight="1">
      <x:c r="A1219" s="192" t="str">
        <x:v>top</x:v>
      </x:c>
      <x:c r="B1219" s="192" t="str">
        <x:v>v.</x:v>
      </x:c>
      <x:c r="C1219" s="194" t="str">
        <x:v>верх</x:v>
      </x:c>
      <x:c r="D1219" s="195" t="str">
        <x:v>Покрити зверху або з топом.</x:v>
      </x:c>
      <x:c r="E1219" s="192" t="str">
        <x:v>Oxford C1</x:v>
      </x:c>
      <x:c r="F1219" s="192" t="str">
        <x:v>Core</x:v>
      </x:c>
      <x:c r="G1219" s="192" t="str">
        <x:v>Not Started</x:v>
      </x:c>
      <x:c r="H1219" s="192" t="n">
        <x:v>0</x:v>
      </x:c>
    </x:row>
    <x:row r="1220" ht="56" customHeight="1">
      <x:c r="A1220" s="192" t="str">
        <x:v>torture</x:v>
      </x:c>
      <x:c r="B1220" s="192" t="str">
        <x:v>n., v.</x:v>
      </x:c>
      <x:c r="C1220" s="194" t="str">
        <x:v>тортури</x:v>
      </x:c>
      <x:c r="D1220" s="195" t="str">
        <x:v>Навмисно заподіяти (комусь) сильний біль або страждання, зазвичай з метою вимушування зізнань або покарання.</x:v>
      </x:c>
      <x:c r="E1220" s="192" t="str">
        <x:v>Oxford C1</x:v>
      </x:c>
      <x:c r="F1220" s="192" t="str">
        <x:v>Core</x:v>
      </x:c>
      <x:c r="G1220" s="192" t="str">
        <x:v>Not Started</x:v>
      </x:c>
      <x:c r="H1220" s="192" t="n">
        <x:v>0</x:v>
      </x:c>
    </x:row>
    <x:row r="1221" ht="56" customHeight="1">
      <x:c r="A1221" s="192" t="str">
        <x:v>toss</x:v>
      </x:c>
      <x:c r="B1221" s="192" t="str">
        <x:v>v.</x:v>
      </x:c>
      <x:c r="C1221" s="194" t="str">
        <x:v>кинути</x:v>
      </x:c>
      <x:c r="D1221" s="195" t="str">
        <x:v>Кидати з початковим напрямком вгору.</x:v>
      </x:c>
      <x:c r="E1221" s="192" t="str">
        <x:v>Oxford C1</x:v>
      </x:c>
      <x:c r="F1221" s="192" t="str">
        <x:v>Core</x:v>
      </x:c>
      <x:c r="G1221" s="192" t="str">
        <x:v>Not Started</x:v>
      </x:c>
      <x:c r="H1221" s="192" t="n">
        <x:v>0</x:v>
      </x:c>
    </x:row>
    <x:row r="1222" ht="56" customHeight="1">
      <x:c r="A1222" s="192" t="str">
        <x:v>total</x:v>
      </x:c>
      <x:c r="B1222" s="192" t="str">
        <x:v>v.</x:v>
      </x:c>
      <x:c r="C1222" s="194" t="str">
        <x:v>всього</x:v>
      </x:c>
      <x:c r="D1222" s="195" t="str">
        <x:v>Дорівнює загальній сумі; складати.</x:v>
      </x:c>
      <x:c r="E1222" s="192" t="str">
        <x:v>Oxford C1</x:v>
      </x:c>
      <x:c r="F1222" s="192" t="str">
        <x:v>Core</x:v>
      </x:c>
      <x:c r="G1222" s="192" t="str">
        <x:v>Not Started</x:v>
      </x:c>
      <x:c r="H1222" s="192" t="n">
        <x:v>0</x:v>
      </x:c>
    </x:row>
    <x:row r="1223" ht="56" customHeight="1">
      <x:c r="A1223" s="192" t="str">
        <x:v>toxic</x:v>
      </x:c>
      <x:c r="B1223" s="192" t="str">
        <x:v>adj.</x:v>
      </x:c>
      <x:c r="C1223" s="194" t="str">
        <x:v>токсичний</x:v>
      </x:c>
      <x:c r="D1223" s="195" t="str">
        <x:v>Сильно негативний або шкідливий.</x:v>
      </x:c>
      <x:c r="E1223" s="192" t="str">
        <x:v>Oxford C1</x:v>
      </x:c>
      <x:c r="F1223" s="192" t="str">
        <x:v>High</x:v>
      </x:c>
      <x:c r="G1223" s="192" t="str">
        <x:v>Not Started</x:v>
      </x:c>
      <x:c r="H1223" s="192" t="n">
        <x:v>0</x:v>
      </x:c>
    </x:row>
    <x:row r="1224" ht="56" customHeight="1">
      <x:c r="A1224" s="192" t="str">
        <x:v>trace</x:v>
      </x:c>
      <x:c r="B1224" s="192" t="str">
        <x:v>n.</x:v>
      </x:c>
      <x:c r="C1224" s="194" t="str">
        <x:v>слід</x:v>
      </x:c>
      <x:c r="D1224" s="195" t="str">
        <x:v>Акт трасування.</x:v>
      </x:c>
      <x:c r="E1224" s="192" t="str">
        <x:v>Oxford C1 + AWL 6</x:v>
      </x:c>
      <x:c r="F1224" s="192" t="str">
        <x:v>High</x:v>
      </x:c>
      <x:c r="G1224" s="192" t="str">
        <x:v>Not Started</x:v>
      </x:c>
      <x:c r="H1224" s="192" t="n">
        <x:v>0</x:v>
      </x:c>
    </x:row>
    <x:row r="1225" ht="56" customHeight="1">
      <x:c r="A1225" s="192" t="str">
        <x:v>trademark</x:v>
      </x:c>
      <x:c r="B1225" s="192" t="str">
        <x:v>n.</x:v>
      </x:c>
      <x:c r="C1225" s="194" t="str">
        <x:v>товарний знак</x:v>
      </x:c>
      <x:c r="D1225" s="195" t="str">
        <x:v>Слово, символ або фраза, які використовуються для ідентифікації продукту певної компанії та відрізняють його від продуктів інших компаній.</x:v>
      </x:c>
      <x:c r="E1225" s="192" t="str">
        <x:v>Oxford C1</x:v>
      </x:c>
      <x:c r="F1225" s="192" t="str">
        <x:v>Core</x:v>
      </x:c>
      <x:c r="G1225" s="192" t="str">
        <x:v>Not Started</x:v>
      </x:c>
      <x:c r="H1225" s="192" t="n">
        <x:v>0</x:v>
      </x:c>
    </x:row>
    <x:row r="1226" ht="56" customHeight="1">
      <x:c r="A1226" s="192" t="str">
        <x:v>trail</x:v>
      </x:c>
      <x:c r="B1226" s="192" t="str">
        <x:v>n., v.</x:v>
      </x:c>
      <x:c r="C1226" s="194" t="str">
        <x:v>стежка</x:v>
      </x:c>
      <x:c r="D1226" s="195" t="str">
        <x:v>Слідувати за (кимось, чимось); хвостити (когось, що).</x:v>
      </x:c>
      <x:c r="E1226" s="192" t="str">
        <x:v>Oxford C1</x:v>
      </x:c>
      <x:c r="F1226" s="192" t="str">
        <x:v>Core</x:v>
      </x:c>
      <x:c r="G1226" s="192" t="str">
        <x:v>Not Started</x:v>
      </x:c>
      <x:c r="H1226" s="192" t="n">
        <x:v>0</x:v>
      </x:c>
    </x:row>
    <x:row r="1227" ht="56" customHeight="1">
      <x:c r="A1227" s="192" t="str">
        <x:v>trailer</x:v>
      </x:c>
      <x:c r="B1227" s="192" t="str">
        <x:v>n.</x:v>
      </x:c>
      <x:c r="C1227" s="194" t="str">
        <x:v>трейлер</x:v>
      </x:c>
      <x:c r="D1227" s="195" t="str">
        <x:v>Безмоторний колісний транспортний засіб (не караван або кемпер), який буксирується позаду іншого та використовується для перевезення обладнання тощо, яке не можна перевозити на передньому транспортному засобі.</x:v>
      </x:c>
      <x:c r="E1227" s="192" t="str">
        <x:v>Oxford C1</x:v>
      </x:c>
      <x:c r="F1227" s="192" t="str">
        <x:v>Core</x:v>
      </x:c>
      <x:c r="G1227" s="192" t="str">
        <x:v>Not Started</x:v>
      </x:c>
      <x:c r="H1227" s="192" t="n">
        <x:v>0</x:v>
      </x:c>
    </x:row>
    <x:row r="1228" ht="56" customHeight="1">
      <x:c r="A1228" s="192" t="str">
        <x:v>transaction</x:v>
      </x:c>
      <x:c r="B1228" s="192" t="str">
        <x:v>n.</x:v>
      </x:c>
      <x:c r="C1228" s="194" t="str">
        <x:v>транзакція</x:v>
      </x:c>
      <x:c r="D1228" s="195" t="str">
        <x:v>Обмін або торгівля ідеями, грошима, товарами тощо.</x:v>
      </x:c>
      <x:c r="E1228" s="192" t="str">
        <x:v>Oxford C1</x:v>
      </x:c>
      <x:c r="F1228" s="192" t="str">
        <x:v>Core</x:v>
      </x:c>
      <x:c r="G1228" s="192" t="str">
        <x:v>Not Started</x:v>
      </x:c>
      <x:c r="H1228" s="192" t="n">
        <x:v>0</x:v>
      </x:c>
    </x:row>
    <x:row r="1229" ht="56" customHeight="1">
      <x:c r="A1229" s="192" t="str">
        <x:v>transcript</x:v>
      </x:c>
      <x:c r="B1229" s="192" t="str">
        <x:v>n.</x:v>
      </x:c>
      <x:c r="C1229" s="194" t="str">
        <x:v>стенограма</x:v>
      </x:c>
      <x:c r="D1229" s="195" t="str">
        <x:v>Щось, що було транскрибовано; письмо або твір, що складається з тих самих слів, що й оригінал; письмова копія.</x:v>
      </x:c>
      <x:c r="E1229" s="192" t="str">
        <x:v>Oxford C1</x:v>
      </x:c>
      <x:c r="F1229" s="192" t="str">
        <x:v>Core</x:v>
      </x:c>
      <x:c r="G1229" s="192" t="str">
        <x:v>Not Started</x:v>
      </x:c>
      <x:c r="H1229" s="192" t="n">
        <x:v>0</x:v>
      </x:c>
    </x:row>
    <x:row r="1230" ht="56" customHeight="1">
      <x:c r="A1230" s="192" t="str">
        <x:v>transformation</x:v>
      </x:c>
      <x:c r="B1230" s="192" t="str">
        <x:v>n.</x:v>
      </x:c>
      <x:c r="C1230" s="194" t="str">
        <x:v>перетворення</x:v>
      </x:c>
      <x:c r="D1230" s="195" t="str">
        <x:v>Акт перетворення або стан перетворення.</x:v>
      </x:c>
      <x:c r="E1230" s="192" t="str">
        <x:v>Oxford C1 + AWL 6</x:v>
      </x:c>
      <x:c r="F1230" s="192" t="str">
        <x:v>High</x:v>
      </x:c>
      <x:c r="G1230" s="192" t="str">
        <x:v>Not Started</x:v>
      </x:c>
      <x:c r="H1230" s="192" t="n">
        <x:v>0</x:v>
      </x:c>
    </x:row>
    <x:row r="1231" ht="56" customHeight="1">
      <x:c r="A1231" s="192" t="str">
        <x:v>transit</x:v>
      </x:c>
      <x:c r="B1231" s="192" t="str">
        <x:v>n.</x:v>
      </x:c>
      <x:c r="C1231" s="194" t="str">
        <x:v>транзит</x:v>
      </x:c>
      <x:c r="D1231" s="195" t="str">
        <x:v>Перевезення людей або товарів з одного місця в інше, особливо в системі громадського транспорту; транспортні засоби, що використовуються для таких перевезень.</x:v>
      </x:c>
      <x:c r="E1231" s="192" t="str">
        <x:v>Oxford C1</x:v>
      </x:c>
      <x:c r="F1231" s="192" t="str">
        <x:v>Core</x:v>
      </x:c>
      <x:c r="G1231" s="192" t="str">
        <x:v>Not Started</x:v>
      </x:c>
      <x:c r="H1231" s="192" t="n">
        <x:v>0</x:v>
      </x:c>
    </x:row>
    <x:row r="1232" ht="56" customHeight="1">
      <x:c r="A1232" s="192" t="str">
        <x:v>transmission</x:v>
      </x:c>
      <x:c r="B1232" s="192" t="str">
        <x:v>n.</x:v>
      </x:c>
      <x:c r="C1232" s="194" t="str">
        <x:v>передача</x:v>
      </x:c>
      <x:c r="D1232" s="195" t="str">
        <x:v>Акт передачі, напр. даних (сигналів) або електроенергії.</x:v>
      </x:c>
      <x:c r="E1232" s="192" t="str">
        <x:v>Oxford C1 + AWL 7</x:v>
      </x:c>
      <x:c r="F1232" s="192" t="str">
        <x:v>High</x:v>
      </x:c>
      <x:c r="G1232" s="192" t="str">
        <x:v>Not Started</x:v>
      </x:c>
      <x:c r="H1232" s="192" t="n">
        <x:v>0</x:v>
      </x:c>
    </x:row>
    <x:row r="1233" ht="56" customHeight="1">
      <x:c r="A1233" s="192" t="str">
        <x:v>transparency</x:v>
      </x:c>
      <x:c r="B1233" s="192" t="str">
        <x:v>n.</x:v>
      </x:c>
      <x:c r="C1233" s="194" t="str">
        <x:v>прозорість</x:v>
      </x:c>
      <x:c r="D1233" s="195" t="str">
        <x:v>відкритість; доступність для перевірки.</x:v>
      </x:c>
      <x:c r="E1233" s="192" t="str">
        <x:v>Oxford C1</x:v>
      </x:c>
      <x:c r="F1233" s="192" t="str">
        <x:v>Core</x:v>
      </x:c>
      <x:c r="G1233" s="192" t="str">
        <x:v>Not Started</x:v>
      </x:c>
      <x:c r="H1233" s="192" t="n">
        <x:v>0</x:v>
      </x:c>
    </x:row>
    <x:row r="1234" ht="56" customHeight="1">
      <x:c r="A1234" s="192" t="str">
        <x:v>transparent</x:v>
      </x:c>
      <x:c r="B1234" s="192" t="str">
        <x:v>adj.</x:v>
      </x:c>
      <x:c r="C1234" s="194" t="str">
        <x:v>прозорий</x:v>
      </x:c>
      <x:c r="D1234" s="195" t="str">
        <x:v>Прозорий, прозорий; має властивість, що світло проходить крізь нього майже без перешкод, так що можна чітко бачити крізь нього.</x:v>
      </x:c>
      <x:c r="E1234" s="192" t="str">
        <x:v>Oxford C1</x:v>
      </x:c>
      <x:c r="F1234" s="192" t="str">
        <x:v>Core</x:v>
      </x:c>
      <x:c r="G1234" s="192" t="str">
        <x:v>Not Started</x:v>
      </x:c>
      <x:c r="H1234" s="192" t="n">
        <x:v>0</x:v>
      </x:c>
    </x:row>
    <x:row r="1235" ht="56" customHeight="1">
      <x:c r="A1235" s="192" t="str">
        <x:v>trauma</x:v>
      </x:c>
      <x:c r="B1235" s="192" t="str">
        <x:v>n.</x:v>
      </x:c>
      <x:c r="C1235" s="194" t="str">
        <x:v>травма</x:v>
      </x:c>
      <x:c r="D1235" s="195" t="str">
        <x:v>Емоційна рана, що веде до психологічної травми.</x:v>
      </x:c>
      <x:c r="E1235" s="192" t="str">
        <x:v>Oxford C1</x:v>
      </x:c>
      <x:c r="F1235" s="192" t="str">
        <x:v>Core</x:v>
      </x:c>
      <x:c r="G1235" s="192" t="str">
        <x:v>Not Started</x:v>
      </x:c>
      <x:c r="H1235" s="192" t="n">
        <x:v>0</x:v>
      </x:c>
    </x:row>
    <x:row r="1236" ht="56" customHeight="1">
      <x:c r="A1236" s="192" t="str">
        <x:v>treaty</x:v>
      </x:c>
      <x:c r="B1236" s="192" t="str">
        <x:v>n.</x:v>
      </x:c>
      <x:c r="C1236" s="194" t="str">
        <x:v>договір</x:v>
      </x:c>
      <x:c r="D1236" s="195" t="str">
        <x:v>Формальна обов'язкова угода, укладена суб'єктами міжнародного права, а саме державами та міжнародними організаціями; конвенція, пакт.</x:v>
      </x:c>
      <x:c r="E1236" s="192" t="str">
        <x:v>Oxford C1</x:v>
      </x:c>
      <x:c r="F1236" s="192" t="str">
        <x:v>Core</x:v>
      </x:c>
      <x:c r="G1236" s="192" t="str">
        <x:v>Not Started</x:v>
      </x:c>
      <x:c r="H1236" s="192" t="n">
        <x:v>0</x:v>
      </x:c>
    </x:row>
    <x:row r="1237" ht="56" customHeight="1">
      <x:c r="A1237" s="192" t="str">
        <x:v>tremendous</x:v>
      </x:c>
      <x:c r="B1237" s="192" t="str">
        <x:v>adj.</x:v>
      </x:c>
      <x:c r="C1237" s="194" t="str">
        <x:v>величезний</x:v>
      </x:c>
      <x:c r="D1237" s="195" t="str">
        <x:v>Вирізняється своїми розмірами, потужністю чи досконалістю.</x:v>
      </x:c>
      <x:c r="E1237" s="192" t="str">
        <x:v>Oxford C1</x:v>
      </x:c>
      <x:c r="F1237" s="192" t="str">
        <x:v>Core</x:v>
      </x:c>
      <x:c r="G1237" s="192" t="str">
        <x:v>Not Started</x:v>
      </x:c>
      <x:c r="H1237" s="192" t="n">
        <x:v>0</x:v>
      </x:c>
    </x:row>
    <x:row r="1238" ht="56" customHeight="1">
      <x:c r="A1238" s="192" t="str">
        <x:v>tribal</x:v>
      </x:c>
      <x:c r="B1238" s="192" t="str">
        <x:v>adj.</x:v>
      </x:c>
      <x:c r="C1238" s="194" t="str">
        <x:v>племінний</x:v>
      </x:c>
      <x:c r="D1238" s="195" t="str">
        <x:v>Що стосується племен.</x:v>
      </x:c>
      <x:c r="E1238" s="192" t="str">
        <x:v>Oxford C1</x:v>
      </x:c>
      <x:c r="F1238" s="192" t="str">
        <x:v>Core</x:v>
      </x:c>
      <x:c r="G1238" s="192" t="str">
        <x:v>Not Started</x:v>
      </x:c>
      <x:c r="H1238" s="192" t="n">
        <x:v>0</x:v>
      </x:c>
    </x:row>
    <x:row r="1239" ht="56" customHeight="1">
      <x:c r="A1239" s="192" t="str">
        <x:v>tribunal</x:v>
      </x:c>
      <x:c r="B1239" s="192" t="str">
        <x:v>n.</x:v>
      </x:c>
      <x:c r="C1239" s="194" t="str">
        <x:v>трибунал</x:v>
      </x:c>
      <x:c r="D1239" s="195" t="str">
        <x:v>Збори, до складу яких входять один або більше суддів для ведення судових справ; суд.</x:v>
      </x:c>
      <x:c r="E1239" s="192" t="str">
        <x:v>Oxford C1</x:v>
      </x:c>
      <x:c r="F1239" s="192" t="str">
        <x:v>Core</x:v>
      </x:c>
      <x:c r="G1239" s="192" t="str">
        <x:v>Not Started</x:v>
      </x:c>
      <x:c r="H1239" s="192" t="n">
        <x:v>0</x:v>
      </x:c>
    </x:row>
    <x:row r="1240" ht="56" customHeight="1">
      <x:c r="A1240" s="192" t="str">
        <x:v>tribute</x:v>
      </x:c>
      <x:c r="B1240" s="192" t="str">
        <x:v>n.</x:v>
      </x:c>
      <x:c r="C1240" s="194" t="str">
        <x:v>данина</x:v>
      </x:c>
      <x:c r="D1240" s="195" t="str">
        <x:v>Визнання вдячності, поваги чи захоплення; супутній подарунок.</x:v>
      </x:c>
      <x:c r="E1240" s="192" t="str">
        <x:v>Oxford C1</x:v>
      </x:c>
      <x:c r="F1240" s="192" t="str">
        <x:v>Core</x:v>
      </x:c>
      <x:c r="G1240" s="192" t="str">
        <x:v>Not Started</x:v>
      </x:c>
      <x:c r="H1240" s="192" t="n">
        <x:v>0</x:v>
      </x:c>
    </x:row>
    <x:row r="1241" ht="56" customHeight="1">
      <x:c r="A1241" s="192" t="str">
        <x:v>trigger</x:v>
      </x:c>
      <x:c r="B1241" s="192" t="str">
        <x:v>n.</x:v>
      </x:c>
      <x:c r="C1241" s="194" t="str">
        <x:v>тригер</x:v>
      </x:c>
      <x:c r="D1241" s="195" t="str">
        <x:v>Важіль з пальцем, який використовується для стрільби з пістолета.</x:v>
      </x:c>
      <x:c r="E1241" s="192" t="str">
        <x:v>Oxford C1 + AWL 9</x:v>
      </x:c>
      <x:c r="F1241" s="192" t="str">
        <x:v>High</x:v>
      </x:c>
      <x:c r="G1241" s="192" t="str">
        <x:v>Not Started</x:v>
      </x:c>
      <x:c r="H1241" s="192" t="n">
        <x:v>0</x:v>
      </x:c>
    </x:row>
    <x:row r="1242" ht="56" customHeight="1">
      <x:c r="A1242" s="192" t="str">
        <x:v>trio</x:v>
      </x:c>
      <x:c r="B1242" s="192" t="str">
        <x:v>n.</x:v>
      </x:c>
      <x:c r="C1242" s="194" t="str">
        <x:v>тріо</x:v>
      </x:c>
      <x:c r="D1242" s="195" t="str">
        <x:v>Група з трьох людей або речей.</x:v>
      </x:c>
      <x:c r="E1242" s="192" t="str">
        <x:v>Oxford C1</x:v>
      </x:c>
      <x:c r="F1242" s="192" t="str">
        <x:v>Core</x:v>
      </x:c>
      <x:c r="G1242" s="192" t="str">
        <x:v>Not Started</x:v>
      </x:c>
      <x:c r="H1242" s="192" t="n">
        <x:v>0</x:v>
      </x:c>
    </x:row>
    <x:row r="1243" ht="56" customHeight="1">
      <x:c r="A1243" s="192" t="str">
        <x:v>triumph</x:v>
      </x:c>
      <x:c r="B1243" s="192" t="str">
        <x:v>n.</x:v>
      </x:c>
      <x:c r="C1243" s="194" t="str">
        <x:v>тріумф</x:v>
      </x:c>
      <x:c r="D1243" s="195" t="str">
        <x:v>Переконливий успіх після зусиль, конфлікту або зіткнення з перешкодами; перемога; завоювання.</x:v>
      </x:c>
      <x:c r="E1243" s="192" t="str">
        <x:v>Oxford C1</x:v>
      </x:c>
      <x:c r="F1243" s="192" t="str">
        <x:v>Core</x:v>
      </x:c>
      <x:c r="G1243" s="192" t="str">
        <x:v>Not Started</x:v>
      </x:c>
      <x:c r="H1243" s="192" t="n">
        <x:v>0</x:v>
      </x:c>
    </x:row>
    <x:row r="1244" ht="56" customHeight="1">
      <x:c r="A1244" s="192" t="str">
        <x:v>trophy</x:v>
      </x:c>
      <x:c r="B1244" s="192" t="str">
        <x:v>n.</x:v>
      </x:c>
      <x:c r="C1244" s="194" t="str">
        <x:v>трофей</x:v>
      </x:c>
      <x:c r="D1244" s="195" t="str">
        <x:v>Предмет, як правило, у формі статуетки, кубка або щита, який вручається за успіх у змаганнях або для відзначення особливого досягнення.</x:v>
      </x:c>
      <x:c r="E1244" s="192" t="str">
        <x:v>Oxford C1</x:v>
      </x:c>
      <x:c r="F1244" s="192" t="str">
        <x:v>Core</x:v>
      </x:c>
      <x:c r="G1244" s="192" t="str">
        <x:v>Not Started</x:v>
      </x:c>
      <x:c r="H1244" s="192" t="n">
        <x:v>0</x:v>
      </x:c>
    </x:row>
    <x:row r="1245" ht="56" customHeight="1">
      <x:c r="A1245" s="192" t="str">
        <x:v>troubled</x:v>
      </x:c>
      <x:c r="B1245" s="192" t="str">
        <x:v>adj.</x:v>
      </x:c>
      <x:c r="C1245" s="194" t="str">
        <x:v>стурбований</x:v>
      </x:c>
      <x:c r="D1245" s="195" t="str">
        <x:v>Тривожний, стурбований, змучений турботами.</x:v>
      </x:c>
      <x:c r="E1245" s="192" t="str">
        <x:v>Oxford C1</x:v>
      </x:c>
      <x:c r="F1245" s="192" t="str">
        <x:v>Core</x:v>
      </x:c>
      <x:c r="G1245" s="192" t="str">
        <x:v>Not Started</x:v>
      </x:c>
      <x:c r="H1245" s="192" t="n">
        <x:v>0</x:v>
      </x:c>
    </x:row>
    <x:row r="1246" ht="56" customHeight="1">
      <x:c r="A1246" s="192" t="str">
        <x:v>trustee</x:v>
      </x:c>
      <x:c r="B1246" s="192" t="str">
        <x:v>n.</x:v>
      </x:c>
      <x:c r="C1246" s="194" t="str">
        <x:v>довірена особа</x:v>
      </x:c>
      <x:c r="D1246" s="195" t="str">
        <x:v>Особа, якій юридично передано майно в довірчу власність, що використовується або на користь певних осіб (бенефіціарів), або для суспільних потреб; той, кому довірено майно на користь іншого.</x:v>
      </x:c>
      <x:c r="E1246" s="192" t="str">
        <x:v>Oxford C1</x:v>
      </x:c>
      <x:c r="F1246" s="192" t="str">
        <x:v>Core</x:v>
      </x:c>
      <x:c r="G1246" s="192" t="str">
        <x:v>Not Started</x:v>
      </x:c>
      <x:c r="H1246" s="192" t="n">
        <x:v>0</x:v>
      </x:c>
    </x:row>
    <x:row r="1247" ht="56" customHeight="1">
      <x:c r="A1247" s="192" t="str">
        <x:v>tuition</x:v>
      </x:c>
      <x:c r="B1247" s="192" t="str">
        <x:v>n.</x:v>
      </x:c>
      <x:c r="C1247" s="194" t="str">
        <x:v>навчання</x:v>
      </x:c>
      <x:c r="D1247" s="195" t="str">
        <x:v>Сума грошей, сплачена за навчання (наприклад, у приватній школі, школі-інтернаті, університеті чи коледжі).</x:v>
      </x:c>
      <x:c r="E1247" s="192" t="str">
        <x:v>Oxford C1</x:v>
      </x:c>
      <x:c r="F1247" s="192" t="str">
        <x:v>High</x:v>
      </x:c>
      <x:c r="G1247" s="192" t="str">
        <x:v>Not Started</x:v>
      </x:c>
      <x:c r="H1247" s="192" t="n">
        <x:v>0</x:v>
      </x:c>
    </x:row>
    <x:row r="1248" ht="56" customHeight="1">
      <x:c r="A1248" s="192" t="str">
        <x:v>turnout</x:v>
      </x:c>
      <x:c r="B1248" s="192" t="str">
        <x:v>n.</x:v>
      </x:c>
      <x:c r="C1248" s="194" t="str">
        <x:v>явка</x:v>
      </x:c>
      <x:c r="D1248" s="195" t="str">
        <x:v>Кількість або частка людей, які відвідують або беруть участь у події (особливо у виборах) або присутні на місці проведення.</x:v>
      </x:c>
      <x:c r="E1248" s="192" t="str">
        <x:v>Oxford C1</x:v>
      </x:c>
      <x:c r="F1248" s="192" t="str">
        <x:v>Core</x:v>
      </x:c>
      <x:c r="G1248" s="192" t="str">
        <x:v>Not Started</x:v>
      </x:c>
      <x:c r="H1248" s="192" t="n">
        <x:v>0</x:v>
      </x:c>
    </x:row>
    <x:row r="1249" ht="56" customHeight="1">
      <x:c r="A1249" s="192" t="str">
        <x:v>turnover</x:v>
      </x:c>
      <x:c r="B1249" s="192" t="str">
        <x:v>n.</x:v>
      </x:c>
      <x:c r="C1249" s="194" t="str">
        <x:v>оборот</x:v>
      </x:c>
      <x:c r="D1249" s="195" t="str">
        <x:v>Сума грошей, прийнята як продажі, здійснені за певний період.</x:v>
      </x:c>
      <x:c r="E1249" s="192" t="str">
        <x:v>Oxford C1</x:v>
      </x:c>
      <x:c r="F1249" s="192" t="str">
        <x:v>Core</x:v>
      </x:c>
      <x:c r="G1249" s="192" t="str">
        <x:v>Not Started</x:v>
      </x:c>
      <x:c r="H1249" s="192" t="n">
        <x:v>0</x:v>
      </x:c>
    </x:row>
    <x:row r="1250" ht="56" customHeight="1">
      <x:c r="A1250" s="192" t="str">
        <x:v>twist</x:v>
      </x:c>
      <x:c r="B1250" s="192" t="str">
        <x:v>v., n.</x:v>
      </x:c>
      <x:c r="C1250" s="194" t="str">
        <x:v>крутити</x:v>
      </x:c>
      <x:c r="D1250" s="195" t="str">
        <x:v>Повертати кінці чого-небудь, зазвичай нитки, мотузки тощо, у протилежних напрямках, часто із застосуванням сили.</x:v>
      </x:c>
      <x:c r="E1250" s="192" t="str">
        <x:v>Oxford C1</x:v>
      </x:c>
      <x:c r="F1250" s="192" t="str">
        <x:v>Core</x:v>
      </x:c>
      <x:c r="G1250" s="192" t="str">
        <x:v>Not Started</x:v>
      </x:c>
      <x:c r="H1250" s="192" t="n">
        <x:v>0</x:v>
      </x:c>
    </x:row>
    <x:row r="1251" ht="56" customHeight="1">
      <x:c r="A1251" s="192" t="str">
        <x:v>undergraduate</x:v>
      </x:c>
      <x:c r="B1251" s="192" t="str">
        <x:v>n.</x:v>
      </x:c>
      <x:c r="C1251" s="194" t="str">
        <x:v>студент</x:v>
      </x:c>
      <x:c r="D1251" s="195" t="str">
        <x:v>Студент університету, який ще не отримав наукового ступеня.</x:v>
      </x:c>
      <x:c r="E1251" s="192" t="str">
        <x:v>Oxford C1</x:v>
      </x:c>
      <x:c r="F1251" s="192" t="str">
        <x:v>High</x:v>
      </x:c>
      <x:c r="G1251" s="192" t="str">
        <x:v>Not Started</x:v>
      </x:c>
      <x:c r="H1251" s="192" t="n">
        <x:v>0</x:v>
      </x:c>
    </x:row>
    <x:row r="1252" ht="56" customHeight="1">
      <x:c r="A1252" s="192" t="str">
        <x:v>underlying</x:v>
      </x:c>
      <x:c r="B1252" s="192" t="str">
        <x:v>adj.</x:v>
      </x:c>
      <x:c r="C1252" s="194" t="str">
        <x:v>лежить в основі</x:v>
      </x:c>
      <x:c r="D1252" s="195" t="str">
        <x:v>основний або фундаментальний</x:v>
      </x:c>
      <x:c r="E1252" s="192" t="str">
        <x:v>Oxford C1 + AWL 6</x:v>
      </x:c>
      <x:c r="F1252" s="192" t="str">
        <x:v>High</x:v>
      </x:c>
      <x:c r="G1252" s="192" t="str">
        <x:v>Not Started</x:v>
      </x:c>
      <x:c r="H1252" s="192" t="n">
        <x:v>0</x:v>
      </x:c>
    </x:row>
    <x:row r="1253" ht="56" customHeight="1">
      <x:c r="A1253" s="192" t="str">
        <x:v>undermine</x:v>
      </x:c>
      <x:c r="B1253" s="192" t="str">
        <x:v>v.</x:v>
      </x:c>
      <x:c r="C1253" s="194" t="str">
        <x:v>підривати</x:v>
      </x:c>
      <x:c r="D1253" s="195" t="str">
        <x:v>Послаблювати або діяти проти; перешкоджати, саботувати.</x:v>
      </x:c>
      <x:c r="E1253" s="192" t="str">
        <x:v>Oxford C1</x:v>
      </x:c>
      <x:c r="F1253" s="192" t="str">
        <x:v>Core</x:v>
      </x:c>
      <x:c r="G1253" s="192" t="str">
        <x:v>Not Started</x:v>
      </x:c>
      <x:c r="H1253" s="192" t="n">
        <x:v>0</x:v>
      </x:c>
    </x:row>
    <x:row r="1254" ht="56" customHeight="1">
      <x:c r="A1254" s="192" t="str">
        <x:v>undoubtedly</x:v>
      </x:c>
      <x:c r="B1254" s="192" t="str">
        <x:v>adv.</x:v>
      </x:c>
      <x:c r="C1254" s="194" t="str">
        <x:v>безсумнівно</x:v>
      </x:c>
      <x:c r="D1254" s="195" t="str">
        <x:v>Без сумніву; однозначно.</x:v>
      </x:c>
      <x:c r="E1254" s="192" t="str">
        <x:v>Oxford C1</x:v>
      </x:c>
      <x:c r="F1254" s="192" t="str">
        <x:v>Core</x:v>
      </x:c>
      <x:c r="G1254" s="192" t="str">
        <x:v>Not Started</x:v>
      </x:c>
      <x:c r="H1254" s="192" t="n">
        <x:v>0</x:v>
      </x:c>
    </x:row>
    <x:row r="1255" ht="56" customHeight="1">
      <x:c r="A1255" s="192" t="str">
        <x:v>unify</x:v>
      </x:c>
      <x:c r="B1255" s="192" t="str">
        <x:v>v.</x:v>
      </x:c>
      <x:c r="C1255" s="194" t="str">
        <x:v>об'єднати</x:v>
      </x:c>
      <x:c r="D1255" s="195" t="str">
        <x:v>Причина стати одним; складати в одиницю; консолідувати; злиття; комбайн.</x:v>
      </x:c>
      <x:c r="E1255" s="192" t="str">
        <x:v>Oxford C1</x:v>
      </x:c>
      <x:c r="F1255" s="192" t="str">
        <x:v>Core</x:v>
      </x:c>
      <x:c r="G1255" s="192" t="str">
        <x:v>Not Started</x:v>
      </x:c>
      <x:c r="H1255" s="192" t="n">
        <x:v>0</x:v>
      </x:c>
    </x:row>
    <x:row r="1256" ht="56" customHeight="1">
      <x:c r="A1256" s="192" t="str">
        <x:v>unprecedented</x:v>
      </x:c>
      <x:c r="B1256" s="192" t="str">
        <x:v>adj.</x:v>
      </x:c>
      <x:c r="C1256" s="194" t="str">
        <x:v>безпрецедентний</x:v>
      </x:c>
      <x:c r="D1256" s="195" t="str">
        <x:v>Ніколи раніше не бачив, не робив і не відчував; без прецеденту.</x:v>
      </x:c>
      <x:c r="E1256" s="192" t="str">
        <x:v>Oxford C1</x:v>
      </x:c>
      <x:c r="F1256" s="192" t="str">
        <x:v>Core</x:v>
      </x:c>
      <x:c r="G1256" s="192" t="str">
        <x:v>Not Started</x:v>
      </x:c>
      <x:c r="H1256" s="192" t="n">
        <x:v>0</x:v>
      </x:c>
    </x:row>
    <x:row r="1257" ht="56" customHeight="1">
      <x:c r="A1257" s="192" t="str">
        <x:v>unveil</x:v>
      </x:c>
      <x:c r="B1257" s="192" t="str">
        <x:v>v.</x:v>
      </x:c>
      <x:c r="C1257" s="194" t="str">
        <x:v>розкрити</x:v>
      </x:c>
      <x:c r="D1257" s="195" t="str">
        <x:v>Зняти вуаль з; розкривати; виявити щось приховане.</x:v>
      </x:c>
      <x:c r="E1257" s="192" t="str">
        <x:v>Oxford C1</x:v>
      </x:c>
      <x:c r="F1257" s="192" t="str">
        <x:v>Core</x:v>
      </x:c>
      <x:c r="G1257" s="192" t="str">
        <x:v>Not Started</x:v>
      </x:c>
      <x:c r="H1257" s="192" t="n">
        <x:v>0</x:v>
      </x:c>
    </x:row>
    <x:row r="1258" ht="56" customHeight="1">
      <x:c r="A1258" s="192" t="str">
        <x:v>upcoming</x:v>
      </x:c>
      <x:c r="B1258" s="192" t="str">
        <x:v>adj.</x:v>
      </x:c>
      <x:c r="C1258" s="194" t="str">
        <x:v>майбутній</x:v>
      </x:c>
      <x:c r="D1258" s="195" t="str">
        <x:v>Відбудеться або з'явиться у відносно близькому майбутньому.</x:v>
      </x:c>
      <x:c r="E1258" s="192" t="str">
        <x:v>Oxford C1</x:v>
      </x:c>
      <x:c r="F1258" s="192" t="str">
        <x:v>Core</x:v>
      </x:c>
      <x:c r="G1258" s="192" t="str">
        <x:v>Not Started</x:v>
      </x:c>
      <x:c r="H1258" s="192" t="n">
        <x:v>0</x:v>
      </x:c>
    </x:row>
    <x:row r="1259" ht="56" customHeight="1">
      <x:c r="A1259" s="192" t="str">
        <x:v>upgrade</x:v>
      </x:c>
      <x:c r="B1259" s="192" t="str">
        <x:v>v., n.</x:v>
      </x:c>
      <x:c r="C1259" s="194" t="str">
        <x:v>оновлення</x:v>
      </x:c>
      <x:c r="D1259" s="195" t="str">
        <x:v>Поліпшення, як правило, застосовується до технології, як правило, шляхом повної заміни одного або кількох компонентів.</x:v>
      </x:c>
      <x:c r="E1259" s="192" t="str">
        <x:v>Oxford C1</x:v>
      </x:c>
      <x:c r="F1259" s="192" t="str">
        <x:v>Core</x:v>
      </x:c>
      <x:c r="G1259" s="192" t="str">
        <x:v>Not Started</x:v>
      </x:c>
      <x:c r="H1259" s="192" t="n">
        <x:v>0</x:v>
      </x:c>
    </x:row>
    <x:row r="1260" ht="56" customHeight="1">
      <x:c r="A1260" s="192" t="str">
        <x:v>uphold</x:v>
      </x:c>
      <x:c r="B1260" s="192" t="str">
        <x:v>v.</x:v>
      </x:c>
      <x:c r="C1260" s="194" t="str">
        <x:v>підтримувати</x:v>
      </x:c>
      <x:c r="D1260" s="195" t="str">
        <x:v>Тримати вертикально; підтримувати; підтримувати; щоб не впасти</x:v>
      </x:c>
      <x:c r="E1260" s="192" t="str">
        <x:v>Oxford C1</x:v>
      </x:c>
      <x:c r="F1260" s="192" t="str">
        <x:v>Core</x:v>
      </x:c>
      <x:c r="G1260" s="192" t="str">
        <x:v>Not Started</x:v>
      </x:c>
      <x:c r="H1260" s="192" t="n">
        <x:v>0</x:v>
      </x:c>
    </x:row>
    <x:row r="1261" ht="56" customHeight="1">
      <x:c r="A1261" s="192" t="str">
        <x:v>utility</x:v>
      </x:c>
      <x:c r="B1261" s="192" t="str">
        <x:v>n.</x:v>
      </x:c>
      <x:c r="C1261" s="194" t="str">
        <x:v>корисність; комунальна служба</x:v>
      </x:c>
      <x:c r="D1261" s="195" t="str">
        <x:v>Стан чи стан корисності; корисність.</x:v>
      </x:c>
      <x:c r="E1261" s="192" t="str">
        <x:v>Oxford C1 + AWL 6</x:v>
      </x:c>
      <x:c r="F1261" s="192" t="str">
        <x:v>High</x:v>
      </x:c>
      <x:c r="G1261" s="192" t="str">
        <x:v>Not Started</x:v>
      </x:c>
      <x:c r="H1261" s="192" t="n">
        <x:v>0</x:v>
      </x:c>
    </x:row>
    <x:row r="1262" ht="56" customHeight="1">
      <x:c r="A1262" s="192" t="str">
        <x:v>utilize</x:v>
      </x:c>
      <x:c r="B1262" s="192" t="str">
        <x:v>v.</x:v>
      </x:c>
      <x:c r="C1262" s="194" t="str">
        <x:v>використовувати</x:v>
      </x:c>
      <x:c r="D1262" s="195" t="str">
        <x:v>Практично використовувати щось для певної мети.</x:v>
      </x:c>
      <x:c r="E1262" s="192" t="str">
        <x:v>Oxford C1</x:v>
      </x:c>
      <x:c r="F1262" s="192" t="str">
        <x:v>Core</x:v>
      </x:c>
      <x:c r="G1262" s="192" t="str">
        <x:v>Not Started</x:v>
      </x:c>
      <x:c r="H1262" s="192" t="n">
        <x:v>0</x:v>
      </x:c>
    </x:row>
    <x:row r="1263" ht="56" customHeight="1">
      <x:c r="A1263" s="192" t="str">
        <x:v>utterly</x:v>
      </x:c>
      <x:c r="B1263" s="192" t="str">
        <x:v>adv.</x:v>
      </x:c>
      <x:c r="C1263" s="194" t="str">
        <x:v>цілком</x:v>
      </x:c>
      <x:c r="D1263" s="195" t="str">
        <x:v>Повністю; повністю; в повній мірі.</x:v>
      </x:c>
      <x:c r="E1263" s="192" t="str">
        <x:v>Oxford C1</x:v>
      </x:c>
      <x:c r="F1263" s="192" t="str">
        <x:v>Core</x:v>
      </x:c>
      <x:c r="G1263" s="192" t="str">
        <x:v>Not Started</x:v>
      </x:c>
      <x:c r="H1263" s="192" t="n">
        <x:v>0</x:v>
      </x:c>
    </x:row>
    <x:row r="1264" ht="56" customHeight="1">
      <x:c r="A1264" s="192" t="str">
        <x:v>vacuum</x:v>
      </x:c>
      <x:c r="B1264" s="192" t="str">
        <x:v>n.</x:v>
      </x:c>
      <x:c r="C1264" s="194" t="str">
        <x:v>вакуум</x:v>
      </x:c>
      <x:c r="D1264" s="195" t="str">
        <x:v>Область простору, яка не містить матерії.</x:v>
      </x:c>
      <x:c r="E1264" s="192" t="str">
        <x:v>Oxford C1</x:v>
      </x:c>
      <x:c r="F1264" s="192" t="str">
        <x:v>Core</x:v>
      </x:c>
      <x:c r="G1264" s="192" t="str">
        <x:v>Not Started</x:v>
      </x:c>
      <x:c r="H1264" s="192" t="n">
        <x:v>0</x:v>
      </x:c>
    </x:row>
    <x:row r="1265" ht="56" customHeight="1">
      <x:c r="A1265" s="192" t="str">
        <x:v>vague</x:v>
      </x:c>
      <x:c r="B1265" s="192" t="str">
        <x:v>adj.</x:v>
      </x:c>
      <x:c r="C1265" s="194" t="str">
        <x:v>розпливчастий</x:v>
      </x:c>
      <x:c r="D1265" s="195" t="str">
        <x:v>Нечітко виражений; встановлено на невизначений термін.</x:v>
      </x:c>
      <x:c r="E1265" s="192" t="str">
        <x:v>Oxford C1</x:v>
      </x:c>
      <x:c r="F1265" s="192" t="str">
        <x:v>Core</x:v>
      </x:c>
      <x:c r="G1265" s="192" t="str">
        <x:v>Not Started</x:v>
      </x:c>
      <x:c r="H1265" s="192" t="n">
        <x:v>0</x:v>
      </x:c>
    </x:row>
    <x:row r="1266" ht="56" customHeight="1">
      <x:c r="A1266" s="192" t="str">
        <x:v>validity</x:v>
      </x:c>
      <x:c r="B1266" s="192" t="str">
        <x:v>n.</x:v>
      </x:c>
      <x:c r="C1266" s="194" t="str">
        <x:v>дійсність</x:v>
      </x:c>
      <x:c r="D1266" s="195" t="str">
        <x:v>Стан дійсності, автентичності чи автентичності.</x:v>
      </x:c>
      <x:c r="E1266" s="192" t="str">
        <x:v>Oxford C1 + AWL 3</x:v>
      </x:c>
      <x:c r="F1266" s="192" t="str">
        <x:v>High</x:v>
      </x:c>
      <x:c r="G1266" s="192" t="str">
        <x:v>Not Started</x:v>
      </x:c>
      <x:c r="H1266" s="192" t="n">
        <x:v>0</x:v>
      </x:c>
    </x:row>
    <x:row r="1267" ht="56" customHeight="1">
      <x:c r="A1267" s="192" t="str">
        <x:v>vanish</x:v>
      </x:c>
      <x:c r="B1267" s="192" t="str">
        <x:v>v.</x:v>
      </x:c>
      <x:c r="C1267" s="194" t="str">
        <x:v>зникати</x:v>
      </x:c>
      <x:c r="D1267" s="195" t="str">
        <x:v>Стати невидимим або непомітно зникнути з поля зору.</x:v>
      </x:c>
      <x:c r="E1267" s="192" t="str">
        <x:v>Oxford C1</x:v>
      </x:c>
      <x:c r="F1267" s="192" t="str">
        <x:v>Core</x:v>
      </x:c>
      <x:c r="G1267" s="192" t="str">
        <x:v>Not Started</x:v>
      </x:c>
      <x:c r="H1267" s="192" t="n">
        <x:v>0</x:v>
      </x:c>
    </x:row>
    <x:row r="1268" ht="56" customHeight="1">
      <x:c r="A1268" s="192" t="str">
        <x:v>variable</x:v>
      </x:c>
      <x:c r="B1268" s="192" t="str">
        <x:v>n., adj.</x:v>
      </x:c>
      <x:c r="C1268" s="194" t="str">
        <x:v>змінна</x:v>
      </x:c>
      <x:c r="D1268" s="195" t="str">
        <x:v>Іменована ділянка пам’яті, у якій програма може зберігати проміжні результати та звідки вона може їх читати.</x:v>
      </x:c>
      <x:c r="E1268" s="192" t="str">
        <x:v>Oxford C1</x:v>
      </x:c>
      <x:c r="F1268" s="192" t="str">
        <x:v>Core</x:v>
      </x:c>
      <x:c r="G1268" s="192" t="str">
        <x:v>Not Started</x:v>
      </x:c>
      <x:c r="H1268" s="192" t="n">
        <x:v>0</x:v>
      </x:c>
    </x:row>
    <x:row r="1269" ht="56" customHeight="1">
      <x:c r="A1269" s="192" t="str">
        <x:v>varied</x:v>
      </x:c>
      <x:c r="B1269" s="192" t="str">
        <x:v>adj.</x:v>
      </x:c>
      <x:c r="C1269" s="194" t="str">
        <x:v>різноманітний</x:v>
      </x:c>
      <x:c r="D1269" s="195" t="str">
        <x:v>різноманітні або різноманітні</x:v>
      </x:c>
      <x:c r="E1269" s="192" t="str">
        <x:v>Oxford C1</x:v>
      </x:c>
      <x:c r="F1269" s="192" t="str">
        <x:v>Core</x:v>
      </x:c>
      <x:c r="G1269" s="192" t="str">
        <x:v>Not Started</x:v>
      </x:c>
      <x:c r="H1269" s="192" t="n">
        <x:v>0</x:v>
      </x:c>
    </x:row>
    <x:row r="1270" ht="56" customHeight="1">
      <x:c r="A1270" s="192" t="str">
        <x:v>vein</x:v>
      </x:c>
      <x:c r="B1270" s="192" t="str">
        <x:v>n.</x:v>
      </x:c>
      <x:c r="C1270" s="194" t="str">
        <x:v>вена</x:v>
      </x:c>
      <x:c r="D1270" s="195" t="str">
        <x:v>Кровоносна судина, яка транспортує кров з капілярів назад до серця.</x:v>
      </x:c>
      <x:c r="E1270" s="192" t="str">
        <x:v>Oxford C1</x:v>
      </x:c>
      <x:c r="F1270" s="192" t="str">
        <x:v>Core</x:v>
      </x:c>
      <x:c r="G1270" s="192" t="str">
        <x:v>Not Started</x:v>
      </x:c>
      <x:c r="H1270" s="192" t="n">
        <x:v>0</x:v>
      </x:c>
    </x:row>
    <x:row r="1271" ht="56" customHeight="1">
      <x:c r="A1271" s="192" t="str">
        <x:v>venture</x:v>
      </x:c>
      <x:c r="B1271" s="192" t="str">
        <x:v>n., v.</x:v>
      </x:c>
      <x:c r="C1271" s="194" t="str">
        <x:v>підприємство</x:v>
      </x:c>
      <x:c r="D1271" s="195" t="str">
        <x:v>Ризикнути або пропонувати.</x:v>
      </x:c>
      <x:c r="E1271" s="192" t="str">
        <x:v>Oxford C1</x:v>
      </x:c>
      <x:c r="F1271" s="192" t="str">
        <x:v>Core</x:v>
      </x:c>
      <x:c r="G1271" s="192" t="str">
        <x:v>Not Started</x:v>
      </x:c>
      <x:c r="H1271" s="192" t="n">
        <x:v>0</x:v>
      </x:c>
    </x:row>
    <x:row r="1272" ht="56" customHeight="1">
      <x:c r="A1272" s="192" t="str">
        <x:v>verbal</x:v>
      </x:c>
      <x:c r="B1272" s="192" t="str">
        <x:v>adj.</x:v>
      </x:c>
      <x:c r="C1272" s="194" t="str">
        <x:v>дієслівний</x:v>
      </x:c>
      <x:c r="D1272" s="195" t="str">
        <x:v>Відносно або пов’язане зі словами.</x:v>
      </x:c>
      <x:c r="E1272" s="192" t="str">
        <x:v>Oxford C1</x:v>
      </x:c>
      <x:c r="F1272" s="192" t="str">
        <x:v>Core</x:v>
      </x:c>
      <x:c r="G1272" s="192" t="str">
        <x:v>Not Started</x:v>
      </x:c>
      <x:c r="H1272" s="192" t="n">
        <x:v>0</x:v>
      </x:c>
    </x:row>
    <x:row r="1273" ht="56" customHeight="1">
      <x:c r="A1273" s="192" t="str">
        <x:v>verdict</x:v>
      </x:c>
      <x:c r="B1273" s="192" t="str">
        <x:v>n.</x:v>
      </x:c>
      <x:c r="C1273" s="194" t="str">
        <x:v>вирок</x:v>
      </x:c>
      <x:c r="D1273" s="195" t="str">
        <x:v>Рішення з питання про факт у цивільній чи кримінальній справі чи дізнанні.</x:v>
      </x:c>
      <x:c r="E1273" s="192" t="str">
        <x:v>Oxford C1</x:v>
      </x:c>
      <x:c r="F1273" s="192" t="str">
        <x:v>Core</x:v>
      </x:c>
      <x:c r="G1273" s="192" t="str">
        <x:v>Not Started</x:v>
      </x:c>
      <x:c r="H1273" s="192" t="n">
        <x:v>0</x:v>
      </x:c>
    </x:row>
    <x:row r="1274" ht="56" customHeight="1">
      <x:c r="A1274" s="192" t="str">
        <x:v>verify</x:v>
      </x:c>
      <x:c r="B1274" s="192" t="str">
        <x:v>v.</x:v>
      </x:c>
      <x:c r="C1274" s="194" t="str">
        <x:v>перевірити</x:v>
      </x:c>
      <x:c r="D1274" s="195" t="str">
        <x:v>Щоб підтвердити або перевірити правдивість або точність чогось.</x:v>
      </x:c>
      <x:c r="E1274" s="192" t="str">
        <x:v>Oxford C1</x:v>
      </x:c>
      <x:c r="F1274" s="192" t="str">
        <x:v>Core</x:v>
      </x:c>
      <x:c r="G1274" s="192" t="str">
        <x:v>Not Started</x:v>
      </x:c>
      <x:c r="H1274" s="192" t="n">
        <x:v>0</x:v>
      </x:c>
    </x:row>
    <x:row r="1275" ht="56" customHeight="1">
      <x:c r="A1275" s="192" t="str">
        <x:v>verse</x:v>
      </x:c>
      <x:c r="B1275" s="192" t="str">
        <x:v>n.</x:v>
      </x:c>
      <x:c r="C1275" s="194" t="str">
        <x:v>вірш</x:v>
      </x:c>
      <x:c r="D1275" s="195" t="str">
        <x:v>Віршована форма взагалі.</x:v>
      </x:c>
      <x:c r="E1275" s="192" t="str">
        <x:v>Oxford C1</x:v>
      </x:c>
      <x:c r="F1275" s="192" t="str">
        <x:v>Core</x:v>
      </x:c>
      <x:c r="G1275" s="192" t="str">
        <x:v>Not Started</x:v>
      </x:c>
      <x:c r="H1275" s="192" t="n">
        <x:v>0</x:v>
      </x:c>
    </x:row>
    <x:row r="1276" ht="56" customHeight="1">
      <x:c r="A1276" s="192" t="str">
        <x:v>versus</x:v>
      </x:c>
      <x:c r="B1276" s="192" t="str">
        <x:v>prep.</x:v>
      </x:c>
      <x:c r="C1276" s="194" t="str">
        <x:v>проти</x:v>
      </x:c>
      <x:c r="D1276" s="195" t="str">
        <x:v>Зіткнутися в конкуренції</x:v>
      </x:c>
      <x:c r="E1276" s="192" t="str">
        <x:v>Oxford C1</x:v>
      </x:c>
      <x:c r="F1276" s="192" t="str">
        <x:v>Core</x:v>
      </x:c>
      <x:c r="G1276" s="192" t="str">
        <x:v>Not Started</x:v>
      </x:c>
      <x:c r="H1276" s="192" t="n">
        <x:v>0</x:v>
      </x:c>
    </x:row>
    <x:row r="1277" ht="56" customHeight="1">
      <x:c r="A1277" s="192" t="str">
        <x:v>vessel</x:v>
      </x:c>
      <x:c r="B1277" s="192" t="str">
        <x:v>n.</x:v>
      </x:c>
      <x:c r="C1277" s="194" t="str">
        <x:v>судно</x:v>
      </x:c>
      <x:c r="D1277" s="195" t="str">
        <x:v>Судно для пересування по воді, повітрі або в космосі.</x:v>
      </x:c>
      <x:c r="E1277" s="192" t="str">
        <x:v>Oxford C1</x:v>
      </x:c>
      <x:c r="F1277" s="192" t="str">
        <x:v>Core</x:v>
      </x:c>
      <x:c r="G1277" s="192" t="str">
        <x:v>Not Started</x:v>
      </x:c>
      <x:c r="H1277" s="192" t="n">
        <x:v>0</x:v>
      </x:c>
    </x:row>
    <x:row r="1278" ht="56" customHeight="1">
      <x:c r="A1278" s="192" t="str">
        <x:v>veteran</x:v>
      </x:c>
      <x:c r="B1278" s="192" t="str">
        <x:v>n.</x:v>
      </x:c>
      <x:c r="C1278" s="194" t="str">
        <x:v>ветеран</x:v>
      </x:c>
      <x:c r="D1278" s="195" t="str">
        <x:v>Людина, яка служила в збройних силах, особливо старий солдат, який бачив довгу службу.</x:v>
      </x:c>
      <x:c r="E1278" s="192" t="str">
        <x:v>Oxford C1</x:v>
      </x:c>
      <x:c r="F1278" s="192" t="str">
        <x:v>Core</x:v>
      </x:c>
      <x:c r="G1278" s="192" t="str">
        <x:v>Not Started</x:v>
      </x:c>
      <x:c r="H1278" s="192" t="n">
        <x:v>0</x:v>
      </x:c>
    </x:row>
    <x:row r="1279" ht="56" customHeight="1">
      <x:c r="A1279" s="192" t="str">
        <x:v>viable</x:v>
      </x:c>
      <x:c r="B1279" s="192" t="str">
        <x:v>adj.</x:v>
      </x:c>
      <x:c r="C1279" s="194" t="str">
        <x:v>життєздатний</x:v>
      </x:c>
      <x:c r="D1279" s="195" t="str">
        <x:v>Можна зробити, можливо, практично, здійсненно.</x:v>
      </x:c>
      <x:c r="E1279" s="192" t="str">
        <x:v>Oxford C1</x:v>
      </x:c>
      <x:c r="F1279" s="192" t="str">
        <x:v>Core</x:v>
      </x:c>
      <x:c r="G1279" s="192" t="str">
        <x:v>Not Started</x:v>
      </x:c>
      <x:c r="H1279" s="192" t="n">
        <x:v>0</x:v>
      </x:c>
    </x:row>
    <x:row r="1280" ht="56" customHeight="1">
      <x:c r="A1280" s="192" t="str">
        <x:v>vibrant</x:v>
      </x:c>
      <x:c r="B1280" s="192" t="str">
        <x:v>adj.</x:v>
      </x:c>
      <x:c r="C1280" s="194" t="str">
        <x:v>яскравий</x:v>
      </x:c>
      <x:c r="D1280" s="195" t="str">
        <x:v>Пульсація від енергії або активності.</x:v>
      </x:c>
      <x:c r="E1280" s="192" t="str">
        <x:v>Oxford C1</x:v>
      </x:c>
      <x:c r="F1280" s="192" t="str">
        <x:v>Core</x:v>
      </x:c>
      <x:c r="G1280" s="192" t="str">
        <x:v>Not Started</x:v>
      </x:c>
      <x:c r="H1280" s="192" t="n">
        <x:v>0</x:v>
      </x:c>
    </x:row>
    <x:row r="1281" ht="56" customHeight="1">
      <x:c r="A1281" s="192" t="str">
        <x:v>vice</x:v>
      </x:c>
      <x:c r="B1281" s="192" t="str">
        <x:v>n.</x:v>
      </x:c>
      <x:c r="C1281" s="194" t="str">
        <x:v>порок</x:v>
      </x:c>
      <x:c r="D1281" s="195" t="str">
        <x:v>Погана або аморальна поведінка.</x:v>
      </x:c>
      <x:c r="E1281" s="192" t="str">
        <x:v>Oxford C1</x:v>
      </x:c>
      <x:c r="F1281" s="192" t="str">
        <x:v>Core</x:v>
      </x:c>
      <x:c r="G1281" s="192" t="str">
        <x:v>Not Started</x:v>
      </x:c>
      <x:c r="H1281" s="192" t="n">
        <x:v>0</x:v>
      </x:c>
    </x:row>
    <x:row r="1282" ht="56" customHeight="1">
      <x:c r="A1282" s="192" t="str">
        <x:v>vicious</x:v>
      </x:c>
      <x:c r="B1282" s="192" t="str">
        <x:v>adj.</x:v>
      </x:c>
      <x:c r="C1282" s="194" t="str">
        <x:v>порочний</x:v>
      </x:c>
      <x:c r="D1282" s="195" t="str">
        <x:v>Жорстокий, руйнівний і жорстокий.</x:v>
      </x:c>
      <x:c r="E1282" s="192" t="str">
        <x:v>Oxford C1</x:v>
      </x:c>
      <x:c r="F1282" s="192" t="str">
        <x:v>Core</x:v>
      </x:c>
      <x:c r="G1282" s="192" t="str">
        <x:v>Not Started</x:v>
      </x:c>
      <x:c r="H1282" s="192" t="n">
        <x:v>0</x:v>
      </x:c>
    </x:row>
    <x:row r="1283" ht="56" customHeight="1">
      <x:c r="A1283" s="192" t="str">
        <x:v>villager</x:v>
      </x:c>
      <x:c r="B1283" s="192" t="str">
        <x:v>n.</x:v>
      </x:c>
      <x:c r="C1283" s="194" t="str">
        <x:v>селянин</x:v>
      </x:c>
      <x:c r="D1283" s="195" t="str">
        <x:v>Людина, яка живе в селі або родом із села.</x:v>
      </x:c>
      <x:c r="E1283" s="192" t="str">
        <x:v>Oxford C1</x:v>
      </x:c>
      <x:c r="F1283" s="192" t="str">
        <x:v>Core</x:v>
      </x:c>
      <x:c r="G1283" s="192" t="str">
        <x:v>Not Started</x:v>
      </x:c>
      <x:c r="H1283" s="192" t="n">
        <x:v>0</x:v>
      </x:c>
    </x:row>
    <x:row r="1284" ht="56" customHeight="1">
      <x:c r="A1284" s="192" t="str">
        <x:v>violate</x:v>
      </x:c>
      <x:c r="B1284" s="192" t="str">
        <x:v>v.</x:v>
      </x:c>
      <x:c r="C1284" s="194" t="str">
        <x:v>порушувати</x:v>
      </x:c>
      <x:c r="D1284" s="195" t="str">
        <x:v>Порушувати або нехтувати (правилом або конвенцією).</x:v>
      </x:c>
      <x:c r="E1284" s="192" t="str">
        <x:v>Oxford C1</x:v>
      </x:c>
      <x:c r="F1284" s="192" t="str">
        <x:v>Core</x:v>
      </x:c>
      <x:c r="G1284" s="192" t="str">
        <x:v>Not Started</x:v>
      </x:c>
      <x:c r="H1284" s="192" t="n">
        <x:v>0</x:v>
      </x:c>
    </x:row>
    <x:row r="1285" ht="56" customHeight="1">
      <x:c r="A1285" s="192" t="str">
        <x:v>violation</x:v>
      </x:c>
      <x:c r="B1285" s="192" t="str">
        <x:v>n.</x:v>
      </x:c>
      <x:c r="C1285" s="194" t="str">
        <x:v>порушення</x:v>
      </x:c>
      <x:c r="D1285" s="195" t="str">
        <x:v>Дія або випадок порушення або умова порушення.</x:v>
      </x:c>
      <x:c r="E1285" s="192" t="str">
        <x:v>Oxford C1 + AWL 9</x:v>
      </x:c>
      <x:c r="F1285" s="192" t="str">
        <x:v>High</x:v>
      </x:c>
      <x:c r="G1285" s="192" t="str">
        <x:v>Not Started</x:v>
      </x:c>
      <x:c r="H1285" s="192" t="n">
        <x:v>0</x:v>
      </x:c>
    </x:row>
    <x:row r="1286" ht="56" customHeight="1">
      <x:c r="A1286" s="192" t="str">
        <x:v>virtue</x:v>
      </x:c>
      <x:c r="B1286" s="192" t="str">
        <x:v>n.</x:v>
      </x:c>
      <x:c r="C1286" s="194" t="str">
        <x:v>чеснота</x:v>
      </x:c>
      <x:c r="D1286" s="195" t="str">
        <x:v>Відповідність моральним принципам; відповідність поведінки чи думки вимогам моралі; хороша моральна поведінка.</x:v>
      </x:c>
      <x:c r="E1286" s="192" t="str">
        <x:v>Oxford C1</x:v>
      </x:c>
      <x:c r="F1286" s="192" t="str">
        <x:v>Core</x:v>
      </x:c>
      <x:c r="G1286" s="192" t="str">
        <x:v>Not Started</x:v>
      </x:c>
      <x:c r="H1286" s="192" t="n">
        <x:v>0</x:v>
      </x:c>
    </x:row>
    <x:row r="1287" ht="56" customHeight="1">
      <x:c r="A1287" s="192" t="str">
        <x:v>vocal</x:v>
      </x:c>
      <x:c r="B1287" s="192" t="str">
        <x:v>adj.</x:v>
      </x:c>
      <x:c r="C1287" s="194" t="str">
        <x:v>вокальний</x:v>
      </x:c>
      <x:c r="D1287" s="195" t="str">
        <x:v>Що відноситься до людського голосу чи мови або нагадує їх.</x:v>
      </x:c>
      <x:c r="E1287" s="192" t="str">
        <x:v>Oxford C1</x:v>
      </x:c>
      <x:c r="F1287" s="192" t="str">
        <x:v>Core</x:v>
      </x:c>
      <x:c r="G1287" s="192" t="str">
        <x:v>Not Started</x:v>
      </x:c>
      <x:c r="H1287" s="192" t="n">
        <x:v>0</x:v>
      </x:c>
    </x:row>
    <x:row r="1288" ht="56" customHeight="1">
      <x:c r="A1288" s="192" t="str">
        <x:v>vow</x:v>
      </x:c>
      <x:c r="B1288" s="192" t="str">
        <x:v>v.</x:v>
      </x:c>
      <x:c r="C1288" s="194" t="str">
        <x:v>обітниця</x:v>
      </x:c>
      <x:c r="D1288" s="195" t="str">
        <x:v>Дати обітницю; обіцяти.</x:v>
      </x:c>
      <x:c r="E1288" s="192" t="str">
        <x:v>Oxford C1</x:v>
      </x:c>
      <x:c r="F1288" s="192" t="str">
        <x:v>Core</x:v>
      </x:c>
      <x:c r="G1288" s="192" t="str">
        <x:v>Not Started</x:v>
      </x:c>
      <x:c r="H1288" s="192" t="n">
        <x:v>0</x:v>
      </x:c>
    </x:row>
    <x:row r="1289" ht="56" customHeight="1">
      <x:c r="A1289" s="192" t="str">
        <x:v>vulnerability</x:v>
      </x:c>
      <x:c r="B1289" s="192" t="str">
        <x:v>n.</x:v>
      </x:c>
      <x:c r="C1289" s="194" t="str">
        <x:v>вразливість</x:v>
      </x:c>
      <x:c r="D1289" s="195" t="str">
        <x:v>Стан уразливості; сприйнятливість до нападу чи травми, фізичної чи емоційної; стан або стан слабкості чи поганого захисту.</x:v>
      </x:c>
      <x:c r="E1289" s="192" t="str">
        <x:v>Oxford C1</x:v>
      </x:c>
      <x:c r="F1289" s="192" t="str">
        <x:v>Core</x:v>
      </x:c>
      <x:c r="G1289" s="192" t="str">
        <x:v>Not Started</x:v>
      </x:c>
      <x:c r="H1289" s="192" t="n">
        <x:v>0</x:v>
      </x:c>
    </x:row>
    <x:row r="1290" ht="56" customHeight="1">
      <x:c r="A1290" s="192" t="str">
        <x:v>vulnerable</x:v>
      </x:c>
      <x:c r="B1290" s="192" t="str">
        <x:v>adj.</x:v>
      </x:c>
      <x:c r="C1290" s="194" t="str">
        <x:v>вразливий</x:v>
      </x:c>
      <x:c r="D1290" s="195" t="str">
        <x:v>Більша чи найімовірніша можливість зазнати нападу чи фізичної чи емоційної шкоди.</x:v>
      </x:c>
      <x:c r="E1290" s="192" t="str">
        <x:v>Oxford C1</x:v>
      </x:c>
      <x:c r="F1290" s="192" t="str">
        <x:v>Core</x:v>
      </x:c>
      <x:c r="G1290" s="192" t="str">
        <x:v>Not Started</x:v>
      </x:c>
      <x:c r="H1290" s="192" t="n">
        <x:v>0</x:v>
      </x:c>
    </x:row>
    <x:row r="1291" ht="56" customHeight="1">
      <x:c r="A1291" s="192" t="str">
        <x:v>ward</x:v>
      </x:c>
      <x:c r="B1291" s="192" t="str">
        <x:v>n.</x:v>
      </x:c>
      <x:c r="C1291" s="194" t="str">
        <x:v>палата</x:v>
      </x:c>
      <x:c r="D1291" s="195" t="str">
        <x:v>Захист, оборона.</x:v>
      </x:c>
      <x:c r="E1291" s="192" t="str">
        <x:v>Oxford C1</x:v>
      </x:c>
      <x:c r="F1291" s="192" t="str">
        <x:v>Core</x:v>
      </x:c>
      <x:c r="G1291" s="192" t="str">
        <x:v>Not Started</x:v>
      </x:c>
      <x:c r="H1291" s="192" t="n">
        <x:v>0</x:v>
      </x:c>
    </x:row>
    <x:row r="1292" ht="56" customHeight="1">
      <x:c r="A1292" s="192" t="str">
        <x:v>warehouse</x:v>
      </x:c>
      <x:c r="B1292" s="192" t="str">
        <x:v>n.</x:v>
      </x:c>
      <x:c r="C1292" s="194" t="str">
        <x:v>склад</x:v>
      </x:c>
      <x:c r="D1292" s="195" t="str">
        <x:v>Місце для зберігання великої кількості продуктів. У логістиці це місце, куди продукти надходять від виробника до роздрібного продавця.</x:v>
      </x:c>
      <x:c r="E1292" s="192" t="str">
        <x:v>Oxford C1</x:v>
      </x:c>
      <x:c r="F1292" s="192" t="str">
        <x:v>Core</x:v>
      </x:c>
      <x:c r="G1292" s="192" t="str">
        <x:v>Not Started</x:v>
      </x:c>
      <x:c r="H1292" s="192" t="n">
        <x:v>0</x:v>
      </x:c>
    </x:row>
    <x:row r="1293" ht="56" customHeight="1">
      <x:c r="A1293" s="192" t="str">
        <x:v>warfare</x:v>
      </x:c>
      <x:c r="B1293" s="192" t="str">
        <x:v>n.</x:v>
      </x:c>
      <x:c r="C1293" s="194" t="str">
        <x:v>війна</x:v>
      </x:c>
      <x:c r="D1293" s="195" t="str">
        <x:v>Ведення війни або збройного конфлікту проти ворога.</x:v>
      </x:c>
      <x:c r="E1293" s="192" t="str">
        <x:v>Oxford C1</x:v>
      </x:c>
      <x:c r="F1293" s="192" t="str">
        <x:v>Core</x:v>
      </x:c>
      <x:c r="G1293" s="192" t="str">
        <x:v>Not Started</x:v>
      </x:c>
      <x:c r="H1293" s="192" t="n">
        <x:v>0</x:v>
      </x:c>
    </x:row>
    <x:row r="1294" ht="56" customHeight="1">
      <x:c r="A1294" s="192" t="str">
        <x:v>warrant</x:v>
      </x:c>
      <x:c r="B1294" s="192" t="str">
        <x:v>n., v.</x:v>
      </x:c>
      <x:c r="C1294" s="194" t="str">
        <x:v>ордер</x:v>
      </x:c>
      <x:c r="D1294" s="195" t="str">
        <x:v>авторизувати; дати (комусь) дозвіл або ордер (зробити щось).</x:v>
      </x:c>
      <x:c r="E1294" s="192" t="str">
        <x:v>Oxford C1</x:v>
      </x:c>
      <x:c r="F1294" s="192" t="str">
        <x:v>Core</x:v>
      </x:c>
      <x:c r="G1294" s="192" t="str">
        <x:v>Not Started</x:v>
      </x:c>
      <x:c r="H1294" s="192" t="n">
        <x:v>0</x:v>
      </x:c>
    </x:row>
    <x:row r="1295" ht="56" customHeight="1">
      <x:c r="A1295" s="192" t="str">
        <x:v>warrior</x:v>
      </x:c>
      <x:c r="B1295" s="192" t="str">
        <x:v>n.</x:v>
      </x:c>
      <x:c r="C1295" s="194" t="str">
        <x:v>воїн</x:v>
      </x:c>
      <x:c r="D1295" s="195" t="str">
        <x:v>Людина, яка активно бере участь у битві, конфлікті чи війні; солдат чи комбатант.</x:v>
      </x:c>
      <x:c r="E1295" s="192" t="str">
        <x:v>Oxford C1</x:v>
      </x:c>
      <x:c r="F1295" s="192" t="str">
        <x:v>Core</x:v>
      </x:c>
      <x:c r="G1295" s="192" t="str">
        <x:v>Not Started</x:v>
      </x:c>
      <x:c r="H1295" s="192" t="n">
        <x:v>0</x:v>
      </x:c>
    </x:row>
    <x:row r="1296" ht="56" customHeight="1">
      <x:c r="A1296" s="192" t="str">
        <x:v>weaken</x:v>
      </x:c>
      <x:c r="B1296" s="192" t="str">
        <x:v>v.</x:v>
      </x:c>
      <x:c r="C1296" s="194" t="str">
        <x:v>ослабити</x:v>
      </x:c>
      <x:c r="D1296" s="195" t="str">
        <x:v>Зробити слабшим або менш сильним.</x:v>
      </x:c>
      <x:c r="E1296" s="192" t="str">
        <x:v>Oxford C1</x:v>
      </x:c>
      <x:c r="F1296" s="192" t="str">
        <x:v>Core</x:v>
      </x:c>
      <x:c r="G1296" s="192" t="str">
        <x:v>Not Started</x:v>
      </x:c>
      <x:c r="H1296" s="192" t="n">
        <x:v>0</x:v>
      </x:c>
    </x:row>
    <x:row r="1297" ht="56" customHeight="1">
      <x:c r="A1297" s="192" t="str">
        <x:v>weave</x:v>
      </x:c>
      <x:c r="B1297" s="192" t="str">
        <x:v>v.</x:v>
      </x:c>
      <x:c r="C1297" s="194" t="str">
        <x:v>плести</x:v>
      </x:c>
      <x:c r="D1297" s="195" t="str">
        <x:v>Сформувати щось шляхом пропускання відрізків або ниток матеріалу один під одним.</x:v>
      </x:c>
      <x:c r="E1297" s="192" t="str">
        <x:v>Oxford C1</x:v>
      </x:c>
      <x:c r="F1297" s="192" t="str">
        <x:v>Core</x:v>
      </x:c>
      <x:c r="G1297" s="192" t="str">
        <x:v>Not Started</x:v>
      </x:c>
      <x:c r="H1297" s="192" t="n">
        <x:v>0</x:v>
      </x:c>
    </x:row>
    <x:row r="1298" ht="56" customHeight="1">
      <x:c r="A1298" s="192" t="str">
        <x:v>weed</x:v>
      </x:c>
      <x:c r="B1298" s="192" t="str">
        <x:v>n.</x:v>
      </x:c>
      <x:c r="C1298" s="194" t="str">
        <x:v>бур'ян</x:v>
      </x:c>
      <x:c r="D1298" s="195" t="str">
        <x:v>Конопля.</x:v>
      </x:c>
      <x:c r="E1298" s="192" t="str">
        <x:v>Oxford C1</x:v>
      </x:c>
      <x:c r="F1298" s="192" t="str">
        <x:v>Core</x:v>
      </x:c>
      <x:c r="G1298" s="192" t="str">
        <x:v>Not Started</x:v>
      </x:c>
      <x:c r="H1298" s="192" t="n">
        <x:v>0</x:v>
      </x:c>
    </x:row>
    <x:row r="1299" ht="56" customHeight="1">
      <x:c r="A1299" s="192" t="str">
        <x:v>well</x:v>
      </x:c>
      <x:c r="B1299" s="192" t="str">
        <x:v>n.</x:v>
      </x:c>
      <x:c r="C1299" s="194" t="str">
        <x:v>добре</x:v>
      </x:c>
      <x:c r="D1299" s="195" t="str">
        <x:v>Отвір, закладений у землю як джерело води, нафти, природного газу чи інших рідин.</x:v>
      </x:c>
      <x:c r="E1299" s="192" t="str">
        <x:v>Oxford C1</x:v>
      </x:c>
      <x:c r="F1299" s="192" t="str">
        <x:v>Core</x:v>
      </x:c>
      <x:c r="G1299" s="192" t="str">
        <x:v>Not Started</x:v>
      </x:c>
      <x:c r="H1299" s="192" t="n">
        <x:v>0</x:v>
      </x:c>
    </x:row>
    <x:row r="1300" ht="56" customHeight="1">
      <x:c r="A1300" s="192" t="str">
        <x:v>well-being</x:v>
      </x:c>
      <x:c r="B1300" s="192" t="str">
        <x:v>n.</x:v>
      </x:c>
      <x:c r="C1300" s="194" t="str">
        <x:v>добробут</x:v>
      </x:c>
      <x:c r="D1300" s="195" t="str">
        <x:v>Стан здоров'я, щастя чи процвітання.</x:v>
      </x:c>
      <x:c r="E1300" s="192" t="str">
        <x:v>Oxford C1</x:v>
      </x:c>
      <x:c r="F1300" s="192" t="str">
        <x:v>Core</x:v>
      </x:c>
      <x:c r="G1300" s="192" t="str">
        <x:v>Not Started</x:v>
      </x:c>
      <x:c r="H1300" s="192" t="n">
        <x:v>0</x:v>
      </x:c>
    </x:row>
    <x:row r="1301" ht="56" customHeight="1">
      <x:c r="A1301" s="192" t="str">
        <x:v>whatsoever</x:v>
      </x:c>
      <x:c r="B1301" s="192" t="str">
        <x:v>adv.</x:v>
      </x:c>
      <x:c r="C1301" s="194" t="str">
        <x:v>будь-що</x:v>
      </x:c>
      <x:c r="D1301" s="195" t="str">
        <x:v>Будь-яким способом; взагалі; що завгодно.</x:v>
      </x:c>
      <x:c r="E1301" s="192" t="str">
        <x:v>Oxford C1</x:v>
      </x:c>
      <x:c r="F1301" s="192" t="str">
        <x:v>Core</x:v>
      </x:c>
      <x:c r="G1301" s="192" t="str">
        <x:v>Not Started</x:v>
      </x:c>
      <x:c r="H1301" s="192" t="n">
        <x:v>0</x:v>
      </x:c>
    </x:row>
    <x:row r="1302" ht="56" customHeight="1">
      <x:c r="A1302" s="192" t="str">
        <x:v>whereby</x:v>
      </x:c>
      <x:c r="B1302" s="192" t="str">
        <x:v>adv.</x:v>
      </x:c>
      <x:c r="C1302" s="194" t="str">
        <x:v>при чому</x:v>
      </x:c>
      <x:c r="D1302" s="195" t="str">
        <x:v>Яким.</x:v>
      </x:c>
      <x:c r="E1302" s="192" t="str">
        <x:v>Oxford C1 + AWL 10</x:v>
      </x:c>
      <x:c r="F1302" s="192" t="str">
        <x:v>High</x:v>
      </x:c>
      <x:c r="G1302" s="192" t="str">
        <x:v>Not Started</x:v>
      </x:c>
      <x:c r="H1302" s="192" t="n">
        <x:v>0</x:v>
      </x:c>
    </x:row>
    <x:row r="1303" ht="56" customHeight="1">
      <x:c r="A1303" s="192" t="str">
        <x:v>whilst</x:v>
      </x:c>
      <x:c r="B1303" s="192" t="str">
        <x:v>conj.</x:v>
      </x:c>
      <x:c r="C1303" s="194" t="str">
        <x:v>тоді як; у той час як</x:v>
      </x:c>
      <x:c r="D1303" s="195" t="str">
        <x:v>Часто передує: Протягом часу; тим часом.</x:v>
      </x:c>
      <x:c r="E1303" s="192" t="str">
        <x:v>Oxford C1</x:v>
      </x:c>
      <x:c r="F1303" s="192" t="str">
        <x:v>Core</x:v>
      </x:c>
      <x:c r="G1303" s="192" t="str">
        <x:v>Not Started</x:v>
      </x:c>
      <x:c r="H1303" s="192" t="n">
        <x:v>0</x:v>
      </x:c>
    </x:row>
    <x:row r="1304" ht="56" customHeight="1">
      <x:c r="A1304" s="192" t="str">
        <x:v>whip</x:v>
      </x:c>
      <x:c r="B1304" s="192" t="str">
        <x:v>v.</x:v>
      </x:c>
      <x:c r="C1304" s="194" t="str">
        <x:v>батіг</x:v>
      </x:c>
      <x:c r="D1304" s="195" t="str">
        <x:v>Вдарити батогом.</x:v>
      </x:c>
      <x:c r="E1304" s="192" t="str">
        <x:v>Oxford C1</x:v>
      </x:c>
      <x:c r="F1304" s="192" t="str">
        <x:v>Core</x:v>
      </x:c>
      <x:c r="G1304" s="192" t="str">
        <x:v>Not Started</x:v>
      </x:c>
      <x:c r="H1304" s="192" t="n">
        <x:v>0</x:v>
      </x:c>
    </x:row>
    <x:row r="1305" ht="56" customHeight="1">
      <x:c r="A1305" s="192" t="str">
        <x:v>wholly</x:v>
      </x:c>
      <x:c r="B1305" s="192" t="str">
        <x:v>adv.</x:v>
      </x:c>
      <x:c r="C1305" s="194" t="str">
        <x:v>цілком</x:v>
      </x:c>
      <x:c r="D1305" s="195" t="str">
        <x:v>Цілком і цілком; в повній мірі; (вільно, перебільшено) дуже; значною мірою.</x:v>
      </x:c>
      <x:c r="E1305" s="192" t="str">
        <x:v>Oxford C1</x:v>
      </x:c>
      <x:c r="F1305" s="192" t="str">
        <x:v>Core</x:v>
      </x:c>
      <x:c r="G1305" s="192" t="str">
        <x:v>Not Started</x:v>
      </x:c>
      <x:c r="H1305" s="192" t="n">
        <x:v>0</x:v>
      </x:c>
    </x:row>
    <x:row r="1306" ht="56" customHeight="1">
      <x:c r="A1306" s="192" t="str">
        <x:v>widen</x:v>
      </x:c>
      <x:c r="B1306" s="192" t="str">
        <x:v>v.</x:v>
      </x:c>
      <x:c r="C1306" s="194" t="str">
        <x:v>розширити</x:v>
      </x:c>
      <x:c r="D1306" s="195" t="str">
        <x:v>Зробити широким або ширшим.</x:v>
      </x:c>
      <x:c r="E1306" s="192" t="str">
        <x:v>Oxford C1</x:v>
      </x:c>
      <x:c r="F1306" s="192" t="str">
        <x:v>Core</x:v>
      </x:c>
      <x:c r="G1306" s="192" t="str">
        <x:v>Not Started</x:v>
      </x:c>
      <x:c r="H1306" s="192" t="n">
        <x:v>0</x:v>
      </x:c>
    </x:row>
    <x:row r="1307" ht="56" customHeight="1">
      <x:c r="A1307" s="192" t="str">
        <x:v>widow</x:v>
      </x:c>
      <x:c r="B1307" s="192" t="str">
        <x:v>n.</x:v>
      </x:c>
      <x:c r="C1307" s="194" t="str">
        <x:v>вдова</x:v>
      </x:c>
      <x:c r="D1307" s="195" t="str">
        <x:v>Особа, яка втратила чоловіка і не одружилася повторно:</x:v>
      </x:c>
      <x:c r="E1307" s="192" t="str">
        <x:v>Oxford C1</x:v>
      </x:c>
      <x:c r="F1307" s="192" t="str">
        <x:v>Core</x:v>
      </x:c>
      <x:c r="G1307" s="192" t="str">
        <x:v>Not Started</x:v>
      </x:c>
      <x:c r="H1307" s="192" t="n">
        <x:v>0</x:v>
      </x:c>
    </x:row>
    <x:row r="1308" ht="56" customHeight="1">
      <x:c r="A1308" s="192" t="str">
        <x:v>width</x:v>
      </x:c>
      <x:c r="B1308" s="192" t="str">
        <x:v>n.</x:v>
      </x:c>
      <x:c r="C1308" s="194" t="str">
        <x:v>ширина</x:v>
      </x:c>
      <x:c r="D1308" s="195" t="str">
        <x:v>Вимірювання розміру чого-небудь з боку в бік.</x:v>
      </x:c>
      <x:c r="E1308" s="192" t="str">
        <x:v>Oxford C1</x:v>
      </x:c>
      <x:c r="F1308" s="192" t="str">
        <x:v>Core</x:v>
      </x:c>
      <x:c r="G1308" s="192" t="str">
        <x:v>Not Started</x:v>
      </x:c>
      <x:c r="H1308" s="192" t="n">
        <x:v>0</x:v>
      </x:c>
    </x:row>
    <x:row r="1309" ht="56" customHeight="1">
      <x:c r="A1309" s="192" t="str">
        <x:v>willingness</x:v>
      </x:c>
      <x:c r="B1309" s="192" t="str">
        <x:v>n.</x:v>
      </x:c>
      <x:c r="C1309" s="194" t="str">
        <x:v>бажання</x:v>
      </x:c>
      <x:c r="D1309" s="195" t="str">
        <x:v>Стан бажання</x:v>
      </x:c>
      <x:c r="E1309" s="192" t="str">
        <x:v>Oxford C1</x:v>
      </x:c>
      <x:c r="F1309" s="192" t="str">
        <x:v>Core</x:v>
      </x:c>
      <x:c r="G1309" s="192" t="str">
        <x:v>Not Started</x:v>
      </x:c>
      <x:c r="H1309" s="192" t="n">
        <x:v>0</x:v>
      </x:c>
    </x:row>
    <x:row r="1310" ht="56" customHeight="1">
      <x:c r="A1310" s="192" t="str">
        <x:v>wipe</x:v>
      </x:c>
      <x:c r="B1310" s="192" t="str">
        <x:v>v.</x:v>
      </x:c>
      <x:c r="C1310" s="194" t="str">
        <x:v>витирати</x:v>
      </x:c>
      <x:c r="D1310" s="195" t="str">
        <x:v>Переміщати предмет, зберігаючи контакт, з наміром видалити якусь речовину з поверхні. (Порівняйте руб.)</x:v>
      </x:c>
      <x:c r="E1310" s="192" t="str">
        <x:v>Oxford C1</x:v>
      </x:c>
      <x:c r="F1310" s="192" t="str">
        <x:v>Core</x:v>
      </x:c>
      <x:c r="G1310" s="192" t="str">
        <x:v>Not Started</x:v>
      </x:c>
      <x:c r="H1310" s="192" t="n">
        <x:v>0</x:v>
      </x:c>
    </x:row>
    <x:row r="1311" ht="56" customHeight="1">
      <x:c r="A1311" s="192" t="str">
        <x:v>wit</x:v>
      </x:c>
      <x:c r="B1311" s="192" t="str">
        <x:v>n.</x:v>
      </x:c>
      <x:c r="C1311" s="194" t="str">
        <x:v>розум</x:v>
      </x:c>
      <x:c r="D1311" s="195" t="str">
        <x:v>Гумор, особливо коли розумний або швидкий.</x:v>
      </x:c>
      <x:c r="E1311" s="192" t="str">
        <x:v>Oxford C1</x:v>
      </x:c>
      <x:c r="F1311" s="192" t="str">
        <x:v>Core</x:v>
      </x:c>
      <x:c r="G1311" s="192" t="str">
        <x:v>Not Started</x:v>
      </x:c>
      <x:c r="H1311" s="192" t="n">
        <x:v>0</x:v>
      </x:c>
    </x:row>
    <x:row r="1312" ht="56" customHeight="1">
      <x:c r="A1312" s="192" t="str">
        <x:v>withdrawal</x:v>
      </x:c>
      <x:c r="B1312" s="192" t="str">
        <x:v>n.</x:v>
      </x:c>
      <x:c r="C1312" s="194" t="str">
        <x:v>вилучення</x:v>
      </x:c>
      <x:c r="D1312" s="195" t="str">
        <x:v>Тип метаболічного шоку, якого зазнає організм, коли речовина (наприклад, ліки), від якої пацієнт залежний, не приймається.</x:v>
      </x:c>
      <x:c r="E1312" s="192" t="str">
        <x:v>Oxford C1</x:v>
      </x:c>
      <x:c r="F1312" s="192" t="str">
        <x:v>Core</x:v>
      </x:c>
      <x:c r="G1312" s="192" t="str">
        <x:v>Not Started</x:v>
      </x:c>
      <x:c r="H1312" s="192" t="n">
        <x:v>0</x:v>
      </x:c>
    </x:row>
    <x:row r="1313" ht="56" customHeight="1">
      <x:c r="A1313" s="192" t="str">
        <x:v>workout</x:v>
      </x:c>
      <x:c r="B1313" s="192" t="str">
        <x:v>n.</x:v>
      </x:c>
      <x:c r="C1313" s="194" t="str">
        <x:v>тренування</x:v>
      </x:c>
      <x:c r="D1313" s="195" t="str">
        <x:v>ЛФК; період фізичних вправ.</x:v>
      </x:c>
      <x:c r="E1313" s="192" t="str">
        <x:v>Oxford C1</x:v>
      </x:c>
      <x:c r="F1313" s="192" t="str">
        <x:v>Core</x:v>
      </x:c>
      <x:c r="G1313" s="192" t="str">
        <x:v>Not Started</x:v>
      </x:c>
      <x:c r="H1313" s="192" t="n">
        <x:v>0</x:v>
      </x:c>
    </x:row>
    <x:row r="1314" ht="56" customHeight="1">
      <x:c r="A1314" s="192" t="str">
        <x:v>worship</x:v>
      </x:c>
      <x:c r="B1314" s="192" t="str">
        <x:v>n., v.</x:v>
      </x:c>
      <x:c r="C1314" s="194" t="str">
        <x:v>поклоніння</x:v>
      </x:c>
      <x:c r="D1314" s="195" t="str">
        <x:v>Шанувати (божество тощо) з найвищою пошаною та шануванням; виконувати релігійні вправи на честь.</x:v>
      </x:c>
      <x:c r="E1314" s="192" t="str">
        <x:v>Oxford C1</x:v>
      </x:c>
      <x:c r="F1314" s="192" t="str">
        <x:v>Core</x:v>
      </x:c>
      <x:c r="G1314" s="192" t="str">
        <x:v>Not Started</x:v>
      </x:c>
      <x:c r="H1314" s="192" t="n">
        <x:v>0</x:v>
      </x:c>
    </x:row>
    <x:row r="1315" ht="56" customHeight="1">
      <x:c r="A1315" s="192" t="str">
        <x:v>worthwhile</x:v>
      </x:c>
      <x:c r="B1315" s="192" t="str">
        <x:v>adj.</x:v>
      </x:c>
      <x:c r="C1315" s="194" t="str">
        <x:v>вартий</x:v>
      </x:c>
      <x:c r="D1315" s="195" t="str">
        <x:v>Хороший і достатньо важливий, щоб витратити на нього час, зусилля чи гроші.</x:v>
      </x:c>
      <x:c r="E1315" s="192" t="str">
        <x:v>Oxford C1</x:v>
      </x:c>
      <x:c r="F1315" s="192" t="str">
        <x:v>Core</x:v>
      </x:c>
      <x:c r="G1315" s="192" t="str">
        <x:v>Not Started</x:v>
      </x:c>
      <x:c r="H1315" s="192" t="n">
        <x:v>0</x:v>
      </x:c>
    </x:row>
    <x:row r="1316" ht="56" customHeight="1">
      <x:c r="A1316" s="192" t="str">
        <x:v>worthy</x:v>
      </x:c>
      <x:c r="B1316" s="192" t="str">
        <x:v>adj.</x:v>
      </x:c>
      <x:c r="C1316" s="194" t="str">
        <x:v>гідний</x:v>
      </x:c>
      <x:c r="D1316" s="195" t="str">
        <x:v>Мати цінність, заслуги або цінність.</x:v>
      </x:c>
      <x:c r="E1316" s="192" t="str">
        <x:v>Oxford C1</x:v>
      </x:c>
      <x:c r="F1316" s="192" t="str">
        <x:v>Core</x:v>
      </x:c>
      <x:c r="G1316" s="192" t="str">
        <x:v>Not Started</x:v>
      </x:c>
      <x:c r="H1316" s="192" t="n">
        <x:v>0</x:v>
      </x:c>
    </x:row>
    <x:row r="1317" ht="56" customHeight="1">
      <x:c r="A1317" s="192" t="str">
        <x:v>yell</x:v>
      </x:c>
      <x:c r="B1317" s="192" t="str">
        <x:v>v.</x:v>
      </x:c>
      <x:c r="C1317" s="194" t="str">
        <x:v>кричати</x:v>
      </x:c>
      <x:c r="D1317" s="195" t="str">
        <x:v>Кричати; гукаючий; видавати голосом гучний звук, особливо для вираження сильних емоцій, таких як гнів або хвилювання.</x:v>
      </x:c>
      <x:c r="E1317" s="192" t="str">
        <x:v>Oxford C1</x:v>
      </x:c>
      <x:c r="F1317" s="192" t="str">
        <x:v>Core</x:v>
      </x:c>
      <x:c r="G1317" s="192" t="str">
        <x:v>Not Started</x:v>
      </x:c>
      <x:c r="H1317" s="192" t="n">
        <x:v>0</x:v>
      </x:c>
    </x:row>
    <x:row r="1318" ht="56" customHeight="1">
      <x:c r="A1318" s="192" t="str">
        <x:v>yield</x:v>
      </x:c>
      <x:c r="B1318" s="192" t="str">
        <x:v>n., v.</x:v>
      </x:c>
      <x:c r="C1318" s="194" t="str">
        <x:v>врожайність; давати результат; поступатися</x:v>
      </x:c>
      <x:c r="D1318" s="195" t="str">
        <x:v>Дати як результат або результат; виробляти або рендерити.</x:v>
      </x:c>
      <x:c r="E1318" s="192" t="str">
        <x:v>Oxford C1</x:v>
      </x:c>
      <x:c r="F1318" s="192" t="str">
        <x:v>Core</x:v>
      </x:c>
      <x:c r="G1318" s="192" t="str">
        <x:v>Not Started</x:v>
      </x:c>
      <x:c r="H1318" s="192" t="n">
        <x:v>0</x:v>
      </x:c>
    </x:row>
    <x:row r="1319" ht="56" customHeight="1">
      <x:c r="A1319" s="192" t="str">
        <x:v>youngster</x:v>
      </x:c>
      <x:c r="B1319" s="192" t="str">
        <x:v>n.</x:v>
      </x:c>
      <x:c r="C1319" s="194" t="str">
        <x:v>юнак</x:v>
      </x:c>
      <x:c r="D1319" s="195" t="str">
        <x:v>Молода особа.</x:v>
      </x:c>
      <x:c r="E1319" s="192" t="str">
        <x:v>Oxford C1</x:v>
      </x:c>
      <x:c r="F1319" s="192" t="str">
        <x:v>Core</x:v>
      </x:c>
      <x:c r="G1319" s="192" t="str">
        <x:v>Not Started</x:v>
      </x:c>
      <x:c r="H1319" s="192" t="n">
        <x:v>0</x:v>
      </x:c>
    </x:row>
    <x:row r="1320" ht="56" customHeight="1">
      <x:c r="A1320" s="192" t="str">
        <x:v>analysis</x:v>
      </x:c>
      <x:c r="B1320" s="192" t="str">
        <x:v>word family</x:v>
      </x:c>
      <x:c r="C1320" s="194" t="str">
        <x:v>аналіз</x:v>
      </x:c>
      <x:c r="D1320" s="195" t="str">
        <x:v>Розкладання на компоненти з метою вивчення (складна річ, концепція, теорія тощо).</x:v>
      </x:c>
      <x:c r="E1320" s="192" t="str">
        <x:v>AWL 1</x:v>
      </x:c>
      <x:c r="F1320" s="192" t="str">
        <x:v>High</x:v>
      </x:c>
      <x:c r="G1320" s="192" t="str">
        <x:v>Not Started</x:v>
      </x:c>
      <x:c r="H1320" s="192" t="n">
        <x:v>0</x:v>
      </x:c>
    </x:row>
    <x:row r="1321" ht="56" customHeight="1">
      <x:c r="A1321" s="192" t="str">
        <x:v>approach</x:v>
      </x:c>
      <x:c r="B1321" s="192" t="str">
        <x:v>word family</x:v>
      </x:c>
      <x:c r="C1321" s="194" t="str">
        <x:v>підхід; метод</x:v>
      </x:c>
      <x:c r="D1321" s="195" t="str">
        <x:v>Приходити або йти поблизу, у місці чи часі; рухатися назустріч; просуватися ближче; наблизитися.</x:v>
      </x:c>
      <x:c r="E1321" s="192" t="str">
        <x:v>AWL 1</x:v>
      </x:c>
      <x:c r="F1321" s="192" t="str">
        <x:v>High</x:v>
      </x:c>
      <x:c r="G1321" s="192" t="str">
        <x:v>Not Started</x:v>
      </x:c>
      <x:c r="H1321" s="192" t="n">
        <x:v>0</x:v>
      </x:c>
    </x:row>
    <x:row r="1322" ht="56" customHeight="1">
      <x:c r="A1322" s="192" t="str">
        <x:v>area</x:v>
      </x:c>
      <x:c r="B1322" s="192" t="str">
        <x:v>word family</x:v>
      </x:c>
      <x:c r="C1322" s="194" t="str">
        <x:v>галузь; сфера; область</x:v>
      </x:c>
      <x:c r="D1322" s="195" t="str">
        <x:v>Певний географічний регіон.</x:v>
      </x:c>
      <x:c r="E1322" s="192" t="str">
        <x:v>AWL 1</x:v>
      </x:c>
      <x:c r="F1322" s="192" t="str">
        <x:v>High</x:v>
      </x:c>
      <x:c r="G1322" s="192" t="str">
        <x:v>Not Started</x:v>
      </x:c>
      <x:c r="H1322" s="192" t="n">
        <x:v>0</x:v>
      </x:c>
    </x:row>
    <x:row r="1323" ht="56" customHeight="1">
      <x:c r="A1323" s="192" t="str">
        <x:v>assessment</x:v>
      </x:c>
      <x:c r="B1323" s="192" t="str">
        <x:v>word family</x:v>
      </x:c>
      <x:c r="C1323" s="194" t="str">
        <x:v>оцінювання; оцінка</x:v>
      </x:c>
      <x:c r="D1323" s="195" t="str">
        <x:v>Оцінка або оцінка.</x:v>
      </x:c>
      <x:c r="E1323" s="192" t="str">
        <x:v>AWL 1</x:v>
      </x:c>
      <x:c r="F1323" s="192" t="str">
        <x:v>High</x:v>
      </x:c>
      <x:c r="G1323" s="192" t="str">
        <x:v>Not Started</x:v>
      </x:c>
      <x:c r="H1323" s="192" t="n">
        <x:v>0</x:v>
      </x:c>
    </x:row>
    <x:row r="1324" ht="56" customHeight="1">
      <x:c r="A1324" s="192" t="str">
        <x:v>assume</x:v>
      </x:c>
      <x:c r="B1324" s="192" t="str">
        <x:v>word family</x:v>
      </x:c>
      <x:c r="C1324" s="194" t="str">
        <x:v>припускати; брати на себе</x:v>
      </x:c>
      <x:c r="D1324" s="195" t="str">
        <x:v>Автентифікувати за допомогою віри; здогадуватися; вважати правдивим, особливо без доказів.</x:v>
      </x:c>
      <x:c r="E1324" s="192" t="str">
        <x:v>AWL 1</x:v>
      </x:c>
      <x:c r="F1324" s="192" t="str">
        <x:v>High</x:v>
      </x:c>
      <x:c r="G1324" s="192" t="str">
        <x:v>Not Started</x:v>
      </x:c>
      <x:c r="H1324" s="192" t="n">
        <x:v>0</x:v>
      </x:c>
    </x:row>
    <x:row r="1325" ht="56" customHeight="1">
      <x:c r="A1325" s="192" t="str">
        <x:v>authority</x:v>
      </x:c>
      <x:c r="B1325" s="192" t="str">
        <x:v>word family</x:v>
      </x:c>
      <x:c r="C1325" s="194" t="str">
        <x:v>орган влади; повноваження; авторитет</x:v>
      </x:c>
      <x:c r="D1325" s="195" t="str">
        <x:v>Влада або право встановлювати або запроваджувати правила, віддавати накази чи накладати зобов’язання; або посада, яка має таку владу чи право.</x:v>
      </x:c>
      <x:c r="E1325" s="192" t="str">
        <x:v>AWL 1</x:v>
      </x:c>
      <x:c r="F1325" s="192" t="str">
        <x:v>High</x:v>
      </x:c>
      <x:c r="G1325" s="192" t="str">
        <x:v>Not Started</x:v>
      </x:c>
      <x:c r="H1325" s="192" t="n">
        <x:v>0</x:v>
      </x:c>
    </x:row>
    <x:row r="1326" ht="56" customHeight="1">
      <x:c r="A1326" s="192" t="str">
        <x:v>available</x:v>
      </x:c>
      <x:c r="B1326" s="192" t="str">
        <x:v>word family</x:v>
      </x:c>
      <x:c r="C1326" s="194" t="str">
        <x:v>доступний; наявний</x:v>
      </x:c>
      <x:c r="D1326" s="195" t="str">
        <x:v>Легко доступний.</x:v>
      </x:c>
      <x:c r="E1326" s="192" t="str">
        <x:v>AWL 1</x:v>
      </x:c>
      <x:c r="F1326" s="192" t="str">
        <x:v>High</x:v>
      </x:c>
      <x:c r="G1326" s="192" t="str">
        <x:v>Not Started</x:v>
      </x:c>
      <x:c r="H1326" s="192" t="n">
        <x:v>0</x:v>
      </x:c>
    </x:row>
    <x:row r="1327" ht="56" customHeight="1">
      <x:c r="A1327" s="192" t="str">
        <x:v>benefit</x:v>
      </x:c>
      <x:c r="B1327" s="192" t="str">
        <x:v>word family</x:v>
      </x:c>
      <x:c r="C1327" s="194" t="str">
        <x:v>користь; перевага; приносити користь</x:v>
      </x:c>
      <x:c r="D1327" s="195" t="str">
        <x:v>Перевага; допомога або допомога від чогось.</x:v>
      </x:c>
      <x:c r="E1327" s="192" t="str">
        <x:v>AWL 1</x:v>
      </x:c>
      <x:c r="F1327" s="192" t="str">
        <x:v>High</x:v>
      </x:c>
      <x:c r="G1327" s="192" t="str">
        <x:v>Not Started</x:v>
      </x:c>
      <x:c r="H1327" s="192" t="n">
        <x:v>0</x:v>
      </x:c>
    </x:row>
    <x:row r="1328" ht="56" customHeight="1">
      <x:c r="A1328" s="192" t="str">
        <x:v>concept</x:v>
      </x:c>
      <x:c r="B1328" s="192" t="str">
        <x:v>word family</x:v>
      </x:c>
      <x:c r="C1328" s="194" t="str">
        <x:v>поняття; концепція</x:v>
      </x:c>
      <x:c r="D1328" s="195" t="str">
        <x:v>Абстрактна і загальна ідея; абстракція.</x:v>
      </x:c>
      <x:c r="E1328" s="192" t="str">
        <x:v>AWL 1</x:v>
      </x:c>
      <x:c r="F1328" s="192" t="str">
        <x:v>High</x:v>
      </x:c>
      <x:c r="G1328" s="192" t="str">
        <x:v>Not Started</x:v>
      </x:c>
      <x:c r="H1328" s="192" t="n">
        <x:v>0</x:v>
      </x:c>
    </x:row>
    <x:row r="1329" ht="56" customHeight="1">
      <x:c r="A1329" s="192" t="str">
        <x:v>consistent</x:v>
      </x:c>
      <x:c r="B1329" s="192" t="str">
        <x:v>word family</x:v>
      </x:c>
      <x:c r="C1329" s="194" t="str">
        <x:v>послідовний; узгоджений; сталий</x:v>
      </x:c>
      <x:c r="D1329" s="195" t="str">
        <x:v>Регулярного, надійного характеру.</x:v>
      </x:c>
      <x:c r="E1329" s="192" t="str">
        <x:v>AWL 1</x:v>
      </x:c>
      <x:c r="F1329" s="192" t="str">
        <x:v>High</x:v>
      </x:c>
      <x:c r="G1329" s="192" t="str">
        <x:v>Not Started</x:v>
      </x:c>
      <x:c r="H1329" s="192" t="n">
        <x:v>0</x:v>
      </x:c>
    </x:row>
    <x:row r="1330" ht="56" customHeight="1">
      <x:c r="A1330" s="192" t="str">
        <x:v>context</x:v>
      </x:c>
      <x:c r="B1330" s="192" t="str">
        <x:v>word family</x:v>
      </x:c>
      <x:c r="C1330" s="194" t="str">
        <x:v>контекст</x:v>
      </x:c>
      <x:c r="D1330" s="195" t="str">
        <x:v>Оточення, обставини, навколишнє середовище, фон або налаштування, які визначають, уточнюють або уточнюють значення події чи іншого явища.</x:v>
      </x:c>
      <x:c r="E1330" s="192" t="str">
        <x:v>AWL 1</x:v>
      </x:c>
      <x:c r="F1330" s="192" t="str">
        <x:v>High</x:v>
      </x:c>
      <x:c r="G1330" s="192" t="str">
        <x:v>Not Started</x:v>
      </x:c>
      <x:c r="H1330" s="192" t="n">
        <x:v>0</x:v>
      </x:c>
    </x:row>
    <x:row r="1331" ht="56" customHeight="1">
      <x:c r="A1331" s="192" t="str">
        <x:v>contract</x:v>
      </x:c>
      <x:c r="B1331" s="192" t="str">
        <x:v>word family</x:v>
      </x:c>
      <x:c r="C1331" s="194" t="str">
        <x:v>договір; укладати контракт; скорочуватися</x:v>
      </x:c>
      <x:c r="D1331" s="195" t="str">
        <x:v>Угода між двома чи більше сторонами про виконання певної роботи або замовлення, часто тимчасова або на фіксований термін і зазвичай регулюється письмовою угодою.</x:v>
      </x:c>
      <x:c r="E1331" s="192" t="str">
        <x:v>AWL 1</x:v>
      </x:c>
      <x:c r="F1331" s="192" t="str">
        <x:v>High</x:v>
      </x:c>
      <x:c r="G1331" s="192" t="str">
        <x:v>Not Started</x:v>
      </x:c>
      <x:c r="H1331" s="192" t="n">
        <x:v>0</x:v>
      </x:c>
    </x:row>
    <x:row r="1332" ht="56" customHeight="1">
      <x:c r="A1332" s="192" t="str">
        <x:v>create</x:v>
      </x:c>
      <x:c r="B1332" s="192" t="str">
        <x:v>word family</x:v>
      </x:c>
      <x:c r="C1332" s="194" t="str">
        <x:v>створювати</x:v>
      </x:c>
      <x:c r="D1332" s="195" t="str">
        <x:v>Привести в існування; (іноді зокрема :)</x:v>
      </x:c>
      <x:c r="E1332" s="192" t="str">
        <x:v>AWL 1</x:v>
      </x:c>
      <x:c r="F1332" s="192" t="str">
        <x:v>High</x:v>
      </x:c>
      <x:c r="G1332" s="192" t="str">
        <x:v>Not Started</x:v>
      </x:c>
      <x:c r="H1332" s="192" t="n">
        <x:v>0</x:v>
      </x:c>
    </x:row>
    <x:row r="1333" ht="56" customHeight="1">
      <x:c r="A1333" s="192" t="str">
        <x:v>data</x:v>
      </x:c>
      <x:c r="B1333" s="192" t="str">
        <x:v>word family</x:v>
      </x:c>
      <x:c r="C1333" s="194" t="str">
        <x:v>дані</x:v>
      </x:c>
      <x:c r="D1333" s="195" t="str">
        <x:v>Матеріал, записаний і відомий або прийнятий як факти та використаний як основа для міркувань, обговорень або обчислень, представлений у формі чисел і зазвичай структурований (наприклад, статистика).</x:v>
      </x:c>
      <x:c r="E1333" s="192" t="str">
        <x:v>AWL 1</x:v>
      </x:c>
      <x:c r="F1333" s="192" t="str">
        <x:v>High</x:v>
      </x:c>
      <x:c r="G1333" s="192" t="str">
        <x:v>Not Started</x:v>
      </x:c>
      <x:c r="H1333" s="192" t="n">
        <x:v>0</x:v>
      </x:c>
    </x:row>
    <x:row r="1334" ht="56" customHeight="1">
      <x:c r="A1334" s="192" t="str">
        <x:v>definition</x:v>
      </x:c>
      <x:c r="B1334" s="192" t="str">
        <x:v>word family</x:v>
      </x:c>
      <x:c r="C1334" s="194" t="str">
        <x:v>визначення</x:v>
      </x:c>
      <x:c r="D1334" s="195" t="str">
        <x:v>Виклад значення слова, групи слів, знака чи символу; особливо словникове визначення.</x:v>
      </x:c>
      <x:c r="E1334" s="192" t="str">
        <x:v>AWL 1</x:v>
      </x:c>
      <x:c r="F1334" s="192" t="str">
        <x:v>High</x:v>
      </x:c>
      <x:c r="G1334" s="192" t="str">
        <x:v>Not Started</x:v>
      </x:c>
      <x:c r="H1334" s="192" t="n">
        <x:v>0</x:v>
      </x:c>
    </x:row>
    <x:row r="1335" ht="56" customHeight="1">
      <x:c r="A1335" s="192" t="str">
        <x:v>derived</x:v>
      </x:c>
      <x:c r="B1335" s="192" t="str">
        <x:v>word family</x:v>
      </x:c>
      <x:c r="C1335" s="194" t="str">
        <x:v>похідний; отриманий</x:v>
      </x:c>
      <x:c r="D1335" s="195" t="str">
        <x:v>Продукт деривації</x:v>
      </x:c>
      <x:c r="E1335" s="192" t="str">
        <x:v>AWL 1</x:v>
      </x:c>
      <x:c r="F1335" s="192" t="str">
        <x:v>High</x:v>
      </x:c>
      <x:c r="G1335" s="192" t="str">
        <x:v>Not Started</x:v>
      </x:c>
      <x:c r="H1335" s="192" t="n">
        <x:v>0</x:v>
      </x:c>
    </x:row>
    <x:row r="1336" ht="56" customHeight="1">
      <x:c r="A1336" s="192" t="str">
        <x:v>distribution</x:v>
      </x:c>
      <x:c r="B1336" s="192" t="str">
        <x:v>word family</x:v>
      </x:c>
      <x:c r="C1336" s="194" t="str">
        <x:v>розподіл; поширення</x:v>
      </x:c>
      <x:c r="D1336" s="195" t="str">
        <x:v>Акт розповсюдження або стан розповсюдження.</x:v>
      </x:c>
      <x:c r="E1336" s="192" t="str">
        <x:v>AWL 1</x:v>
      </x:c>
      <x:c r="F1336" s="192" t="str">
        <x:v>High</x:v>
      </x:c>
      <x:c r="G1336" s="192" t="str">
        <x:v>Not Started</x:v>
      </x:c>
      <x:c r="H1336" s="192" t="n">
        <x:v>0</x:v>
      </x:c>
    </x:row>
    <x:row r="1337" ht="56" customHeight="1">
      <x:c r="A1337" s="192" t="str">
        <x:v>economic</x:v>
      </x:c>
      <x:c r="B1337" s="192" t="str">
        <x:v>word family</x:v>
      </x:c>
      <x:c r="C1337" s="194" t="str">
        <x:v>економічний</x:v>
      </x:c>
      <x:c r="D1337" s="195" t="str">
        <x:v>Що стосується економіки.</x:v>
      </x:c>
      <x:c r="E1337" s="192" t="str">
        <x:v>AWL 1</x:v>
      </x:c>
      <x:c r="F1337" s="192" t="str">
        <x:v>High</x:v>
      </x:c>
      <x:c r="G1337" s="192" t="str">
        <x:v>Not Started</x:v>
      </x:c>
      <x:c r="H1337" s="192" t="n">
        <x:v>0</x:v>
      </x:c>
    </x:row>
    <x:row r="1338" ht="56" customHeight="1">
      <x:c r="A1338" s="192" t="str">
        <x:v>environment</x:v>
      </x:c>
      <x:c r="B1338" s="192" t="str">
        <x:v>word family</x:v>
      </x:c>
      <x:c r="C1338" s="194" t="str">
        <x:v>довкілля; середовище</x:v>
      </x:c>
      <x:c r="D1338" s="195" t="str">
        <x:v>Природний світ або екосистема.</x:v>
      </x:c>
      <x:c r="E1338" s="192" t="str">
        <x:v>AWL 1</x:v>
      </x:c>
      <x:c r="F1338" s="192" t="str">
        <x:v>High</x:v>
      </x:c>
      <x:c r="G1338" s="192" t="str">
        <x:v>Not Started</x:v>
      </x:c>
      <x:c r="H1338" s="192" t="n">
        <x:v>0</x:v>
      </x:c>
    </x:row>
    <x:row r="1339" ht="56" customHeight="1">
      <x:c r="A1339" s="192" t="str">
        <x:v>established</x:v>
      </x:c>
      <x:c r="B1339" s="192" t="str">
        <x:v>word family</x:v>
      </x:c>
      <x:c r="C1339" s="194" t="str">
        <x:v>встановлений; усталений</x:v>
      </x:c>
      <x:c r="D1339" s="195" t="str">
        <x:v>Існуючи протягом тривалого часу, тому визнаний і загальновизнаний.</x:v>
      </x:c>
      <x:c r="E1339" s="192" t="str">
        <x:v>AWL 1</x:v>
      </x:c>
      <x:c r="F1339" s="192" t="str">
        <x:v>High</x:v>
      </x:c>
      <x:c r="G1339" s="192" t="str">
        <x:v>Not Started</x:v>
      </x:c>
      <x:c r="H1339" s="192" t="n">
        <x:v>0</x:v>
      </x:c>
    </x:row>
    <x:row r="1340" ht="56" customHeight="1">
      <x:c r="A1340" s="192" t="str">
        <x:v>estimate</x:v>
      </x:c>
      <x:c r="B1340" s="192" t="str">
        <x:v>word family</x:v>
      </x:c>
      <x:c r="C1340" s="194" t="str">
        <x:v>оцінка; оцінювати</x:v>
      </x:c>
      <x:c r="D1340" s="195" t="str">
        <x:v>Приблизний розрахунок або оцінка вартості, розміру або вартості чогось.</x:v>
      </x:c>
      <x:c r="E1340" s="192" t="str">
        <x:v>AWL 1</x:v>
      </x:c>
      <x:c r="F1340" s="192" t="str">
        <x:v>High</x:v>
      </x:c>
      <x:c r="G1340" s="192" t="str">
        <x:v>Not Started</x:v>
      </x:c>
      <x:c r="H1340" s="192" t="n">
        <x:v>0</x:v>
      </x:c>
    </x:row>
    <x:row r="1341" ht="56" customHeight="1">
      <x:c r="A1341" s="192" t="str">
        <x:v>evidence</x:v>
      </x:c>
      <x:c r="B1341" s="192" t="str">
        <x:v>word family</x:v>
      </x:c>
      <x:c r="C1341" s="194" t="str">
        <x:v>докази; свідчення</x:v>
      </x:c>
      <x:c r="D1341" s="195" t="str">
        <x:v>Факти або спостереження, представлені на підтримку твердження.</x:v>
      </x:c>
      <x:c r="E1341" s="192" t="str">
        <x:v>AWL 1</x:v>
      </x:c>
      <x:c r="F1341" s="192" t="str">
        <x:v>High</x:v>
      </x:c>
      <x:c r="G1341" s="192" t="str">
        <x:v>Not Started</x:v>
      </x:c>
      <x:c r="H1341" s="192" t="n">
        <x:v>0</x:v>
      </x:c>
    </x:row>
    <x:row r="1342" ht="56" customHeight="1">
      <x:c r="A1342" s="192" t="str">
        <x:v>export</x:v>
      </x:c>
      <x:c r="B1342" s="192" t="str">
        <x:v>word family</x:v>
      </x:c>
      <x:c r="C1342" s="194" t="str">
        <x:v>експорт; експортувати</x:v>
      </x:c>
      <x:c r="D1342" s="195" t="str">
        <x:v>Акт вивезення.</x:v>
      </x:c>
      <x:c r="E1342" s="192" t="str">
        <x:v>AWL 1</x:v>
      </x:c>
      <x:c r="F1342" s="192" t="str">
        <x:v>High</x:v>
      </x:c>
      <x:c r="G1342" s="192" t="str">
        <x:v>Not Started</x:v>
      </x:c>
      <x:c r="H1342" s="192" t="n">
        <x:v>0</x:v>
      </x:c>
    </x:row>
    <x:row r="1343" ht="56" customHeight="1">
      <x:c r="A1343" s="192" t="str">
        <x:v>factors</x:v>
      </x:c>
      <x:c r="B1343" s="192" t="str">
        <x:v>word family</x:v>
      </x:c>
      <x:c r="C1343" s="194" t="str">
        <x:v>чинники; фактори</x:v>
      </x:c>
      <x:c r="D1343" s="195" t="str">
        <x:v>Один із елементів, обставин або впливів, які сприяють досягненню результату.</x:v>
      </x:c>
      <x:c r="E1343" s="192" t="str">
        <x:v>AWL 1</x:v>
      </x:c>
      <x:c r="F1343" s="192" t="str">
        <x:v>High</x:v>
      </x:c>
      <x:c r="G1343" s="192" t="str">
        <x:v>Not Started</x:v>
      </x:c>
      <x:c r="H1343" s="192" t="n">
        <x:v>0</x:v>
      </x:c>
    </x:row>
    <x:row r="1344" ht="56" customHeight="1">
      <x:c r="A1344" s="192" t="str">
        <x:v>financial</x:v>
      </x:c>
      <x:c r="B1344" s="192" t="str">
        <x:v>word family</x:v>
      </x:c>
      <x:c r="C1344" s="194" t="str">
        <x:v>фінансовий</x:v>
      </x:c>
      <x:c r="D1344" s="195" t="str">
        <x:v>Пов'язані з фінансами.</x:v>
      </x:c>
      <x:c r="E1344" s="192" t="str">
        <x:v>AWL 1</x:v>
      </x:c>
      <x:c r="F1344" s="192" t="str">
        <x:v>High</x:v>
      </x:c>
      <x:c r="G1344" s="192" t="str">
        <x:v>Not Started</x:v>
      </x:c>
      <x:c r="H1344" s="192" t="n">
        <x:v>0</x:v>
      </x:c>
    </x:row>
    <x:row r="1345" ht="56" customHeight="1">
      <x:c r="A1345" s="192" t="str">
        <x:v>function</x:v>
      </x:c>
      <x:c r="B1345" s="192" t="str">
        <x:v>word family</x:v>
      </x:c>
      <x:c r="C1345" s="194" t="str">
        <x:v>функція; функціонувати</x:v>
      </x:c>
      <x:c r="D1345" s="195" t="str">
        <x:v>Що щось робить або для чого використовується.</x:v>
      </x:c>
      <x:c r="E1345" s="192" t="str">
        <x:v>AWL 1</x:v>
      </x:c>
      <x:c r="F1345" s="192" t="str">
        <x:v>High</x:v>
      </x:c>
      <x:c r="G1345" s="192" t="str">
        <x:v>Not Started</x:v>
      </x:c>
      <x:c r="H1345" s="192" t="n">
        <x:v>0</x:v>
      </x:c>
    </x:row>
    <x:row r="1346" ht="56" customHeight="1">
      <x:c r="A1346" s="192" t="str">
        <x:v>identified</x:v>
      </x:c>
      <x:c r="B1346" s="192" t="str">
        <x:v>word family</x:v>
      </x:c>
      <x:c r="C1346" s="194" t="str">
        <x:v>визначений; ідентифікований</x:v>
      </x:c>
      <x:c r="D1346" s="195" t="str">
        <x:v>Розпізнаний або визначений як конкретна особа, річ чи явище.</x:v>
      </x:c>
      <x:c r="E1346" s="192" t="str">
        <x:v>AWL 1</x:v>
      </x:c>
      <x:c r="F1346" s="192" t="str">
        <x:v>High</x:v>
      </x:c>
      <x:c r="G1346" s="192" t="str">
        <x:v>Not Started</x:v>
      </x:c>
      <x:c r="H1346" s="192" t="n">
        <x:v>0</x:v>
      </x:c>
    </x:row>
    <x:row r="1347" ht="56" customHeight="1">
      <x:c r="A1347" s="192" t="str">
        <x:v>income</x:v>
      </x:c>
      <x:c r="B1347" s="192" t="str">
        <x:v>word family</x:v>
      </x:c>
      <x:c r="C1347" s="194" t="str">
        <x:v>дохід</x:v>
      </x:c>
      <x:c r="D1347" s="195" t="str">
        <x:v>Гроші, які людина заробляє, працюючи або заробляючи на праці інших.</x:v>
      </x:c>
      <x:c r="E1347" s="192" t="str">
        <x:v>AWL 1</x:v>
      </x:c>
      <x:c r="F1347" s="192" t="str">
        <x:v>High</x:v>
      </x:c>
      <x:c r="G1347" s="192" t="str">
        <x:v>Not Started</x:v>
      </x:c>
      <x:c r="H1347" s="192" t="n">
        <x:v>0</x:v>
      </x:c>
    </x:row>
    <x:row r="1348" ht="56" customHeight="1">
      <x:c r="A1348" s="192" t="str">
        <x:v>indicate</x:v>
      </x:c>
      <x:c r="B1348" s="192" t="str">
        <x:v>word family</x:v>
      </x:c>
      <x:c r="C1348" s="194" t="str">
        <x:v>вказувати; свідчити</x:v>
      </x:c>
      <x:c r="D1348" s="195" t="str">
        <x:v>Вказувати; відкривати; спрямовувати до знання; показувати; зробити відомим.</x:v>
      </x:c>
      <x:c r="E1348" s="192" t="str">
        <x:v>AWL 1</x:v>
      </x:c>
      <x:c r="F1348" s="192" t="str">
        <x:v>High</x:v>
      </x:c>
      <x:c r="G1348" s="192" t="str">
        <x:v>Not Started</x:v>
      </x:c>
      <x:c r="H1348" s="192" t="n">
        <x:v>0</x:v>
      </x:c>
    </x:row>
    <x:row r="1349" ht="56" customHeight="1">
      <x:c r="A1349" s="192" t="str">
        <x:v>individual</x:v>
      </x:c>
      <x:c r="B1349" s="192" t="str">
        <x:v>word family</x:v>
      </x:c>
      <x:c r="C1349" s="194" t="str">
        <x:v>окремий; індивідуальний; особа</x:v>
      </x:c>
      <x:c r="D1349" s="195" t="str">
        <x:v>Людина, яку вважають самотньою, а не приналежною до групи людей.</x:v>
      </x:c>
      <x:c r="E1349" s="192" t="str">
        <x:v>AWL 1</x:v>
      </x:c>
      <x:c r="F1349" s="192" t="str">
        <x:v>High</x:v>
      </x:c>
      <x:c r="G1349" s="192" t="str">
        <x:v>Not Started</x:v>
      </x:c>
      <x:c r="H1349" s="192" t="n">
        <x:v>0</x:v>
      </x:c>
    </x:row>
    <x:row r="1350" ht="56" customHeight="1">
      <x:c r="A1350" s="192" t="str">
        <x:v>interpretation</x:v>
      </x:c>
      <x:c r="B1350" s="192" t="str">
        <x:v>word family</x:v>
      </x:c>
      <x:c r="C1350" s="194" t="str">
        <x:v>тлумачення; інтерпретація</x:v>
      </x:c>
      <x:c r="D1350" s="195" t="str">
        <x:v>Акт тлумачення або пояснення чогось незрозумілого; переклад; версія.</x:v>
      </x:c>
      <x:c r="E1350" s="192" t="str">
        <x:v>AWL 1</x:v>
      </x:c>
      <x:c r="F1350" s="192" t="str">
        <x:v>High</x:v>
      </x:c>
      <x:c r="G1350" s="192" t="str">
        <x:v>Not Started</x:v>
      </x:c>
      <x:c r="H1350" s="192" t="n">
        <x:v>0</x:v>
      </x:c>
    </x:row>
    <x:row r="1351" ht="56" customHeight="1">
      <x:c r="A1351" s="192" t="str">
        <x:v>involved</x:v>
      </x:c>
      <x:c r="B1351" s="192" t="str">
        <x:v>word family</x:v>
      </x:c>
      <x:c r="C1351" s="194" t="str">
        <x:v>залучений; пов’язаний</x:v>
      </x:c>
      <x:c r="D1351" s="195" t="str">
        <x:v>Пов'язувати з іншими, бути учасником або зробити когось учасником (у злочині, процесі тощо)</x:v>
      </x:c>
      <x:c r="E1351" s="192" t="str">
        <x:v>AWL 1</x:v>
      </x:c>
      <x:c r="F1351" s="192" t="str">
        <x:v>High</x:v>
      </x:c>
      <x:c r="G1351" s="192" t="str">
        <x:v>Not Started</x:v>
      </x:c>
      <x:c r="H1351" s="192" t="n">
        <x:v>0</x:v>
      </x:c>
    </x:row>
    <x:row r="1352" ht="56" customHeight="1">
      <x:c r="A1352" s="192" t="str">
        <x:v>issues</x:v>
      </x:c>
      <x:c r="B1352" s="192" t="str">
        <x:v>word family</x:v>
      </x:c>
      <x:c r="C1352" s="194" t="str">
        <x:v>питання; проблеми</x:v>
      </x:c>
      <x:c r="D1352" s="195" t="str">
        <x:v>Важливі питання або проблеми, які потребують обговорення чи розв’язання.</x:v>
      </x:c>
      <x:c r="E1352" s="192" t="str">
        <x:v>AWL 1</x:v>
      </x:c>
      <x:c r="F1352" s="192" t="str">
        <x:v>High</x:v>
      </x:c>
      <x:c r="G1352" s="192" t="str">
        <x:v>Not Started</x:v>
      </x:c>
      <x:c r="H1352" s="192" t="n">
        <x:v>0</x:v>
      </x:c>
    </x:row>
    <x:row r="1353" ht="56" customHeight="1">
      <x:c r="A1353" s="192" t="str">
        <x:v>labour</x:v>
      </x:c>
      <x:c r="B1353" s="192" t="str">
        <x:v>word family</x:v>
      </x:c>
      <x:c r="C1353" s="194" t="str">
        <x:v>праця; робоча сила</x:v>
      </x:c>
      <x:c r="D1353" s="195" t="str">
        <x:v>Зусилля, витрачені на певне завдання; трудитися, працювати.</x:v>
      </x:c>
      <x:c r="E1353" s="192" t="str">
        <x:v>AWL 1</x:v>
      </x:c>
      <x:c r="F1353" s="192" t="str">
        <x:v>High</x:v>
      </x:c>
      <x:c r="G1353" s="192" t="str">
        <x:v>Not Started</x:v>
      </x:c>
      <x:c r="H1353" s="192" t="n">
        <x:v>0</x:v>
      </x:c>
    </x:row>
    <x:row r="1354" ht="56" customHeight="1">
      <x:c r="A1354" s="192" t="str">
        <x:v>legal</x:v>
      </x:c>
      <x:c r="B1354" s="192" t="str">
        <x:v>word family</x:v>
      </x:c>
      <x:c r="C1354" s="194" t="str">
        <x:v>правовий; юридичний</x:v>
      </x:c>
      <x:c r="D1354" s="195" t="str">
        <x:v>Що стосується права або юристів.</x:v>
      </x:c>
      <x:c r="E1354" s="192" t="str">
        <x:v>AWL 1</x:v>
      </x:c>
      <x:c r="F1354" s="192" t="str">
        <x:v>High</x:v>
      </x:c>
      <x:c r="G1354" s="192" t="str">
        <x:v>Not Started</x:v>
      </x:c>
      <x:c r="H1354" s="192" t="n">
        <x:v>0</x:v>
      </x:c>
    </x:row>
    <x:row r="1355" ht="56" customHeight="1">
      <x:c r="A1355" s="192" t="str">
        <x:v>major</x:v>
      </x:c>
      <x:c r="B1355" s="192" t="str">
        <x:v>word family</x:v>
      </x:c>
      <x:c r="C1355" s="194" t="str">
        <x:v>головний; основний; спеціальність</x:v>
      </x:c>
      <x:c r="D1355" s="195" t="str">
        <x:v>Більший за гідністю, рангом, важливістю, значущістю чи інтересом.</x:v>
      </x:c>
      <x:c r="E1355" s="192" t="str">
        <x:v>AWL 1</x:v>
      </x:c>
      <x:c r="F1355" s="192" t="str">
        <x:v>High</x:v>
      </x:c>
      <x:c r="G1355" s="192" t="str">
        <x:v>Not Started</x:v>
      </x:c>
      <x:c r="H1355" s="192" t="n">
        <x:v>0</x:v>
      </x:c>
    </x:row>
    <x:row r="1356" ht="56" customHeight="1">
      <x:c r="A1356" s="192" t="str">
        <x:v>method</x:v>
      </x:c>
      <x:c r="B1356" s="192" t="str">
        <x:v>word family</x:v>
      </x:c>
      <x:c r="C1356" s="194" t="str">
        <x:v>метод</x:v>
      </x:c>
      <x:c r="D1356" s="195" t="str">
        <x:v>Процес, за допомогою якого виконується завдання; спосіб виконання чогось (з наступним додаванням, до або для мети процесу).</x:v>
      </x:c>
      <x:c r="E1356" s="192" t="str">
        <x:v>AWL 1</x:v>
      </x:c>
      <x:c r="F1356" s="192" t="str">
        <x:v>High</x:v>
      </x:c>
      <x:c r="G1356" s="192" t="str">
        <x:v>Not Started</x:v>
      </x:c>
      <x:c r="H1356" s="192" t="n">
        <x:v>0</x:v>
      </x:c>
    </x:row>
    <x:row r="1357" ht="56" customHeight="1">
      <x:c r="A1357" s="192" t="str">
        <x:v>occur</x:v>
      </x:c>
      <x:c r="B1357" s="192" t="str">
        <x:v>word family</x:v>
      </x:c>
      <x:c r="C1357" s="194" t="str">
        <x:v>відбуватися; траплятися</x:v>
      </x:c>
      <x:c r="D1357" s="195" t="str">
        <x:v>Відбутися або мати місце.</x:v>
      </x:c>
      <x:c r="E1357" s="192" t="str">
        <x:v>AWL 1</x:v>
      </x:c>
      <x:c r="F1357" s="192" t="str">
        <x:v>High</x:v>
      </x:c>
      <x:c r="G1357" s="192" t="str">
        <x:v>Not Started</x:v>
      </x:c>
      <x:c r="H1357" s="192" t="n">
        <x:v>0</x:v>
      </x:c>
    </x:row>
    <x:row r="1358" ht="56" customHeight="1">
      <x:c r="A1358" s="192" t="str">
        <x:v>percent</x:v>
      </x:c>
      <x:c r="B1358" s="192" t="str">
        <x:v>word family</x:v>
      </x:c>
      <x:c r="C1358" s="194" t="str">
        <x:v>відсоток</x:v>
      </x:c>
      <x:c r="D1358" s="195" t="str">
        <x:v>На кожну сотню (використовується з попереднім числівником для утворення іменника, що виражає пропорцію).</x:v>
      </x:c>
      <x:c r="E1358" s="192" t="str">
        <x:v>AWL 1</x:v>
      </x:c>
      <x:c r="F1358" s="192" t="str">
        <x:v>High</x:v>
      </x:c>
      <x:c r="G1358" s="192" t="str">
        <x:v>Not Started</x:v>
      </x:c>
      <x:c r="H1358" s="192" t="n">
        <x:v>0</x:v>
      </x:c>
    </x:row>
    <x:row r="1359" ht="56" customHeight="1">
      <x:c r="A1359" s="192" t="str">
        <x:v>period</x:v>
      </x:c>
      <x:c r="B1359" s="192" t="str">
        <x:v>word family</x:v>
      </x:c>
      <x:c r="C1359" s="194" t="str">
        <x:v>період</x:v>
      </x:c>
      <x:c r="D1359" s="195" t="str">
        <x:v>Розділовий знак «.» (з позначенням закінчення речення або позначенням скорочення).</x:v>
      </x:c>
      <x:c r="E1359" s="192" t="str">
        <x:v>AWL 1</x:v>
      </x:c>
      <x:c r="F1359" s="192" t="str">
        <x:v>High</x:v>
      </x:c>
      <x:c r="G1359" s="192" t="str">
        <x:v>Not Started</x:v>
      </x:c>
      <x:c r="H1359" s="192" t="n">
        <x:v>0</x:v>
      </x:c>
    </x:row>
    <x:row r="1360" ht="56" customHeight="1">
      <x:c r="A1360" s="192" t="str">
        <x:v>policy</x:v>
      </x:c>
      <x:c r="B1360" s="192" t="str">
        <x:v>word family</x:v>
      </x:c>
      <x:c r="C1360" s="194" t="str">
        <x:v>політика; стратегічний курс</x:v>
      </x:c>
      <x:c r="D1360" s="195" t="str">
        <x:v>Принцип поведінки, який суб’єкт (уряд, організація тощо) застосовує або прагне дотримуватися, особливо якщо формально виражено авторитетним органом.</x:v>
      </x:c>
      <x:c r="E1360" s="192" t="str">
        <x:v>AWL 1</x:v>
      </x:c>
      <x:c r="F1360" s="192" t="str">
        <x:v>High</x:v>
      </x:c>
      <x:c r="G1360" s="192" t="str">
        <x:v>Not Started</x:v>
      </x:c>
      <x:c r="H1360" s="192" t="n">
        <x:v>0</x:v>
      </x:c>
    </x:row>
    <x:row r="1361" ht="56" customHeight="1">
      <x:c r="A1361" s="192" t="str">
        <x:v>principle</x:v>
      </x:c>
      <x:c r="B1361" s="192" t="str">
        <x:v>word family</x:v>
      </x:c>
      <x:c r="C1361" s="194" t="str">
        <x:v>принцип</x:v>
      </x:c>
      <x:c r="D1361" s="195" t="str">
        <x:v>Фундаментальне припущення або керівне переконання.</x:v>
      </x:c>
      <x:c r="E1361" s="192" t="str">
        <x:v>AWL 1</x:v>
      </x:c>
      <x:c r="F1361" s="192" t="str">
        <x:v>High</x:v>
      </x:c>
      <x:c r="G1361" s="192" t="str">
        <x:v>Not Started</x:v>
      </x:c>
      <x:c r="H1361" s="192" t="n">
        <x:v>0</x:v>
      </x:c>
    </x:row>
    <x:row r="1362" ht="56" customHeight="1">
      <x:c r="A1362" s="192" t="str">
        <x:v>procedure</x:v>
      </x:c>
      <x:c r="B1362" s="192" t="str">
        <x:v>word family</x:v>
      </x:c>
      <x:c r="C1362" s="194" t="str">
        <x:v>процедура</x:v>
      </x:c>
      <x:c r="D1362" s="195" t="str">
        <x:v>Конкретний спосіб виконання завдання.</x:v>
      </x:c>
      <x:c r="E1362" s="192" t="str">
        <x:v>AWL 1</x:v>
      </x:c>
      <x:c r="F1362" s="192" t="str">
        <x:v>High</x:v>
      </x:c>
      <x:c r="G1362" s="192" t="str">
        <x:v>Not Started</x:v>
      </x:c>
      <x:c r="H1362" s="192" t="n">
        <x:v>0</x:v>
      </x:c>
    </x:row>
    <x:row r="1363" ht="56" customHeight="1">
      <x:c r="A1363" s="192" t="str">
        <x:v>process</x:v>
      </x:c>
      <x:c r="B1363" s="192" t="str">
        <x:v>word family</x:v>
      </x:c>
      <x:c r="C1363" s="194" t="str">
        <x:v>процес; обробляти</x:v>
      </x:c>
      <x:c r="D1363" s="195" t="str">
        <x:v>Низка подій, що призводять до результату або продукту.</x:v>
      </x:c>
      <x:c r="E1363" s="192" t="str">
        <x:v>AWL 1</x:v>
      </x:c>
      <x:c r="F1363" s="192" t="str">
        <x:v>High</x:v>
      </x:c>
      <x:c r="G1363" s="192" t="str">
        <x:v>Not Started</x:v>
      </x:c>
      <x:c r="H1363" s="192" t="n">
        <x:v>0</x:v>
      </x:c>
    </x:row>
    <x:row r="1364" ht="56" customHeight="1">
      <x:c r="A1364" s="192" t="str">
        <x:v>required</x:v>
      </x:c>
      <x:c r="B1364" s="192" t="str">
        <x:v>word family</x:v>
      </x:c>
      <x:c r="C1364" s="194" t="str">
        <x:v>необхідний; обов’язковий</x:v>
      </x:c>
      <x:c r="D1364" s="195" t="str">
        <x:v>Необхідний; обов'язковий; обов'язковий.</x:v>
      </x:c>
      <x:c r="E1364" s="192" t="str">
        <x:v>AWL 1</x:v>
      </x:c>
      <x:c r="F1364" s="192" t="str">
        <x:v>High</x:v>
      </x:c>
      <x:c r="G1364" s="192" t="str">
        <x:v>Not Started</x:v>
      </x:c>
      <x:c r="H1364" s="192" t="n">
        <x:v>0</x:v>
      </x:c>
    </x:row>
    <x:row r="1365" ht="56" customHeight="1">
      <x:c r="A1365" s="192" t="str">
        <x:v>research</x:v>
      </x:c>
      <x:c r="B1365" s="192" t="str">
        <x:v>word family</x:v>
      </x:c>
      <x:c r="C1365" s="194" t="str">
        <x:v>дослідження; досліджувати</x:v>
      </x:c>
      <x:c r="D1365" s="195" t="str">
        <x:v>Старанне розслідування або перевірка з метою пошуку або перегляду фактів, принципів, теорій, застосувань тощо (які наразі доступні або знайомі).</x:v>
      </x:c>
      <x:c r="E1365" s="192" t="str">
        <x:v>AWL 1</x:v>
      </x:c>
      <x:c r="F1365" s="192" t="str">
        <x:v>High</x:v>
      </x:c>
      <x:c r="G1365" s="192" t="str">
        <x:v>Not Started</x:v>
      </x:c>
      <x:c r="H1365" s="192" t="n">
        <x:v>0</x:v>
      </x:c>
    </x:row>
    <x:row r="1366" ht="56" customHeight="1">
      <x:c r="A1366" s="192" t="str">
        <x:v>response</x:v>
      </x:c>
      <x:c r="B1366" s="192" t="str">
        <x:v>word family</x:v>
      </x:c>
      <x:c r="C1366" s="194" t="str">
        <x:v>відповідь; реакція</x:v>
      </x:c>
      <x:c r="D1366" s="195" t="str">
        <x:v>Відповідь або репліка, або щось у природі відповіді чи відповіді.</x:v>
      </x:c>
      <x:c r="E1366" s="192" t="str">
        <x:v>AWL 1</x:v>
      </x:c>
      <x:c r="F1366" s="192" t="str">
        <x:v>High</x:v>
      </x:c>
      <x:c r="G1366" s="192" t="str">
        <x:v>Not Started</x:v>
      </x:c>
      <x:c r="H1366" s="192" t="n">
        <x:v>0</x:v>
      </x:c>
    </x:row>
    <x:row r="1367" ht="56" customHeight="1">
      <x:c r="A1367" s="192" t="str">
        <x:v>role</x:v>
      </x:c>
      <x:c r="B1367" s="192" t="str">
        <x:v>word family</x:v>
      </x:c>
      <x:c r="C1367" s="194" t="str">
        <x:v>роль</x:v>
      </x:c>
      <x:c r="D1367" s="195" t="str">
        <x:v>Очікувана поведінка індивіда в суспільстві.</x:v>
      </x:c>
      <x:c r="E1367" s="192" t="str">
        <x:v>AWL 1</x:v>
      </x:c>
      <x:c r="F1367" s="192" t="str">
        <x:v>High</x:v>
      </x:c>
      <x:c r="G1367" s="192" t="str">
        <x:v>Not Started</x:v>
      </x:c>
      <x:c r="H1367" s="192" t="n">
        <x:v>0</x:v>
      </x:c>
    </x:row>
    <x:row r="1368" ht="56" customHeight="1">
      <x:c r="A1368" s="192" t="str">
        <x:v>section</x:v>
      </x:c>
      <x:c r="B1368" s="192" t="str">
        <x:v>word family</x:v>
      </x:c>
      <x:c r="C1368" s="194" t="str">
        <x:v>розділ</x:v>
      </x:c>
      <x:c r="D1368" s="195" t="str">
        <x:v>Вирізка; частина, вирізана з решти чого-небудь.</x:v>
      </x:c>
      <x:c r="E1368" s="192" t="str">
        <x:v>AWL 1</x:v>
      </x:c>
      <x:c r="F1368" s="192" t="str">
        <x:v>High</x:v>
      </x:c>
      <x:c r="G1368" s="192" t="str">
        <x:v>Not Started</x:v>
      </x:c>
      <x:c r="H1368" s="192" t="n">
        <x:v>0</x:v>
      </x:c>
    </x:row>
    <x:row r="1369" ht="56" customHeight="1">
      <x:c r="A1369" s="192" t="str">
        <x:v>sector</x:v>
      </x:c>
      <x:c r="B1369" s="192" t="str">
        <x:v>word family</x:v>
      </x:c>
      <x:c r="C1369" s="194" t="str">
        <x:v>сектор; галузь</x:v>
      </x:c>
      <x:c r="D1369" s="195" t="str">
        <x:v>Розділ.</x:v>
      </x:c>
      <x:c r="E1369" s="192" t="str">
        <x:v>AWL 1</x:v>
      </x:c>
      <x:c r="F1369" s="192" t="str">
        <x:v>High</x:v>
      </x:c>
      <x:c r="G1369" s="192" t="str">
        <x:v>Not Started</x:v>
      </x:c>
      <x:c r="H1369" s="192" t="n">
        <x:v>0</x:v>
      </x:c>
    </x:row>
    <x:row r="1370" ht="56" customHeight="1">
      <x:c r="A1370" s="192" t="str">
        <x:v>significant</x:v>
      </x:c>
      <x:c r="B1370" s="192" t="str">
        <x:v>word family</x:v>
      </x:c>
      <x:c r="C1370" s="194" t="str">
        <x:v>значний; суттєвий</x:v>
      </x:c>
      <x:c r="D1370" s="195" t="str">
        <x:v>Має помітний або великий ефект.</x:v>
      </x:c>
      <x:c r="E1370" s="192" t="str">
        <x:v>AWL 1</x:v>
      </x:c>
      <x:c r="F1370" s="192" t="str">
        <x:v>High</x:v>
      </x:c>
      <x:c r="G1370" s="192" t="str">
        <x:v>Not Started</x:v>
      </x:c>
      <x:c r="H1370" s="192" t="n">
        <x:v>0</x:v>
      </x:c>
    </x:row>
    <x:row r="1371" ht="56" customHeight="1">
      <x:c r="A1371" s="192" t="str">
        <x:v>similar</x:v>
      </x:c>
      <x:c r="B1371" s="192" t="str">
        <x:v>word family</x:v>
      </x:c>
      <x:c r="C1371" s="194" t="str">
        <x:v>подібний</x:v>
      </x:c>
      <x:c r="D1371" s="195" t="str">
        <x:v>Наявність спільних рис чи характеристик; подібний, союзний, порівняний.</x:v>
      </x:c>
      <x:c r="E1371" s="192" t="str">
        <x:v>AWL 1</x:v>
      </x:c>
      <x:c r="F1371" s="192" t="str">
        <x:v>High</x:v>
      </x:c>
      <x:c r="G1371" s="192" t="str">
        <x:v>Not Started</x:v>
      </x:c>
      <x:c r="H1371" s="192" t="n">
        <x:v>0</x:v>
      </x:c>
    </x:row>
    <x:row r="1372" ht="56" customHeight="1">
      <x:c r="A1372" s="192" t="str">
        <x:v>source</x:v>
      </x:c>
      <x:c r="B1372" s="192" t="str">
        <x:v>word family</x:v>
      </x:c>
      <x:c r="C1372" s="194" t="str">
        <x:v>джерело</x:v>
      </x:c>
      <x:c r="D1372" s="195" t="str">
        <x:v>Особа, місце або предмет, звідки щось (інформація, товари тощо) надходить або отримується.</x:v>
      </x:c>
      <x:c r="E1372" s="192" t="str">
        <x:v>AWL 1</x:v>
      </x:c>
      <x:c r="F1372" s="192" t="str">
        <x:v>High</x:v>
      </x:c>
      <x:c r="G1372" s="192" t="str">
        <x:v>Not Started</x:v>
      </x:c>
      <x:c r="H1372" s="192" t="n">
        <x:v>0</x:v>
      </x:c>
    </x:row>
    <x:row r="1373" ht="56" customHeight="1">
      <x:c r="A1373" s="192" t="str">
        <x:v>specific</x:v>
      </x:c>
      <x:c r="B1373" s="192" t="str">
        <x:v>word family</x:v>
      </x:c>
      <x:c r="C1373" s="194" t="str">
        <x:v>конкретний; специфічний</x:v>
      </x:c>
      <x:c r="D1373" s="195" t="str">
        <x:v>Явний або певний.</x:v>
      </x:c>
      <x:c r="E1373" s="192" t="str">
        <x:v>AWL 1</x:v>
      </x:c>
      <x:c r="F1373" s="192" t="str">
        <x:v>High</x:v>
      </x:c>
      <x:c r="G1373" s="192" t="str">
        <x:v>Not Started</x:v>
      </x:c>
      <x:c r="H1373" s="192" t="n">
        <x:v>0</x:v>
      </x:c>
    </x:row>
    <x:row r="1374" ht="56" customHeight="1">
      <x:c r="A1374" s="192" t="str">
        <x:v>structure</x:v>
      </x:c>
      <x:c r="B1374" s="192" t="str">
        <x:v>word family</x:v>
      </x:c>
      <x:c r="C1374" s="194" t="str">
        <x:v>структура; структурувати</x:v>
      </x:c>
      <x:c r="D1374" s="195" t="str">
        <x:v>Згуртоване ціле, що складається з окремих частин.</x:v>
      </x:c>
      <x:c r="E1374" s="192" t="str">
        <x:v>AWL 1</x:v>
      </x:c>
      <x:c r="F1374" s="192" t="str">
        <x:v>High</x:v>
      </x:c>
      <x:c r="G1374" s="192" t="str">
        <x:v>Not Started</x:v>
      </x:c>
      <x:c r="H1374" s="192" t="n">
        <x:v>0</x:v>
      </x:c>
    </x:row>
    <x:row r="1375" ht="56" customHeight="1">
      <x:c r="A1375" s="192" t="str">
        <x:v>theory</x:v>
      </x:c>
      <x:c r="B1375" s="192" t="str">
        <x:v>word family</x:v>
      </x:c>
      <x:c r="C1375" s="194" t="str">
        <x:v>теорія</x:v>
      </x:c>
      <x:c r="D1375" s="195" t="str">
        <x:v>Послідовне твердження або набір ідей, які пояснюють спостережувані факти чи явища та правильно передбачають нові факти чи явища, які раніше не спостерігалися, або які встановлюють закони та принципи чогось відомого чи спос...</x:v>
      </x:c>
      <x:c r="E1375" s="192" t="str">
        <x:v>AWL 1</x:v>
      </x:c>
      <x:c r="F1375" s="192" t="str">
        <x:v>High</x:v>
      </x:c>
      <x:c r="G1375" s="192" t="str">
        <x:v>Not Started</x:v>
      </x:c>
      <x:c r="H1375" s="192" t="n">
        <x:v>0</x:v>
      </x:c>
    </x:row>
    <x:row r="1376" ht="56" customHeight="1">
      <x:c r="A1376" s="192" t="str">
        <x:v>variables</x:v>
      </x:c>
      <x:c r="B1376" s="192" t="str">
        <x:v>word family</x:v>
      </x:c>
      <x:c r="C1376" s="194" t="str">
        <x:v>змінні</x:v>
      </x:c>
      <x:c r="D1376" s="195" t="str">
        <x:v>Стан або характеристика бути змінним.</x:v>
      </x:c>
      <x:c r="E1376" s="192" t="str">
        <x:v>AWL 1</x:v>
      </x:c>
      <x:c r="F1376" s="192" t="str">
        <x:v>High</x:v>
      </x:c>
      <x:c r="G1376" s="192" t="str">
        <x:v>Not Started</x:v>
      </x:c>
      <x:c r="H1376" s="192" t="n">
        <x:v>0</x:v>
      </x:c>
    </x:row>
    <x:row r="1377" ht="56" customHeight="1">
      <x:c r="A1377" s="192" t="str">
        <x:v>achieve</x:v>
      </x:c>
      <x:c r="B1377" s="192" t="str">
        <x:v>word family</x:v>
      </x:c>
      <x:c r="C1377" s="194" t="str">
        <x:v>досягти</x:v>
      </x:c>
      <x:c r="D1377" s="195" t="str">
        <x:v>Успішно виконувати; виконати.</x:v>
      </x:c>
      <x:c r="E1377" s="192" t="str">
        <x:v>AWL 2</x:v>
      </x:c>
      <x:c r="F1377" s="192" t="str">
        <x:v>High</x:v>
      </x:c>
      <x:c r="G1377" s="192" t="str">
        <x:v>Not Started</x:v>
      </x:c>
      <x:c r="H1377" s="192" t="n">
        <x:v>0</x:v>
      </x:c>
    </x:row>
    <x:row r="1378" ht="56" customHeight="1">
      <x:c r="A1378" s="192" t="str">
        <x:v>administration</x:v>
      </x:c>
      <x:c r="B1378" s="192" t="str">
        <x:v>word family</x:v>
      </x:c>
      <x:c r="C1378" s="194" t="str">
        <x:v>адміністрування</x:v>
      </x:c>
      <x:c r="D1378" s="195" t="str">
        <x:v>Акт адміністрування; управління громадськими справами; надані послуги або взяті на себе обов'язки у веденні справ; ведення будь-якої посади чи роботи; напрямок.</x:v>
      </x:c>
      <x:c r="E1378" s="192" t="str">
        <x:v>AWL 2</x:v>
      </x:c>
      <x:c r="F1378" s="192" t="str">
        <x:v>High</x:v>
      </x:c>
      <x:c r="G1378" s="192" t="str">
        <x:v>Not Started</x:v>
      </x:c>
      <x:c r="H1378" s="192" t="n">
        <x:v>0</x:v>
      </x:c>
    </x:row>
    <x:row r="1379" ht="56" customHeight="1">
      <x:c r="A1379" s="192" t="str">
        <x:v>affect</x:v>
      </x:c>
      <x:c r="B1379" s="192" t="str">
        <x:v>word family</x:v>
      </x:c>
      <x:c r="C1379" s="194" t="str">
        <x:v>впливати</x:v>
      </x:c>
      <x:c r="D1379" s="195" t="str">
        <x:v>Впливати або змінювати.</x:v>
      </x:c>
      <x:c r="E1379" s="192" t="str">
        <x:v>AWL 2</x:v>
      </x:c>
      <x:c r="F1379" s="192" t="str">
        <x:v>High</x:v>
      </x:c>
      <x:c r="G1379" s="192" t="str">
        <x:v>Not Started</x:v>
      </x:c>
      <x:c r="H1379" s="192" t="n">
        <x:v>0</x:v>
      </x:c>
    </x:row>
    <x:row r="1380" ht="56" customHeight="1">
      <x:c r="A1380" s="192" t="str">
        <x:v>appropriate</x:v>
      </x:c>
      <x:c r="B1380" s="192" t="str">
        <x:v>word family</x:v>
      </x:c>
      <x:c r="C1380" s="194" t="str">
        <x:v>відповідний</x:v>
      </x:c>
      <x:c r="D1380" s="195" t="str">
        <x:v>Підходить або підходить; належний; щасливий.</x:v>
      </x:c>
      <x:c r="E1380" s="192" t="str">
        <x:v>AWL 2</x:v>
      </x:c>
      <x:c r="F1380" s="192" t="str">
        <x:v>High</x:v>
      </x:c>
      <x:c r="G1380" s="192" t="str">
        <x:v>Not Started</x:v>
      </x:c>
      <x:c r="H1380" s="192" t="n">
        <x:v>0</x:v>
      </x:c>
    </x:row>
    <x:row r="1381" ht="56" customHeight="1">
      <x:c r="A1381" s="192" t="str">
        <x:v>aspects</x:v>
      </x:c>
      <x:c r="B1381" s="192" t="str">
        <x:v>word family</x:v>
      </x:c>
      <x:c r="C1381" s="194" t="str">
        <x:v>аспекти</x:v>
      </x:c>
      <x:c r="D1381" s="195" t="str">
        <x:v>Будь-яка конкретна особливість, частина або елемент чогось.</x:v>
      </x:c>
      <x:c r="E1381" s="192" t="str">
        <x:v>AWL 2</x:v>
      </x:c>
      <x:c r="F1381" s="192" t="str">
        <x:v>High</x:v>
      </x:c>
      <x:c r="G1381" s="192" t="str">
        <x:v>Not Started</x:v>
      </x:c>
      <x:c r="H1381" s="192" t="n">
        <x:v>0</x:v>
      </x:c>
    </x:row>
    <x:row r="1382" ht="56" customHeight="1">
      <x:c r="A1382" s="192" t="str">
        <x:v>assistance</x:v>
      </x:c>
      <x:c r="B1382" s="192" t="str">
        <x:v>word family</x:v>
      </x:c>
      <x:c r="C1382" s="194" t="str">
        <x:v>допомогу</x:v>
      </x:c>
      <x:c r="D1382" s="195" t="str">
        <x:v>допомога; допомогти; дія або результат надання допомоги.</x:v>
      </x:c>
      <x:c r="E1382" s="192" t="str">
        <x:v>AWL 2</x:v>
      </x:c>
      <x:c r="F1382" s="192" t="str">
        <x:v>High</x:v>
      </x:c>
      <x:c r="G1382" s="192" t="str">
        <x:v>Not Started</x:v>
      </x:c>
      <x:c r="H1382" s="192" t="n">
        <x:v>0</x:v>
      </x:c>
    </x:row>
    <x:row r="1383" ht="56" customHeight="1">
      <x:c r="A1383" s="192" t="str">
        <x:v>categories</x:v>
      </x:c>
      <x:c r="B1383" s="192" t="str">
        <x:v>word family</x:v>
      </x:c>
      <x:c r="C1383" s="194" t="str">
        <x:v>категорії</x:v>
      </x:c>
      <x:c r="D1383" s="195" t="str">
        <x:v>Групи, до яких об’єднують речі з подібними властивостями.</x:v>
      </x:c>
      <x:c r="E1383" s="192" t="str">
        <x:v>AWL 2</x:v>
      </x:c>
      <x:c r="F1383" s="192" t="str">
        <x:v>High</x:v>
      </x:c>
      <x:c r="G1383" s="192" t="str">
        <x:v>Not Started</x:v>
      </x:c>
      <x:c r="H1383" s="192" t="n">
        <x:v>0</x:v>
      </x:c>
    </x:row>
    <x:row r="1384" ht="56" customHeight="1">
      <x:c r="A1384" s="192" t="str">
        <x:v>chapter</x:v>
      </x:c>
      <x:c r="B1384" s="192" t="str">
        <x:v>word family</x:v>
      </x:c>
      <x:c r="C1384" s="194" t="str">
        <x:v>розділ</x:v>
      </x:c>
      <x:c r="D1384" s="195" t="str">
        <x:v>Один із основних розділів, на який поділяється опублікований твір, особливо книга.</x:v>
      </x:c>
      <x:c r="E1384" s="192" t="str">
        <x:v>AWL 2</x:v>
      </x:c>
      <x:c r="F1384" s="192" t="str">
        <x:v>High</x:v>
      </x:c>
      <x:c r="G1384" s="192" t="str">
        <x:v>Not Started</x:v>
      </x:c>
      <x:c r="H1384" s="192" t="n">
        <x:v>0</x:v>
      </x:c>
    </x:row>
    <x:row r="1385" ht="56" customHeight="1">
      <x:c r="A1385" s="192" t="str">
        <x:v>commission</x:v>
      </x:c>
      <x:c r="B1385" s="192" t="str">
        <x:v>word family</x:v>
      </x:c>
      <x:c r="C1385" s="194" t="str">
        <x:v>комісія</x:v>
      </x:c>
      <x:c r="D1385" s="195" t="str">
        <x:v>Комісія, яку стягує агент або брокер за здійснення операції.</x:v>
      </x:c>
      <x:c r="E1385" s="192" t="str">
        <x:v>AWL 2</x:v>
      </x:c>
      <x:c r="F1385" s="192" t="str">
        <x:v>High</x:v>
      </x:c>
      <x:c r="G1385" s="192" t="str">
        <x:v>Not Started</x:v>
      </x:c>
      <x:c r="H1385" s="192" t="n">
        <x:v>0</x:v>
      </x:c>
    </x:row>
    <x:row r="1386" ht="56" customHeight="1">
      <x:c r="A1386" s="192" t="str">
        <x:v>community</x:v>
      </x:c>
      <x:c r="B1386" s="192" t="str">
        <x:v>word family</x:v>
      </x:c>
      <x:c r="C1386" s="194" t="str">
        <x:v>громада</x:v>
      </x:c>
      <x:c r="D1386" s="195" t="str">
        <x:v>Група, що має спільні характеристики, такі як одна мова, закон, релігія чи традиція.</x:v>
      </x:c>
      <x:c r="E1386" s="192" t="str">
        <x:v>AWL 2</x:v>
      </x:c>
      <x:c r="F1386" s="192" t="str">
        <x:v>High</x:v>
      </x:c>
      <x:c r="G1386" s="192" t="str">
        <x:v>Not Started</x:v>
      </x:c>
      <x:c r="H1386" s="192" t="n">
        <x:v>0</x:v>
      </x:c>
    </x:row>
    <x:row r="1387" ht="56" customHeight="1">
      <x:c r="A1387" s="192" t="str">
        <x:v>complex</x:v>
      </x:c>
      <x:c r="B1387" s="192" t="str">
        <x:v>word family</x:v>
      </x:c>
      <x:c r="C1387" s="194" t="str">
        <x:v>складні</x:v>
      </x:c>
      <x:c r="D1387" s="195" t="str">
        <x:v>Складається з кількох частин; композитний; не проста.</x:v>
      </x:c>
      <x:c r="E1387" s="192" t="str">
        <x:v>AWL 2</x:v>
      </x:c>
      <x:c r="F1387" s="192" t="str">
        <x:v>High</x:v>
      </x:c>
      <x:c r="G1387" s="192" t="str">
        <x:v>Not Started</x:v>
      </x:c>
      <x:c r="H1387" s="192" t="n">
        <x:v>0</x:v>
      </x:c>
    </x:row>
    <x:row r="1388" ht="56" customHeight="1">
      <x:c r="A1388" s="192" t="str">
        <x:v>computer</x:v>
      </x:c>
      <x:c r="B1388" s="192" t="str">
        <x:v>word family</x:v>
      </x:c>
      <x:c r="C1388" s="194" t="str">
        <x:v>комп'ютер</x:v>
      </x:c>
      <x:c r="D1388" s="195" t="str">
        <x:v>Програмований електронний пристрій, який виконує математичні обчислення та логічні операції, особливо той, який може дуже швидко обробляти, зберігати та отримувати великі обсяги даних;</x:v>
      </x:c>
      <x:c r="E1388" s="192" t="str">
        <x:v>AWL 2</x:v>
      </x:c>
      <x:c r="F1388" s="192" t="str">
        <x:v>High</x:v>
      </x:c>
      <x:c r="G1388" s="192" t="str">
        <x:v>Not Started</x:v>
      </x:c>
      <x:c r="H1388" s="192" t="n">
        <x:v>0</x:v>
      </x:c>
    </x:row>
    <x:row r="1389" ht="56" customHeight="1">
      <x:c r="A1389" s="192" t="str">
        <x:v>conclusion</x:v>
      </x:c>
      <x:c r="B1389" s="192" t="str">
        <x:v>word family</x:v>
      </x:c>
      <x:c r="C1389" s="194" t="str">
        <x:v>висновок</x:v>
      </x:c>
      <x:c r="D1389" s="195" t="str">
        <x:v>Кінець, завершення, закриття або остання частина чогось.</x:v>
      </x:c>
      <x:c r="E1389" s="192" t="str">
        <x:v>AWL 2</x:v>
      </x:c>
      <x:c r="F1389" s="192" t="str">
        <x:v>High</x:v>
      </x:c>
      <x:c r="G1389" s="192" t="str">
        <x:v>Not Started</x:v>
      </x:c>
      <x:c r="H1389" s="192" t="n">
        <x:v>0</x:v>
      </x:c>
    </x:row>
    <x:row r="1390" ht="56" customHeight="1">
      <x:c r="A1390" s="192" t="str">
        <x:v>conduct</x:v>
      </x:c>
      <x:c r="B1390" s="192" t="str">
        <x:v>word family</x:v>
      </x:c>
      <x:c r="C1390" s="194" t="str">
        <x:v>поведінка</x:v>
      </x:c>
      <x:c r="D1390" s="195" t="str">
        <x:v>Поведінка; манера поводитися.</x:v>
      </x:c>
      <x:c r="E1390" s="192" t="str">
        <x:v>AWL 2</x:v>
      </x:c>
      <x:c r="F1390" s="192" t="str">
        <x:v>High</x:v>
      </x:c>
      <x:c r="G1390" s="192" t="str">
        <x:v>Not Started</x:v>
      </x:c>
      <x:c r="H1390" s="192" t="n">
        <x:v>0</x:v>
      </x:c>
    </x:row>
    <x:row r="1391" ht="56" customHeight="1">
      <x:c r="A1391" s="192" t="str">
        <x:v>consequences</x:v>
      </x:c>
      <x:c r="B1391" s="192" t="str">
        <x:v>word family</x:v>
      </x:c>
      <x:c r="C1391" s="194" t="str">
        <x:v>наслідки</x:v>
      </x:c>
      <x:c r="D1391" s="195" t="str">
        <x:v>Старомодна салонна гра, яка описує зустріч леді та джентльмена та подальші події, кожен гравець по черзі пише частину історії, не знаючи, що написали інші.</x:v>
      </x:c>
      <x:c r="E1391" s="192" t="str">
        <x:v>AWL 2</x:v>
      </x:c>
      <x:c r="F1391" s="192" t="str">
        <x:v>High</x:v>
      </x:c>
      <x:c r="G1391" s="192" t="str">
        <x:v>Not Started</x:v>
      </x:c>
      <x:c r="H1391" s="192" t="n">
        <x:v>0</x:v>
      </x:c>
    </x:row>
    <x:row r="1392" ht="56" customHeight="1">
      <x:c r="A1392" s="192" t="str">
        <x:v>construction</x:v>
      </x:c>
      <x:c r="B1392" s="192" t="str">
        <x:v>word family</x:v>
      </x:c>
      <x:c r="C1392" s="194" t="str">
        <x:v>будівництво</x:v>
      </x:c>
      <x:c r="D1392" s="195" t="str">
        <x:v>Процес конструювання.</x:v>
      </x:c>
      <x:c r="E1392" s="192" t="str">
        <x:v>AWL 2</x:v>
      </x:c>
      <x:c r="F1392" s="192" t="str">
        <x:v>High</x:v>
      </x:c>
      <x:c r="G1392" s="192" t="str">
        <x:v>Not Started</x:v>
      </x:c>
      <x:c r="H1392" s="192" t="n">
        <x:v>0</x:v>
      </x:c>
    </x:row>
    <x:row r="1393" ht="56" customHeight="1">
      <x:c r="A1393" s="192" t="str">
        <x:v>consumer</x:v>
      </x:c>
      <x:c r="B1393" s="192" t="str">
        <x:v>word family</x:v>
      </x:c>
      <x:c r="C1393" s="194" t="str">
        <x:v>споживач</x:v>
      </x:c>
      <x:c r="D1393" s="195" t="str">
        <x:v>Той, хто торгує грошима за товари чи послуги як фізична особа.</x:v>
      </x:c>
      <x:c r="E1393" s="192" t="str">
        <x:v>AWL 2</x:v>
      </x:c>
      <x:c r="F1393" s="192" t="str">
        <x:v>High</x:v>
      </x:c>
      <x:c r="G1393" s="192" t="str">
        <x:v>Not Started</x:v>
      </x:c>
      <x:c r="H1393" s="192" t="n">
        <x:v>0</x:v>
      </x:c>
    </x:row>
    <x:row r="1394" ht="56" customHeight="1">
      <x:c r="A1394" s="192" t="str">
        <x:v>credit</x:v>
      </x:c>
      <x:c r="B1394" s="192" t="str">
        <x:v>word family</x:v>
      </x:c>
      <x:c r="C1394" s="194" t="str">
        <x:v>кредит</x:v>
      </x:c>
      <x:c r="D1394" s="195" t="str">
        <x:v>Покладання на правду сказаного або зробленого; віра; довіра.</x:v>
      </x:c>
      <x:c r="E1394" s="192" t="str">
        <x:v>AWL 2</x:v>
      </x:c>
      <x:c r="F1394" s="192" t="str">
        <x:v>High</x:v>
      </x:c>
      <x:c r="G1394" s="192" t="str">
        <x:v>Not Started</x:v>
      </x:c>
      <x:c r="H1394" s="192" t="n">
        <x:v>0</x:v>
      </x:c>
    </x:row>
    <x:row r="1395" ht="56" customHeight="1">
      <x:c r="A1395" s="192" t="str">
        <x:v>cultural</x:v>
      </x:c>
      <x:c r="B1395" s="192" t="str">
        <x:v>word family</x:v>
      </x:c>
      <x:c r="C1395" s="194" t="str">
        <x:v>культурний</x:v>
      </x:c>
      <x:c r="D1395" s="195" t="str">
        <x:v>Що стосується культури.</x:v>
      </x:c>
      <x:c r="E1395" s="192" t="str">
        <x:v>AWL 2</x:v>
      </x:c>
      <x:c r="F1395" s="192" t="str">
        <x:v>High</x:v>
      </x:c>
      <x:c r="G1395" s="192" t="str">
        <x:v>Not Started</x:v>
      </x:c>
      <x:c r="H1395" s="192" t="n">
        <x:v>0</x:v>
      </x:c>
    </x:row>
    <x:row r="1396" ht="56" customHeight="1">
      <x:c r="A1396" s="192" t="str">
        <x:v>design</x:v>
      </x:c>
      <x:c r="B1396" s="192" t="str">
        <x:v>word family</x:v>
      </x:c>
      <x:c r="C1396" s="194" t="str">
        <x:v>дизайн</x:v>
      </x:c>
      <x:c r="D1396" s="195" t="str">
        <x:v>План (з більшою чи меншою кількістю деталей) структури та функцій артефакту, будівлі чи системи.</x:v>
      </x:c>
      <x:c r="E1396" s="192" t="str">
        <x:v>AWL 2</x:v>
      </x:c>
      <x:c r="F1396" s="192" t="str">
        <x:v>High</x:v>
      </x:c>
      <x:c r="G1396" s="192" t="str">
        <x:v>Not Started</x:v>
      </x:c>
      <x:c r="H1396" s="192" t="n">
        <x:v>0</x:v>
      </x:c>
    </x:row>
    <x:row r="1397" ht="56" customHeight="1">
      <x:c r="A1397" s="192" t="str">
        <x:v>elements</x:v>
      </x:c>
      <x:c r="B1397" s="192" t="str">
        <x:v>word family</x:v>
      </x:c>
      <x:c r="C1397" s="194" t="str">
        <x:v>елементів</x:v>
      </x:c>
      <x:c r="D1397" s="195" t="str">
        <x:v>Основні положення галузі знань, основи, основи.</x:v>
      </x:c>
      <x:c r="E1397" s="192" t="str">
        <x:v>AWL 2</x:v>
      </x:c>
      <x:c r="F1397" s="192" t="str">
        <x:v>High</x:v>
      </x:c>
      <x:c r="G1397" s="192" t="str">
        <x:v>Not Started</x:v>
      </x:c>
      <x:c r="H1397" s="192" t="n">
        <x:v>0</x:v>
      </x:c>
    </x:row>
    <x:row r="1398" ht="56" customHeight="1">
      <x:c r="A1398" s="192" t="str">
        <x:v>evaluation</x:v>
      </x:c>
      <x:c r="B1398" s="192" t="str">
        <x:v>word family</x:v>
      </x:c>
      <x:c r="C1398" s="194" t="str">
        <x:v>оцінка</x:v>
      </x:c>
      <x:c r="D1398" s="195" t="str">
        <x:v>Оцінка, як-от щорічна перевірка продуктивності персоналу, яка використовується як основа для підвищення зарплати чи премії, або короткий опис конкретної ситуації.</x:v>
      </x:c>
      <x:c r="E1398" s="192" t="str">
        <x:v>AWL 2</x:v>
      </x:c>
      <x:c r="F1398" s="192" t="str">
        <x:v>High</x:v>
      </x:c>
      <x:c r="G1398" s="192" t="str">
        <x:v>Not Started</x:v>
      </x:c>
      <x:c r="H1398" s="192" t="n">
        <x:v>0</x:v>
      </x:c>
    </x:row>
    <x:row r="1399" ht="56" customHeight="1">
      <x:c r="A1399" s="192" t="str">
        <x:v>features</x:v>
      </x:c>
      <x:c r="B1399" s="192" t="str">
        <x:v>word family</x:v>
      </x:c>
      <x:c r="C1399" s="194" t="str">
        <x:v>особливості</x:v>
      </x:c>
      <x:c r="D1399" s="195" t="str">
        <x:v>Важливий або головний предмет.</x:v>
      </x:c>
      <x:c r="E1399" s="192" t="str">
        <x:v>AWL 2</x:v>
      </x:c>
      <x:c r="F1399" s="192" t="str">
        <x:v>High</x:v>
      </x:c>
      <x:c r="G1399" s="192" t="str">
        <x:v>Not Started</x:v>
      </x:c>
      <x:c r="H1399" s="192" t="n">
        <x:v>0</x:v>
      </x:c>
    </x:row>
    <x:row r="1400" ht="56" customHeight="1">
      <x:c r="A1400" s="192" t="str">
        <x:v>final</x:v>
      </x:c>
      <x:c r="B1400" s="192" t="str">
        <x:v>word family</x:v>
      </x:c>
      <x:c r="C1400" s="194" t="str">
        <x:v>остаточний</x:v>
      </x:c>
      <x:c r="D1400" s="195" t="str">
        <x:v>Підсумковий іспит; залік або іспит, який проводиться в кінці семестру або заняття; тест, який завершує урок.</x:v>
      </x:c>
      <x:c r="E1400" s="192" t="str">
        <x:v>AWL 2</x:v>
      </x:c>
      <x:c r="F1400" s="192" t="str">
        <x:v>High</x:v>
      </x:c>
      <x:c r="G1400" s="192" t="str">
        <x:v>Not Started</x:v>
      </x:c>
      <x:c r="H1400" s="192" t="n">
        <x:v>0</x:v>
      </x:c>
    </x:row>
    <x:row r="1401" ht="56" customHeight="1">
      <x:c r="A1401" s="192" t="str">
        <x:v>focus</x:v>
      </x:c>
      <x:c r="B1401" s="192" t="str">
        <x:v>word family</x:v>
      </x:c>
      <x:c r="C1401" s="194" t="str">
        <x:v>фокус</x:v>
      </x:c>
      <x:c r="D1401" s="195" t="str">
        <x:v>Концентрація уваги.</x:v>
      </x:c>
      <x:c r="E1401" s="192" t="str">
        <x:v>AWL 2</x:v>
      </x:c>
      <x:c r="F1401" s="192" t="str">
        <x:v>High</x:v>
      </x:c>
      <x:c r="G1401" s="192" t="str">
        <x:v>Not Started</x:v>
      </x:c>
      <x:c r="H1401" s="192" t="n">
        <x:v>0</x:v>
      </x:c>
    </x:row>
    <x:row r="1402" ht="56" customHeight="1">
      <x:c r="A1402" s="192" t="str">
        <x:v>impact</x:v>
      </x:c>
      <x:c r="B1402" s="192" t="str">
        <x:v>word family</x:v>
      </x:c>
      <x:c r="C1402" s="194" t="str">
        <x:v>вплив</x:v>
      </x:c>
      <x:c r="D1402" s="195" t="str">
        <x:v>Значний або сильний вплив чи ефект.</x:v>
      </x:c>
      <x:c r="E1402" s="192" t="str">
        <x:v>AWL 2</x:v>
      </x:c>
      <x:c r="F1402" s="192" t="str">
        <x:v>High</x:v>
      </x:c>
      <x:c r="G1402" s="192" t="str">
        <x:v>Not Started</x:v>
      </x:c>
      <x:c r="H1402" s="192" t="n">
        <x:v>0</x:v>
      </x:c>
    </x:row>
    <x:row r="1403" ht="56" customHeight="1">
      <x:c r="A1403" s="192" t="str">
        <x:v>injury</x:v>
      </x:c>
      <x:c r="B1403" s="192" t="str">
        <x:v>word family</x:v>
      </x:c>
      <x:c r="C1403" s="194" t="str">
        <x:v>травма</x:v>
      </x:c>
      <x:c r="D1403" s="195" t="str">
        <x:v>Пошкодження тіла живої істоти.</x:v>
      </x:c>
      <x:c r="E1403" s="192" t="str">
        <x:v>AWL 2</x:v>
      </x:c>
      <x:c r="F1403" s="192" t="str">
        <x:v>High</x:v>
      </x:c>
      <x:c r="G1403" s="192" t="str">
        <x:v>Not Started</x:v>
      </x:c>
      <x:c r="H1403" s="192" t="n">
        <x:v>0</x:v>
      </x:c>
    </x:row>
    <x:row r="1404" ht="56" customHeight="1">
      <x:c r="A1404" s="192" t="str">
        <x:v>institute</x:v>
      </x:c>
      <x:c r="B1404" s="192" t="str">
        <x:v>word family</x:v>
      </x:c>
      <x:c r="C1404" s="194" t="str">
        <x:v>інститут</x:v>
      </x:c>
      <x:c r="D1404" s="195" t="str">
        <x:v>Організація, заснована для просування справи</x:v>
      </x:c>
      <x:c r="E1404" s="192" t="str">
        <x:v>AWL 2</x:v>
      </x:c>
      <x:c r="F1404" s="192" t="str">
        <x:v>High</x:v>
      </x:c>
      <x:c r="G1404" s="192" t="str">
        <x:v>Not Started</x:v>
      </x:c>
      <x:c r="H1404" s="192" t="n">
        <x:v>0</x:v>
      </x:c>
    </x:row>
    <x:row r="1405" ht="56" customHeight="1">
      <x:c r="A1405" s="192" t="str">
        <x:v>investment</x:v>
      </x:c>
      <x:c r="B1405" s="192" t="str">
        <x:v>word family</x:v>
      </x:c>
      <x:c r="C1405" s="194" t="str">
        <x:v>інвестиції</x:v>
      </x:c>
      <x:c r="D1405" s="195" t="str">
        <x:v>Розміщення капіталу в очікуванні отримання доходу чи прибутку від його використання чи підвищення вартості.</x:v>
      </x:c>
      <x:c r="E1405" s="192" t="str">
        <x:v>AWL 2</x:v>
      </x:c>
      <x:c r="F1405" s="192" t="str">
        <x:v>High</x:v>
      </x:c>
      <x:c r="G1405" s="192" t="str">
        <x:v>Not Started</x:v>
      </x:c>
      <x:c r="H1405" s="192" t="n">
        <x:v>0</x:v>
      </x:c>
    </x:row>
    <x:row r="1406" ht="56" customHeight="1">
      <x:c r="A1406" s="192" t="str">
        <x:v>items</x:v>
      </x:c>
      <x:c r="B1406" s="192" t="str">
        <x:v>word family</x:v>
      </x:c>
      <x:c r="C1406" s="194" t="str">
        <x:v>елементи</x:v>
      </x:c>
      <x:c r="D1406" s="195" t="str">
        <x:v>Окремий фізичний об'єкт.</x:v>
      </x:c>
      <x:c r="E1406" s="192" t="str">
        <x:v>AWL 2</x:v>
      </x:c>
      <x:c r="F1406" s="192" t="str">
        <x:v>High</x:v>
      </x:c>
      <x:c r="G1406" s="192" t="str">
        <x:v>Not Started</x:v>
      </x:c>
      <x:c r="H1406" s="192" t="n">
        <x:v>0</x:v>
      </x:c>
    </x:row>
    <x:row r="1407" ht="56" customHeight="1">
      <x:c r="A1407" s="192" t="str">
        <x:v>journal</x:v>
      </x:c>
      <x:c r="B1407" s="192" t="str">
        <x:v>word family</x:v>
      </x:c>
      <x:c r="C1407" s="194" t="str">
        <x:v>журнал</x:v>
      </x:c>
      <x:c r="D1407" s="195" t="str">
        <x:v>Періодичне видання з академічними чи професійними статтями; також особистий щоденник.</x:v>
      </x:c>
      <x:c r="E1407" s="192" t="str">
        <x:v>AWL 2</x:v>
      </x:c>
      <x:c r="F1407" s="192" t="str">
        <x:v>High</x:v>
      </x:c>
      <x:c r="G1407" s="192" t="str">
        <x:v>Not Started</x:v>
      </x:c>
      <x:c r="H1407" s="192" t="n">
        <x:v>0</x:v>
      </x:c>
    </x:row>
    <x:row r="1408" ht="56" customHeight="1">
      <x:c r="A1408" s="192" t="str">
        <x:v>normal</x:v>
      </x:c>
      <x:c r="B1408" s="192" t="str">
        <x:v>word family</x:v>
      </x:c>
      <x:c r="C1408" s="194" t="str">
        <x:v>нормально</x:v>
      </x:c>
      <x:c r="D1408" s="195" t="str">
        <x:v>Звичайний, здоровий; не хворий, не хворий, не схожий на себе.</x:v>
      </x:c>
      <x:c r="E1408" s="192" t="str">
        <x:v>AWL 2</x:v>
      </x:c>
      <x:c r="F1408" s="192" t="str">
        <x:v>High</x:v>
      </x:c>
      <x:c r="G1408" s="192" t="str">
        <x:v>Not Started</x:v>
      </x:c>
      <x:c r="H1408" s="192" t="n">
        <x:v>0</x:v>
      </x:c>
    </x:row>
    <x:row r="1409" ht="56" customHeight="1">
      <x:c r="A1409" s="192" t="str">
        <x:v>obtained</x:v>
      </x:c>
      <x:c r="B1409" s="192" t="str">
        <x:v>word family</x:v>
      </x:c>
      <x:c r="C1409" s="194" t="str">
        <x:v>отримано</x:v>
      </x:c>
      <x:c r="D1409" s="195" t="str">
        <x:v>Отриманий, здобутий або набутий певним способом.</x:v>
      </x:c>
      <x:c r="E1409" s="192" t="str">
        <x:v>AWL 2</x:v>
      </x:c>
      <x:c r="F1409" s="192" t="str">
        <x:v>High</x:v>
      </x:c>
      <x:c r="G1409" s="192" t="str">
        <x:v>Not Started</x:v>
      </x:c>
      <x:c r="H1409" s="192" t="n">
        <x:v>0</x:v>
      </x:c>
    </x:row>
    <x:row r="1410" ht="56" customHeight="1">
      <x:c r="A1410" s="192" t="str">
        <x:v>participation</x:v>
      </x:c>
      <x:c r="B1410" s="192" t="str">
        <x:v>word family</x:v>
      </x:c>
      <x:c r="C1410" s="194" t="str">
        <x:v>участь</x:v>
      </x:c>
      <x:c r="D1410" s="195" t="str">
        <x:v>Акт участі, участі в чомусь.</x:v>
      </x:c>
      <x:c r="E1410" s="192" t="str">
        <x:v>AWL 2</x:v>
      </x:c>
      <x:c r="F1410" s="192" t="str">
        <x:v>High</x:v>
      </x:c>
      <x:c r="G1410" s="192" t="str">
        <x:v>Not Started</x:v>
      </x:c>
      <x:c r="H1410" s="192" t="n">
        <x:v>0</x:v>
      </x:c>
    </x:row>
    <x:row r="1411" ht="56" customHeight="1">
      <x:c r="A1411" s="192" t="str">
        <x:v>perceived</x:v>
      </x:c>
      <x:c r="B1411" s="192" t="str">
        <x:v>word family</x:v>
      </x:c>
      <x:c r="C1411" s="194" t="str">
        <x:v>сприймається</x:v>
      </x:c>
      <x:c r="D1411" s="195" t="str">
        <x:v>Як хтось побачив чи зрозумів.</x:v>
      </x:c>
      <x:c r="E1411" s="192" t="str">
        <x:v>AWL 2</x:v>
      </x:c>
      <x:c r="F1411" s="192" t="str">
        <x:v>High</x:v>
      </x:c>
      <x:c r="G1411" s="192" t="str">
        <x:v>Not Started</x:v>
      </x:c>
      <x:c r="H1411" s="192" t="n">
        <x:v>0</x:v>
      </x:c>
    </x:row>
    <x:row r="1412" ht="56" customHeight="1">
      <x:c r="A1412" s="192" t="str">
        <x:v>positive</x:v>
      </x:c>
      <x:c r="B1412" s="192" t="str">
        <x:v>word family</x:v>
      </x:c>
      <x:c r="C1412" s="194" t="str">
        <x:v>позитивний</x:v>
      </x:c>
      <x:c r="D1412" s="195" t="str">
        <x:v>Включений, присутній, характеризується ствердженням.</x:v>
      </x:c>
      <x:c r="E1412" s="192" t="str">
        <x:v>AWL 2</x:v>
      </x:c>
      <x:c r="F1412" s="192" t="str">
        <x:v>High</x:v>
      </x:c>
      <x:c r="G1412" s="192" t="str">
        <x:v>Not Started</x:v>
      </x:c>
      <x:c r="H1412" s="192" t="n">
        <x:v>0</x:v>
      </x:c>
    </x:row>
    <x:row r="1413" ht="56" customHeight="1">
      <x:c r="A1413" s="192" t="str">
        <x:v>potential</x:v>
      </x:c>
      <x:c r="B1413" s="192" t="str">
        <x:v>word family</x:v>
      </x:c>
      <x:c r="C1413" s="194" t="str">
        <x:v>потенціал</x:v>
      </x:c>
      <x:c r="D1413" s="195" t="str">
        <x:v>Наразі нереалізована здатність (з найпоширенішою припискою до).</x:v>
      </x:c>
      <x:c r="E1413" s="192" t="str">
        <x:v>AWL 2</x:v>
      </x:c>
      <x:c r="F1413" s="192" t="str">
        <x:v>High</x:v>
      </x:c>
      <x:c r="G1413" s="192" t="str">
        <x:v>Not Started</x:v>
      </x:c>
      <x:c r="H1413" s="192" t="n">
        <x:v>0</x:v>
      </x:c>
    </x:row>
    <x:row r="1414" ht="56" customHeight="1">
      <x:c r="A1414" s="192" t="str">
        <x:v>previous</x:v>
      </x:c>
      <x:c r="B1414" s="192" t="str">
        <x:v>word family</x:v>
      </x:c>
      <x:c r="C1414" s="194" t="str">
        <x:v>попередній</x:v>
      </x:c>
      <x:c r="D1414" s="195" t="str">
        <x:v>попередній; що відбувається перед чимось іншим, у часі чи порядку.</x:v>
      </x:c>
      <x:c r="E1414" s="192" t="str">
        <x:v>AWL 2</x:v>
      </x:c>
      <x:c r="F1414" s="192" t="str">
        <x:v>High</x:v>
      </x:c>
      <x:c r="G1414" s="192" t="str">
        <x:v>Not Started</x:v>
      </x:c>
      <x:c r="H1414" s="192" t="n">
        <x:v>0</x:v>
      </x:c>
    </x:row>
    <x:row r="1415" ht="56" customHeight="1">
      <x:c r="A1415" s="192" t="str">
        <x:v>primary</x:v>
      </x:c>
      <x:c r="B1415" s="192" t="str">
        <x:v>word family</x:v>
      </x:c>
      <x:c r="C1415" s="194" t="str">
        <x:v>первинний</x:v>
      </x:c>
      <x:c r="D1415" s="195" t="str">
        <x:v>Перший або найраніший у групі чи серії.</x:v>
      </x:c>
      <x:c r="E1415" s="192" t="str">
        <x:v>AWL 2</x:v>
      </x:c>
      <x:c r="F1415" s="192" t="str">
        <x:v>High</x:v>
      </x:c>
      <x:c r="G1415" s="192" t="str">
        <x:v>Not Started</x:v>
      </x:c>
      <x:c r="H1415" s="192" t="n">
        <x:v>0</x:v>
      </x:c>
    </x:row>
    <x:row r="1416" ht="56" customHeight="1">
      <x:c r="A1416" s="192" t="str">
        <x:v>purchase</x:v>
      </x:c>
      <x:c r="B1416" s="192" t="str">
        <x:v>word family</x:v>
      </x:c>
      <x:c r="C1416" s="194" t="str">
        <x:v>покупка</x:v>
      </x:c>
      <x:c r="D1416" s="195" t="str">
        <x:v>Придбання права власності або власності на що-небудь за певну ціну; купівля за гроші або їх еквівалент.</x:v>
      </x:c>
      <x:c r="E1416" s="192" t="str">
        <x:v>AWL 2</x:v>
      </x:c>
      <x:c r="F1416" s="192" t="str">
        <x:v>High</x:v>
      </x:c>
      <x:c r="G1416" s="192" t="str">
        <x:v>Not Started</x:v>
      </x:c>
      <x:c r="H1416" s="192" t="n">
        <x:v>0</x:v>
      </x:c>
    </x:row>
    <x:row r="1417" ht="56" customHeight="1">
      <x:c r="A1417" s="192" t="str">
        <x:v>range</x:v>
      </x:c>
      <x:c r="B1417" s="192" t="str">
        <x:v>word family</x:v>
      </x:c>
      <x:c r="C1417" s="194" t="str">
        <x:v>діапазон</x:v>
      </x:c>
      <x:c r="D1417" s="195" t="str">
        <x:v>Лінія або низка гір, будівель тощо.</x:v>
      </x:c>
      <x:c r="E1417" s="192" t="str">
        <x:v>AWL 2</x:v>
      </x:c>
      <x:c r="F1417" s="192" t="str">
        <x:v>High</x:v>
      </x:c>
      <x:c r="G1417" s="192" t="str">
        <x:v>Not Started</x:v>
      </x:c>
      <x:c r="H1417" s="192" t="n">
        <x:v>0</x:v>
      </x:c>
    </x:row>
    <x:row r="1418" ht="56" customHeight="1">
      <x:c r="A1418" s="192" t="str">
        <x:v>region</x:v>
      </x:c>
      <x:c r="B1418" s="192" t="str">
        <x:v>word family</x:v>
      </x:c>
      <x:c r="C1418" s="194" t="str">
        <x:v>область</x:v>
      </x:c>
      <x:c r="D1418" s="195" t="str">
        <x:v>Будь-яка значна і зв'язана частина простору або поверхні; зокрема, ділянка землі чи моря значної, але невизначеної протяжності; країна; район;</x:v>
      </x:c>
      <x:c r="E1418" s="192" t="str">
        <x:v>AWL 2</x:v>
      </x:c>
      <x:c r="F1418" s="192" t="str">
        <x:v>High</x:v>
      </x:c>
      <x:c r="G1418" s="192" t="str">
        <x:v>Not Started</x:v>
      </x:c>
      <x:c r="H1418" s="192" t="n">
        <x:v>0</x:v>
      </x:c>
    </x:row>
    <x:row r="1419" ht="56" customHeight="1">
      <x:c r="A1419" s="192" t="str">
        <x:v>regulations</x:v>
      </x:c>
      <x:c r="B1419" s="192" t="str">
        <x:v>word family</x:v>
      </x:c>
      <x:c r="C1419" s="194" t="str">
        <x:v>нормативні акти</x:v>
      </x:c>
      <x:c r="D1419" s="195" t="str">
        <x:v>Закон або адміністративне правило, видане організацією, яке використовується для керівництва чи приписування поведінки членів цієї організації.</x:v>
      </x:c>
      <x:c r="E1419" s="192" t="str">
        <x:v>AWL 2</x:v>
      </x:c>
      <x:c r="F1419" s="192" t="str">
        <x:v>High</x:v>
      </x:c>
      <x:c r="G1419" s="192" t="str">
        <x:v>Not Started</x:v>
      </x:c>
      <x:c r="H1419" s="192" t="n">
        <x:v>0</x:v>
      </x:c>
    </x:row>
    <x:row r="1420" ht="56" customHeight="1">
      <x:c r="A1420" s="192" t="str">
        <x:v>relevant</x:v>
      </x:c>
      <x:c r="B1420" s="192" t="str">
        <x:v>word family</x:v>
      </x:c>
      <x:c r="C1420" s="194" t="str">
        <x:v>актуальні</x:v>
      </x:c>
      <x:c r="D1420" s="195" t="str">
        <x:v>Пов’язане, пов’язане або стосується теми.</x:v>
      </x:c>
      <x:c r="E1420" s="192" t="str">
        <x:v>AWL 2</x:v>
      </x:c>
      <x:c r="F1420" s="192" t="str">
        <x:v>High</x:v>
      </x:c>
      <x:c r="G1420" s="192" t="str">
        <x:v>Not Started</x:v>
      </x:c>
      <x:c r="H1420" s="192" t="n">
        <x:v>0</x:v>
      </x:c>
    </x:row>
    <x:row r="1421" ht="56" customHeight="1">
      <x:c r="A1421" s="192" t="str">
        <x:v>resident</x:v>
      </x:c>
      <x:c r="B1421" s="192" t="str">
        <x:v>word family</x:v>
      </x:c>
      <x:c r="C1421" s="194" t="str">
        <x:v>резидент</x:v>
      </x:c>
      <x:c r="D1421" s="195" t="str">
        <x:v>Людина, тварина або рослина, що живуть у певному місці або на певній території.</x:v>
      </x:c>
      <x:c r="E1421" s="192" t="str">
        <x:v>AWL 2</x:v>
      </x:c>
      <x:c r="F1421" s="192" t="str">
        <x:v>High</x:v>
      </x:c>
      <x:c r="G1421" s="192" t="str">
        <x:v>Not Started</x:v>
      </x:c>
      <x:c r="H1421" s="192" t="n">
        <x:v>0</x:v>
      </x:c>
    </x:row>
    <x:row r="1422" ht="56" customHeight="1">
      <x:c r="A1422" s="192" t="str">
        <x:v>resources</x:v>
      </x:c>
      <x:c r="B1422" s="192" t="str">
        <x:v>word family</x:v>
      </x:c>
      <x:c r="C1422" s="194" t="str">
        <x:v>ресурси</x:v>
      </x:c>
      <x:c r="D1422" s="195" t="str">
        <x:v>Щось, що використовується для досягнення мети, напр. сировини або персоналу.</x:v>
      </x:c>
      <x:c r="E1422" s="192" t="str">
        <x:v>AWL 2</x:v>
      </x:c>
      <x:c r="F1422" s="192" t="str">
        <x:v>High</x:v>
      </x:c>
      <x:c r="G1422" s="192" t="str">
        <x:v>Not Started</x:v>
      </x:c>
      <x:c r="H1422" s="192" t="n">
        <x:v>0</x:v>
      </x:c>
    </x:row>
    <x:row r="1423" ht="56" customHeight="1">
      <x:c r="A1423" s="192" t="str">
        <x:v>restricted</x:v>
      </x:c>
      <x:c r="B1423" s="192" t="str">
        <x:v>word family</x:v>
      </x:c>
      <x:c r="C1423" s="194" t="str">
        <x:v>обмежений</x:v>
      </x:c>
      <x:c r="D1423" s="195" t="str">
        <x:v>Обмежено в межах.</x:v>
      </x:c>
      <x:c r="E1423" s="192" t="str">
        <x:v>AWL 2</x:v>
      </x:c>
      <x:c r="F1423" s="192" t="str">
        <x:v>High</x:v>
      </x:c>
      <x:c r="G1423" s="192" t="str">
        <x:v>Not Started</x:v>
      </x:c>
      <x:c r="H1423" s="192" t="n">
        <x:v>0</x:v>
      </x:c>
    </x:row>
    <x:row r="1424" ht="56" customHeight="1">
      <x:c r="A1424" s="192" t="str">
        <x:v>security</x:v>
      </x:c>
      <x:c r="B1424" s="192" t="str">
        <x:v>word family</x:v>
      </x:c>
      <x:c r="C1424" s="194" t="str">
        <x:v>безпеки</x:v>
      </x:c>
      <x:c r="D1424" s="195" t="str">
        <x:v>Стан відсутності загрози, особливо фізичної, психологічної, емоційної чи фінансової.</x:v>
      </x:c>
      <x:c r="E1424" s="192" t="str">
        <x:v>AWL 2</x:v>
      </x:c>
      <x:c r="F1424" s="192" t="str">
        <x:v>High</x:v>
      </x:c>
      <x:c r="G1424" s="192" t="str">
        <x:v>Not Started</x:v>
      </x:c>
      <x:c r="H1424" s="192" t="n">
        <x:v>0</x:v>
      </x:c>
    </x:row>
    <x:row r="1425" ht="56" customHeight="1">
      <x:c r="A1425" s="192" t="str">
        <x:v>sought</x:v>
      </x:c>
      <x:c r="B1425" s="192" t="str">
        <x:v>word family</x:v>
      </x:c>
      <x:c r="C1425" s="194" t="str">
        <x:v>шукав</x:v>
      </x:c>
      <x:c r="D1425" s="195" t="str">
        <x:v>розшукуються</x:v>
      </x:c>
      <x:c r="E1425" s="192" t="str">
        <x:v>AWL 2</x:v>
      </x:c>
      <x:c r="F1425" s="192" t="str">
        <x:v>High</x:v>
      </x:c>
      <x:c r="G1425" s="192" t="str">
        <x:v>Not Started</x:v>
      </x:c>
      <x:c r="H1425" s="192" t="n">
        <x:v>0</x:v>
      </x:c>
    </x:row>
    <x:row r="1426" ht="56" customHeight="1">
      <x:c r="A1426" s="192" t="str">
        <x:v>select</x:v>
      </x:c>
      <x:c r="B1426" s="192" t="str">
        <x:v>word family</x:v>
      </x:c>
      <x:c r="C1426" s="194" t="str">
        <x:v>вибрати</x:v>
      </x:c>
      <x:c r="D1426" s="195" t="str">
        <x:v>Вибрати один або кілька елементів набору, особливо набору опцій.</x:v>
      </x:c>
      <x:c r="E1426" s="192" t="str">
        <x:v>AWL 2</x:v>
      </x:c>
      <x:c r="F1426" s="192" t="str">
        <x:v>High</x:v>
      </x:c>
      <x:c r="G1426" s="192" t="str">
        <x:v>Not Started</x:v>
      </x:c>
      <x:c r="H1426" s="192" t="n">
        <x:v>0</x:v>
      </x:c>
    </x:row>
    <x:row r="1427" ht="56" customHeight="1">
      <x:c r="A1427" s="192" t="str">
        <x:v>site</x:v>
      </x:c>
      <x:c r="B1427" s="192" t="str">
        <x:v>word family</x:v>
      </x:c>
      <x:c r="C1427" s="194" t="str">
        <x:v>сайт</x:v>
      </x:c>
      <x:c r="D1427" s="195" t="str">
        <x:v>Веб-сайт.</x:v>
      </x:c>
      <x:c r="E1427" s="192" t="str">
        <x:v>AWL 2</x:v>
      </x:c>
      <x:c r="F1427" s="192" t="str">
        <x:v>High</x:v>
      </x:c>
      <x:c r="G1427" s="192" t="str">
        <x:v>Not Started</x:v>
      </x:c>
      <x:c r="H1427" s="192" t="n">
        <x:v>0</x:v>
      </x:c>
    </x:row>
    <x:row r="1428" ht="56" customHeight="1">
      <x:c r="A1428" s="192" t="str">
        <x:v>strategies</x:v>
      </x:c>
      <x:c r="B1428" s="192" t="str">
        <x:v>word family</x:v>
      </x:c>
      <x:c r="C1428" s="194" t="str">
        <x:v>стратегії</x:v>
      </x:c>
      <x:c r="D1428" s="195" t="str">
        <x:v>План дій, спрямований на досягнення конкретної мети.</x:v>
      </x:c>
      <x:c r="E1428" s="192" t="str">
        <x:v>AWL 2</x:v>
      </x:c>
      <x:c r="F1428" s="192" t="str">
        <x:v>High</x:v>
      </x:c>
      <x:c r="G1428" s="192" t="str">
        <x:v>Not Started</x:v>
      </x:c>
      <x:c r="H1428" s="192" t="n">
        <x:v>0</x:v>
      </x:c>
    </x:row>
    <x:row r="1429" ht="56" customHeight="1">
      <x:c r="A1429" s="192" t="str">
        <x:v>survey</x:v>
      </x:c>
      <x:c r="B1429" s="192" t="str">
        <x:v>word family</x:v>
      </x:c>
      <x:c r="C1429" s="194" t="str">
        <x:v>опитування</x:v>
      </x:c>
      <x:c r="D1429" s="195" t="str">
        <x:v>Особливий вид; експертиза, особливо офіційна, окремої групи предметів з метою встановлення стану, кількості або якості.</x:v>
      </x:c>
      <x:c r="E1429" s="192" t="str">
        <x:v>AWL 2</x:v>
      </x:c>
      <x:c r="F1429" s="192" t="str">
        <x:v>High</x:v>
      </x:c>
      <x:c r="G1429" s="192" t="str">
        <x:v>Not Started</x:v>
      </x:c>
      <x:c r="H1429" s="192" t="n">
        <x:v>0</x:v>
      </x:c>
    </x:row>
    <x:row r="1430" ht="56" customHeight="1">
      <x:c r="A1430" s="192" t="str">
        <x:v>text</x:v>
      </x:c>
      <x:c r="B1430" s="192" t="str">
        <x:v>word family</x:v>
      </x:c>
      <x:c r="C1430" s="194" t="str">
        <x:v>текст</x:v>
      </x:c>
      <x:c r="D1430" s="195" t="str">
        <x:v>Напис, що складається з кількох гліфів, знаків, символів або речень.</x:v>
      </x:c>
      <x:c r="E1430" s="192" t="str">
        <x:v>AWL 2</x:v>
      </x:c>
      <x:c r="F1430" s="192" t="str">
        <x:v>High</x:v>
      </x:c>
      <x:c r="G1430" s="192" t="str">
        <x:v>Not Started</x:v>
      </x:c>
      <x:c r="H1430" s="192" t="n">
        <x:v>0</x:v>
      </x:c>
    </x:row>
    <x:row r="1431" ht="56" customHeight="1">
      <x:c r="A1431" s="192" t="str">
        <x:v>traditional</x:v>
      </x:c>
      <x:c r="B1431" s="192" t="str">
        <x:v>word family</x:v>
      </x:c>
      <x:c r="C1431" s="194" t="str">
        <x:v>традиційний</x:v>
      </x:c>
      <x:c r="D1431" s="195" t="str">
        <x:v>З, пов’язаний із традицією або походить із неї.</x:v>
      </x:c>
      <x:c r="E1431" s="192" t="str">
        <x:v>AWL 2</x:v>
      </x:c>
      <x:c r="F1431" s="192" t="str">
        <x:v>High</x:v>
      </x:c>
      <x:c r="G1431" s="192" t="str">
        <x:v>Not Started</x:v>
      </x:c>
      <x:c r="H1431" s="192" t="n">
        <x:v>0</x:v>
      </x:c>
    </x:row>
    <x:row r="1432" ht="56" customHeight="1">
      <x:c r="A1432" s="192" t="str">
        <x:v>transfer</x:v>
      </x:c>
      <x:c r="B1432" s="192" t="str">
        <x:v>word family</x:v>
      </x:c>
      <x:c r="C1432" s="194" t="str">
        <x:v>передача</x:v>
      </x:c>
      <x:c r="D1432" s="195" t="str">
        <x:v>Переміщати або переходити з одного місця, людини чи речі в інше.</x:v>
      </x:c>
      <x:c r="E1432" s="192" t="str">
        <x:v>AWL 2</x:v>
      </x:c>
      <x:c r="F1432" s="192" t="str">
        <x:v>High</x:v>
      </x:c>
      <x:c r="G1432" s="192" t="str">
        <x:v>Not Started</x:v>
      </x:c>
      <x:c r="H1432" s="192" t="n">
        <x:v>0</x:v>
      </x:c>
    </x:row>
    <x:row r="1433" ht="56" customHeight="1">
      <x:c r="A1433" s="192" t="str">
        <x:v>alternative</x:v>
      </x:c>
      <x:c r="B1433" s="192" t="str">
        <x:v>word family</x:v>
      </x:c>
      <x:c r="C1433" s="194" t="str">
        <x:v>альтернатива</x:v>
      </x:c>
      <x:c r="D1433" s="195" t="str">
        <x:v>Що стосується вибору між двома чи більше можливостями.</x:v>
      </x:c>
      <x:c r="E1433" s="192" t="str">
        <x:v>AWL 3</x:v>
      </x:c>
      <x:c r="F1433" s="192" t="str">
        <x:v>High</x:v>
      </x:c>
      <x:c r="G1433" s="192" t="str">
        <x:v>Not Started</x:v>
      </x:c>
      <x:c r="H1433" s="192" t="n">
        <x:v>0</x:v>
      </x:c>
    </x:row>
    <x:row r="1434" ht="56" customHeight="1">
      <x:c r="A1434" s="192" t="str">
        <x:v>circumstances</x:v>
      </x:c>
      <x:c r="B1434" s="192" t="str">
        <x:v>word family</x:v>
      </x:c>
      <x:c r="C1434" s="194" t="str">
        <x:v>обставини</x:v>
      </x:c>
      <x:c r="D1434" s="195" t="str">
        <x:v>Умови та факти, які впливають на ситуацію або подію.</x:v>
      </x:c>
      <x:c r="E1434" s="192" t="str">
        <x:v>AWL 3</x:v>
      </x:c>
      <x:c r="F1434" s="192" t="str">
        <x:v>High</x:v>
      </x:c>
      <x:c r="G1434" s="192" t="str">
        <x:v>Not Started</x:v>
      </x:c>
      <x:c r="H1434" s="192" t="n">
        <x:v>0</x:v>
      </x:c>
    </x:row>
    <x:row r="1435" ht="56" customHeight="1">
      <x:c r="A1435" s="192" t="str">
        <x:v>comments</x:v>
      </x:c>
      <x:c r="B1435" s="192" t="str">
        <x:v>word family</x:v>
      </x:c>
      <x:c r="C1435" s="194" t="str">
        <x:v>коментарі</x:v>
      </x:c>
      <x:c r="D1435" s="195" t="str">
        <x:v>Усне або письмове зауваження.</x:v>
      </x:c>
      <x:c r="E1435" s="192" t="str">
        <x:v>AWL 3</x:v>
      </x:c>
      <x:c r="F1435" s="192" t="str">
        <x:v>High</x:v>
      </x:c>
      <x:c r="G1435" s="192" t="str">
        <x:v>Not Started</x:v>
      </x:c>
      <x:c r="H1435" s="192" t="n">
        <x:v>0</x:v>
      </x:c>
    </x:row>
    <x:row r="1436" ht="56" customHeight="1">
      <x:c r="A1436" s="192" t="str">
        <x:v>components</x:v>
      </x:c>
      <x:c r="B1436" s="192" t="str">
        <x:v>word family</x:v>
      </x:c>
      <x:c r="C1436" s="194" t="str">
        <x:v>компоненти</x:v>
      </x:c>
      <x:c r="D1436" s="195" t="str">
        <x:v>Менша самодостатня частина більшої сутності. Часто стосується виготовленого об’єкта, який є частиною більшого пристрою.</x:v>
      </x:c>
      <x:c r="E1436" s="192" t="str">
        <x:v>AWL 3</x:v>
      </x:c>
      <x:c r="F1436" s="192" t="str">
        <x:v>High</x:v>
      </x:c>
      <x:c r="G1436" s="192" t="str">
        <x:v>Not Started</x:v>
      </x:c>
      <x:c r="H1436" s="192" t="n">
        <x:v>0</x:v>
      </x:c>
    </x:row>
    <x:row r="1437" ht="56" customHeight="1">
      <x:c r="A1437" s="192" t="str">
        <x:v>considerable</x:v>
      </x:c>
      <x:c r="B1437" s="192" t="str">
        <x:v>word family</x:v>
      </x:c>
      <x:c r="C1437" s="194" t="str">
        <x:v>значний</x:v>
      </x:c>
      <x:c r="D1437" s="195" t="str">
        <x:v>Значний; варто розглянути.</x:v>
      </x:c>
      <x:c r="E1437" s="192" t="str">
        <x:v>AWL 3</x:v>
      </x:c>
      <x:c r="F1437" s="192" t="str">
        <x:v>High</x:v>
      </x:c>
      <x:c r="G1437" s="192" t="str">
        <x:v>Not Started</x:v>
      </x:c>
      <x:c r="H1437" s="192" t="n">
        <x:v>0</x:v>
      </x:c>
    </x:row>
    <x:row r="1438" ht="56" customHeight="1">
      <x:c r="A1438" s="192" t="str">
        <x:v>constant</x:v>
      </x:c>
      <x:c r="B1438" s="192" t="str">
        <x:v>word family</x:v>
      </x:c>
      <x:c r="C1438" s="194" t="str">
        <x:v>постійний</x:v>
      </x:c>
      <x:c r="D1438" s="195" t="str">
        <x:v>Незмінний у часі чи просторі; постійний.</x:v>
      </x:c>
      <x:c r="E1438" s="192" t="str">
        <x:v>AWL 3</x:v>
      </x:c>
      <x:c r="F1438" s="192" t="str">
        <x:v>High</x:v>
      </x:c>
      <x:c r="G1438" s="192" t="str">
        <x:v>Not Started</x:v>
      </x:c>
      <x:c r="H1438" s="192" t="n">
        <x:v>0</x:v>
      </x:c>
    </x:row>
    <x:row r="1439" ht="56" customHeight="1">
      <x:c r="A1439" s="192" t="str">
        <x:v>constraints</x:v>
      </x:c>
      <x:c r="B1439" s="192" t="str">
        <x:v>word family</x:v>
      </x:c>
      <x:c r="C1439" s="194" t="str">
        <x:v>обмеження</x:v>
      </x:c>
      <x:c r="D1439" s="195" t="str">
        <x:v>Те, що стримує; обмеження.</x:v>
      </x:c>
      <x:c r="E1439" s="192" t="str">
        <x:v>AWL 3</x:v>
      </x:c>
      <x:c r="F1439" s="192" t="str">
        <x:v>High</x:v>
      </x:c>
      <x:c r="G1439" s="192" t="str">
        <x:v>Not Started</x:v>
      </x:c>
      <x:c r="H1439" s="192" t="n">
        <x:v>0</x:v>
      </x:c>
    </x:row>
    <x:row r="1440" ht="56" customHeight="1">
      <x:c r="A1440" s="192" t="str">
        <x:v>contribution</x:v>
      </x:c>
      <x:c r="B1440" s="192" t="str">
        <x:v>word family</x:v>
      </x:c>
      <x:c r="C1440" s="194" t="str">
        <x:v>внесок</x:v>
      </x:c>
      <x:c r="D1440" s="195" t="str">
        <x:v>Щось дане або запропоноване, що додає до більшого цілого.</x:v>
      </x:c>
      <x:c r="E1440" s="192" t="str">
        <x:v>AWL 3</x:v>
      </x:c>
      <x:c r="F1440" s="192" t="str">
        <x:v>High</x:v>
      </x:c>
      <x:c r="G1440" s="192" t="str">
        <x:v>Not Started</x:v>
      </x:c>
      <x:c r="H1440" s="192" t="n">
        <x:v>0</x:v>
      </x:c>
    </x:row>
    <x:row r="1441" ht="56" customHeight="1">
      <x:c r="A1441" s="192" t="str">
        <x:v>convention</x:v>
      </x:c>
      <x:c r="B1441" s="192" t="str">
        <x:v>word family</x:v>
      </x:c>
      <x:c r="C1441" s="194" t="str">
        <x:v>конвенції</x:v>
      </x:c>
      <x:c r="D1441" s="195" t="str">
        <x:v>Практика або процедура, широко поширена в групі, особливо для полегшення соціальної взаємодії; звичай.</x:v>
      </x:c>
      <x:c r="E1441" s="192" t="str">
        <x:v>AWL 3</x:v>
      </x:c>
      <x:c r="F1441" s="192" t="str">
        <x:v>High</x:v>
      </x:c>
      <x:c r="G1441" s="192" t="str">
        <x:v>Not Started</x:v>
      </x:c>
      <x:c r="H1441" s="192" t="n">
        <x:v>0</x:v>
      </x:c>
    </x:row>
    <x:row r="1442" ht="56" customHeight="1">
      <x:c r="A1442" s="192" t="str">
        <x:v>core</x:v>
      </x:c>
      <x:c r="B1442" s="192" t="str">
        <x:v>word family</x:v>
      </x:c>
      <x:c r="C1442" s="194" t="str">
        <x:v>ядро</x:v>
      </x:c>
      <x:c r="D1442" s="195" t="str">
        <x:v>У загальному вживанні суттєва частина речі в оточенні інших істотних речей.</x:v>
      </x:c>
      <x:c r="E1442" s="192" t="str">
        <x:v>AWL 3</x:v>
      </x:c>
      <x:c r="F1442" s="192" t="str">
        <x:v>High</x:v>
      </x:c>
      <x:c r="G1442" s="192" t="str">
        <x:v>Not Started</x:v>
      </x:c>
      <x:c r="H1442" s="192" t="n">
        <x:v>0</x:v>
      </x:c>
    </x:row>
    <x:row r="1443" ht="56" customHeight="1">
      <x:c r="A1443" s="192" t="str">
        <x:v>corporate</x:v>
      </x:c>
      <x:c r="B1443" s="192" t="str">
        <x:v>word family</x:v>
      </x:c>
      <x:c r="C1443" s="194" t="str">
        <x:v>корпоративний</x:v>
      </x:c>
      <x:c r="D1443" s="195" t="str">
        <x:v>Що стосується корпорації.</x:v>
      </x:c>
      <x:c r="E1443" s="192" t="str">
        <x:v>AWL 3</x:v>
      </x:c>
      <x:c r="F1443" s="192" t="str">
        <x:v>High</x:v>
      </x:c>
      <x:c r="G1443" s="192" t="str">
        <x:v>Not Started</x:v>
      </x:c>
      <x:c r="H1443" s="192" t="n">
        <x:v>0</x:v>
      </x:c>
    </x:row>
    <x:row r="1444" ht="56" customHeight="1">
      <x:c r="A1444" s="192" t="str">
        <x:v>criteria</x:v>
      </x:c>
      <x:c r="B1444" s="192" t="str">
        <x:v>word family</x:v>
      </x:c>
      <x:c r="C1444" s="194" t="str">
        <x:v>критерії</x:v>
      </x:c>
      <x:c r="D1444" s="195" t="str">
        <x:v>Єдиний критерій.</x:v>
      </x:c>
      <x:c r="E1444" s="192" t="str">
        <x:v>AWL 3</x:v>
      </x:c>
      <x:c r="F1444" s="192" t="str">
        <x:v>High</x:v>
      </x:c>
      <x:c r="G1444" s="192" t="str">
        <x:v>Not Started</x:v>
      </x:c>
      <x:c r="H1444" s="192" t="n">
        <x:v>0</x:v>
      </x:c>
    </x:row>
    <x:row r="1445" ht="56" customHeight="1">
      <x:c r="A1445" s="192" t="str">
        <x:v>deduction</x:v>
      </x:c>
      <x:c r="B1445" s="192" t="str">
        <x:v>word family</x:v>
      </x:c>
      <x:c r="C1445" s="194" t="str">
        <x:v>дедукція</x:v>
      </x:c>
      <x:c r="D1445" s="195" t="str">
        <x:v>Сума, яка може бути вилучена в податкових розрахунках, як правило, з оподатковуваної суми; те, що списано.</x:v>
      </x:c>
      <x:c r="E1445" s="192" t="str">
        <x:v>AWL 3</x:v>
      </x:c>
      <x:c r="F1445" s="192" t="str">
        <x:v>High</x:v>
      </x:c>
      <x:c r="G1445" s="192" t="str">
        <x:v>Not Started</x:v>
      </x:c>
      <x:c r="H1445" s="192" t="n">
        <x:v>0</x:v>
      </x:c>
    </x:row>
    <x:row r="1446" ht="56" customHeight="1">
      <x:c r="A1446" s="192" t="str">
        <x:v>demonstrate</x:v>
      </x:c>
      <x:c r="B1446" s="192" t="str">
        <x:v>word family</x:v>
      </x:c>
      <x:c r="C1446" s="194" t="str">
        <x:v>продемонструвати</x:v>
      </x:c>
      <x:c r="D1446" s="195" t="str">
        <x:v>Показувати, демонструвати або представляти; довести або зробити очевидним</x:v>
      </x:c>
      <x:c r="E1446" s="192" t="str">
        <x:v>AWL 3</x:v>
      </x:c>
      <x:c r="F1446" s="192" t="str">
        <x:v>High</x:v>
      </x:c>
      <x:c r="G1446" s="192" t="str">
        <x:v>Not Started</x:v>
      </x:c>
      <x:c r="H1446" s="192" t="n">
        <x:v>0</x:v>
      </x:c>
    </x:row>
    <x:row r="1447" ht="56" customHeight="1">
      <x:c r="A1447" s="192" t="str">
        <x:v>document</x:v>
      </x:c>
      <x:c r="B1447" s="192" t="str">
        <x:v>word family</x:v>
      </x:c>
      <x:c r="C1447" s="194" t="str">
        <x:v>документ</x:v>
      </x:c>
      <x:c r="D1447" s="195" t="str">
        <x:v>Оригінал або офіційний документ, який використовується як основа, доказ або підтримка будь-чого іншого, включаючи будь-який письмовий документ, книгу чи інший документ, що передає інформацію, що має відношення до такого до...</x:v>
      </x:c>
      <x:c r="E1447" s="192" t="str">
        <x:v>AWL 3</x:v>
      </x:c>
      <x:c r="F1447" s="192" t="str">
        <x:v>High</x:v>
      </x:c>
      <x:c r="G1447" s="192" t="str">
        <x:v>Not Started</x:v>
      </x:c>
      <x:c r="H1447" s="192" t="n">
        <x:v>0</x:v>
      </x:c>
    </x:row>
    <x:row r="1448" ht="56" customHeight="1">
      <x:c r="A1448" s="192" t="str">
        <x:v>dominant</x:v>
      </x:c>
      <x:c r="B1448" s="192" t="str">
        <x:v>word family</x:v>
      </x:c>
      <x:c r="C1448" s="194" t="str">
        <x:v>домінуючий</x:v>
      </x:c>
      <x:c r="D1448" s="195" t="str">
        <x:v>Постанова; керуючий; переважаючим</x:v>
      </x:c>
      <x:c r="E1448" s="192" t="str">
        <x:v>AWL 3</x:v>
      </x:c>
      <x:c r="F1448" s="192" t="str">
        <x:v>High</x:v>
      </x:c>
      <x:c r="G1448" s="192" t="str">
        <x:v>Not Started</x:v>
      </x:c>
      <x:c r="H1448" s="192" t="n">
        <x:v>0</x:v>
      </x:c>
    </x:row>
    <x:row r="1449" ht="56" customHeight="1">
      <x:c r="A1449" s="192" t="str">
        <x:v>emphasis</x:v>
      </x:c>
      <x:c r="B1449" s="192" t="str">
        <x:v>word family</x:v>
      </x:c>
      <x:c r="C1449" s="194" t="str">
        <x:v>наголос</x:v>
      </x:c>
      <x:c r="D1449" s="195" t="str">
        <x:v>Особлива вага чи сила, що надається чомусь, що вважається важливим.</x:v>
      </x:c>
      <x:c r="E1449" s="192" t="str">
        <x:v>AWL 3</x:v>
      </x:c>
      <x:c r="F1449" s="192" t="str">
        <x:v>High</x:v>
      </x:c>
      <x:c r="G1449" s="192" t="str">
        <x:v>Not Started</x:v>
      </x:c>
      <x:c r="H1449" s="192" t="n">
        <x:v>0</x:v>
      </x:c>
    </x:row>
    <x:row r="1450" ht="56" customHeight="1">
      <x:c r="A1450" s="192" t="str">
        <x:v>ensure</x:v>
      </x:c>
      <x:c r="B1450" s="192" t="str">
        <x:v>word family</x:v>
      </x:c>
      <x:c r="C1450" s="194" t="str">
        <x:v>забезпечити</x:v>
      </x:c>
      <x:c r="D1450" s="195" t="str">
        <x:v>Переконатися або переконатися в чомусь (зазвичай у якійсь майбутній події чи стані).</x:v>
      </x:c>
      <x:c r="E1450" s="192" t="str">
        <x:v>AWL 3</x:v>
      </x:c>
      <x:c r="F1450" s="192" t="str">
        <x:v>High</x:v>
      </x:c>
      <x:c r="G1450" s="192" t="str">
        <x:v>Not Started</x:v>
      </x:c>
      <x:c r="H1450" s="192" t="n">
        <x:v>0</x:v>
      </x:c>
    </x:row>
    <x:row r="1451" ht="56" customHeight="1">
      <x:c r="A1451" s="192" t="str">
        <x:v>excluded</x:v>
      </x:c>
      <x:c r="B1451" s="192" t="str">
        <x:v>word family</x:v>
      </x:c>
      <x:c r="C1451" s="194" t="str">
        <x:v>виключено</x:v>
      </x:c>
      <x:c r="D1451" s="195" t="str">
        <x:v>Зберігається; заборонено входити або бути частиною; уникали.</x:v>
      </x:c>
      <x:c r="E1451" s="192" t="str">
        <x:v>AWL 3</x:v>
      </x:c>
      <x:c r="F1451" s="192" t="str">
        <x:v>High</x:v>
      </x:c>
      <x:c r="G1451" s="192" t="str">
        <x:v>Not Started</x:v>
      </x:c>
      <x:c r="H1451" s="192" t="n">
        <x:v>0</x:v>
      </x:c>
    </x:row>
    <x:row r="1452" ht="56" customHeight="1">
      <x:c r="A1452" s="192" t="str">
        <x:v>framework</x:v>
      </x:c>
      <x:c r="B1452" s="192" t="str">
        <x:v>word family</x:v>
      </x:c>
      <x:c r="C1452" s="194" t="str">
        <x:v>рамка</x:v>
      </x:c>
      <x:c r="D1452" s="195" t="str">
        <x:v>Багаторазовий фрагмент коду (і, іноді, інші утиліти), що забезпечує стандартне середовище, у якому можна реалізувати програму.</x:v>
      </x:c>
      <x:c r="E1452" s="192" t="str">
        <x:v>AWL 3</x:v>
      </x:c>
      <x:c r="F1452" s="192" t="str">
        <x:v>High</x:v>
      </x:c>
      <x:c r="G1452" s="192" t="str">
        <x:v>Not Started</x:v>
      </x:c>
      <x:c r="H1452" s="192" t="n">
        <x:v>0</x:v>
      </x:c>
    </x:row>
    <x:row r="1453" ht="56" customHeight="1">
      <x:c r="A1453" s="192" t="str">
        <x:v>funds</x:v>
      </x:c>
      <x:c r="B1453" s="192" t="str">
        <x:v>word family</x:v>
      </x:c>
      <x:c r="C1453" s="194" t="str">
        <x:v>коштів</x:v>
      </x:c>
      <x:c r="D1453" s="195" t="str">
        <x:v>Фінансові ресурси.</x:v>
      </x:c>
      <x:c r="E1453" s="192" t="str">
        <x:v>AWL 3</x:v>
      </x:c>
      <x:c r="F1453" s="192" t="str">
        <x:v>High</x:v>
      </x:c>
      <x:c r="G1453" s="192" t="str">
        <x:v>Not Started</x:v>
      </x:c>
      <x:c r="H1453" s="192" t="n">
        <x:v>0</x:v>
      </x:c>
    </x:row>
    <x:row r="1454" ht="56" customHeight="1">
      <x:c r="A1454" s="192" t="str">
        <x:v>illustrated</x:v>
      </x:c>
      <x:c r="B1454" s="192" t="str">
        <x:v>word family</x:v>
      </x:c>
      <x:c r="C1454" s="194" t="str">
        <x:v>ілюстрований</x:v>
      </x:c>
      <x:c r="D1454" s="195" t="str">
        <x:v>Містить ілюстрації.</x:v>
      </x:c>
      <x:c r="E1454" s="192" t="str">
        <x:v>AWL 3</x:v>
      </x:c>
      <x:c r="F1454" s="192" t="str">
        <x:v>High</x:v>
      </x:c>
      <x:c r="G1454" s="192" t="str">
        <x:v>Not Started</x:v>
      </x:c>
      <x:c r="H1454" s="192" t="n">
        <x:v>0</x:v>
      </x:c>
    </x:row>
    <x:row r="1455" ht="56" customHeight="1">
      <x:c r="A1455" s="192" t="str">
        <x:v>immigration</x:v>
      </x:c>
      <x:c r="B1455" s="192" t="str">
        <x:v>word family</x:v>
      </x:c>
      <x:c r="C1455" s="194" t="str">
        <x:v>імміграція</x:v>
      </x:c>
      <x:c r="D1455" s="195" t="str">
        <x:v>Акт імміграції; переїзд або в'їзд до країни, у якій людина не народилася, з метою постійного проживання.</x:v>
      </x:c>
      <x:c r="E1455" s="192" t="str">
        <x:v>AWL 3</x:v>
      </x:c>
      <x:c r="F1455" s="192" t="str">
        <x:v>High</x:v>
      </x:c>
      <x:c r="G1455" s="192" t="str">
        <x:v>Not Started</x:v>
      </x:c>
      <x:c r="H1455" s="192" t="n">
        <x:v>0</x:v>
      </x:c>
    </x:row>
    <x:row r="1456" ht="56" customHeight="1">
      <x:c r="A1456" s="192" t="str">
        <x:v>implies</x:v>
      </x:c>
      <x:c r="B1456" s="192" t="str">
        <x:v>word family</x:v>
      </x:c>
      <x:c r="C1456" s="194" t="str">
        <x:v>передбачає</x:v>
      </x:c>
      <x:c r="D1456" s="195" t="str">
        <x:v>Пропонується без прямого вказівки; причетні або натякані.</x:v>
      </x:c>
      <x:c r="E1456" s="192" t="str">
        <x:v>AWL 3</x:v>
      </x:c>
      <x:c r="F1456" s="192" t="str">
        <x:v>High</x:v>
      </x:c>
      <x:c r="G1456" s="192" t="str">
        <x:v>Not Started</x:v>
      </x:c>
      <x:c r="H1456" s="192" t="n">
        <x:v>0</x:v>
      </x:c>
    </x:row>
    <x:row r="1457" ht="56" customHeight="1">
      <x:c r="A1457" s="192" t="str">
        <x:v>initial</x:v>
      </x:c>
      <x:c r="B1457" s="192" t="str">
        <x:v>word family</x:v>
      </x:c>
      <x:c r="C1457" s="194" t="str">
        <x:v>початковий</x:v>
      </x:c>
      <x:c r="D1457" s="195" t="str">
        <x:v>Перша буква слова чи імені, особливо повного імені людини (їх ініціали).</x:v>
      </x:c>
      <x:c r="E1457" s="192" t="str">
        <x:v>AWL 3</x:v>
      </x:c>
      <x:c r="F1457" s="192" t="str">
        <x:v>High</x:v>
      </x:c>
      <x:c r="G1457" s="192" t="str">
        <x:v>Not Started</x:v>
      </x:c>
      <x:c r="H1457" s="192" t="n">
        <x:v>0</x:v>
      </x:c>
    </x:row>
    <x:row r="1458" ht="56" customHeight="1">
      <x:c r="A1458" s="192" t="str">
        <x:v>instance</x:v>
      </x:c>
      <x:c r="B1458" s="192" t="str">
        <x:v>word family</x:v>
      </x:c>
      <x:c r="C1458" s="194" t="str">
        <x:v>екземпляр</x:v>
      </x:c>
      <x:c r="D1458" s="195" t="str">
        <x:v>Випадок, запропонований як приклад або прецедент; наочний приклад.</x:v>
      </x:c>
      <x:c r="E1458" s="192" t="str">
        <x:v>AWL 3</x:v>
      </x:c>
      <x:c r="F1458" s="192" t="str">
        <x:v>High</x:v>
      </x:c>
      <x:c r="G1458" s="192" t="str">
        <x:v>Not Started</x:v>
      </x:c>
      <x:c r="H1458" s="192" t="n">
        <x:v>0</x:v>
      </x:c>
    </x:row>
    <x:row r="1459" ht="56" customHeight="1">
      <x:c r="A1459" s="192" t="str">
        <x:v>interaction</x:v>
      </x:c>
      <x:c r="B1459" s="192" t="str">
        <x:v>word family</x:v>
      </x:c>
      <x:c r="C1459" s="194" t="str">
        <x:v>взаємодія</x:v>
      </x:c>
      <x:c r="D1459" s="195" t="str">
        <x:v>Розмова або обмін між людьми.</x:v>
      </x:c>
      <x:c r="E1459" s="192" t="str">
        <x:v>AWL 3</x:v>
      </x:c>
      <x:c r="F1459" s="192" t="str">
        <x:v>High</x:v>
      </x:c>
      <x:c r="G1459" s="192" t="str">
        <x:v>Not Started</x:v>
      </x:c>
      <x:c r="H1459" s="192" t="n">
        <x:v>0</x:v>
      </x:c>
    </x:row>
    <x:row r="1460" ht="56" customHeight="1">
      <x:c r="A1460" s="192" t="str">
        <x:v>layer</x:v>
      </x:c>
      <x:c r="B1460" s="192" t="str">
        <x:v>word family</x:v>
      </x:c>
      <x:c r="C1460" s="194" t="str">
        <x:v>шар</x:v>
      </x:c>
      <x:c r="D1460" s="195" t="str">
        <x:v>Одна товщина якогось матеріалу, що покриває поверхню.</x:v>
      </x:c>
      <x:c r="E1460" s="192" t="str">
        <x:v>AWL 3</x:v>
      </x:c>
      <x:c r="F1460" s="192" t="str">
        <x:v>High</x:v>
      </x:c>
      <x:c r="G1460" s="192" t="str">
        <x:v>Not Started</x:v>
      </x:c>
      <x:c r="H1460" s="192" t="n">
        <x:v>0</x:v>
      </x:c>
    </x:row>
    <x:row r="1461" ht="56" customHeight="1">
      <x:c r="A1461" s="192" t="str">
        <x:v>link</x:v>
      </x:c>
      <x:c r="B1461" s="192" t="str">
        <x:v>word family</x:v>
      </x:c>
      <x:c r="C1461" s="194" t="str">
        <x:v>посилання</x:v>
      </x:c>
      <x:c r="D1461" s="195" t="str">
        <x:v>Зв’язок між місцями, людьми, подіями, речами чи ідеями.</x:v>
      </x:c>
      <x:c r="E1461" s="192" t="str">
        <x:v>AWL 3</x:v>
      </x:c>
      <x:c r="F1461" s="192" t="str">
        <x:v>High</x:v>
      </x:c>
      <x:c r="G1461" s="192" t="str">
        <x:v>Not Started</x:v>
      </x:c>
      <x:c r="H1461" s="192" t="n">
        <x:v>0</x:v>
      </x:c>
    </x:row>
    <x:row r="1462" ht="56" customHeight="1">
      <x:c r="A1462" s="192" t="str">
        <x:v>location</x:v>
      </x:c>
      <x:c r="B1462" s="192" t="str">
        <x:v>word family</x:v>
      </x:c>
      <x:c r="C1462" s="194" t="str">
        <x:v>розташування</x:v>
      </x:c>
      <x:c r="D1462" s="195" t="str">
        <x:v>Конкретна точка або місце у фізичному просторі.</x:v>
      </x:c>
      <x:c r="E1462" s="192" t="str">
        <x:v>AWL 3</x:v>
      </x:c>
      <x:c r="F1462" s="192" t="str">
        <x:v>High</x:v>
      </x:c>
      <x:c r="G1462" s="192" t="str">
        <x:v>Not Started</x:v>
      </x:c>
      <x:c r="H1462" s="192" t="n">
        <x:v>0</x:v>
      </x:c>
    </x:row>
    <x:row r="1463" ht="56" customHeight="1">
      <x:c r="A1463" s="192" t="str">
        <x:v>maximum</x:v>
      </x:c>
      <x:c r="B1463" s="192" t="str">
        <x:v>word family</x:v>
      </x:c>
      <x:c r="C1463" s="194" t="str">
        <x:v>максимум</x:v>
      </x:c>
      <x:c r="D1463" s="195" t="str">
        <x:v>Найвища межа.</x:v>
      </x:c>
      <x:c r="E1463" s="192" t="str">
        <x:v>AWL 3</x:v>
      </x:c>
      <x:c r="F1463" s="192" t="str">
        <x:v>High</x:v>
      </x:c>
      <x:c r="G1463" s="192" t="str">
        <x:v>Not Started</x:v>
      </x:c>
      <x:c r="H1463" s="192" t="n">
        <x:v>0</x:v>
      </x:c>
    </x:row>
    <x:row r="1464" ht="56" customHeight="1">
      <x:c r="A1464" s="192" t="str">
        <x:v>minorities</x:v>
      </x:c>
      <x:c r="B1464" s="192" t="str">
        <x:v>word family</x:v>
      </x:c>
      <x:c r="C1464" s="194" t="str">
        <x:v>меншини</x:v>
      </x:c>
      <x:c r="D1464" s="195" t="str">
        <x:v>Згідно з даними, опублікованими Міністерством внутрішніх справ і муніципалітетами в 2011 році (не офіційний перепис як такий)</x:v>
      </x:c>
      <x:c r="E1464" s="192" t="str">
        <x:v>AWL 3</x:v>
      </x:c>
      <x:c r="F1464" s="192" t="str">
        <x:v>High</x:v>
      </x:c>
      <x:c r="G1464" s="192" t="str">
        <x:v>Not Started</x:v>
      </x:c>
      <x:c r="H1464" s="192" t="n">
        <x:v>0</x:v>
      </x:c>
    </x:row>
    <x:row r="1465" ht="56" customHeight="1">
      <x:c r="A1465" s="192" t="str">
        <x:v>negative</x:v>
      </x:c>
      <x:c r="B1465" s="192" t="str">
        <x:v>word family</x:v>
      </x:c>
      <x:c r="C1465" s="194" t="str">
        <x:v>негативний</x:v>
      </x:c>
      <x:c r="D1465" s="195" t="str">
        <x:v>Не позитивний або нейтральний; поганий; небажаний; несприятливий.</x:v>
      </x:c>
      <x:c r="E1465" s="192" t="str">
        <x:v>AWL 3</x:v>
      </x:c>
      <x:c r="F1465" s="192" t="str">
        <x:v>High</x:v>
      </x:c>
      <x:c r="G1465" s="192" t="str">
        <x:v>Not Started</x:v>
      </x:c>
      <x:c r="H1465" s="192" t="n">
        <x:v>0</x:v>
      </x:c>
    </x:row>
    <x:row r="1466" ht="56" customHeight="1">
      <x:c r="A1466" s="192" t="str">
        <x:v>outcomes</x:v>
      </x:c>
      <x:c r="B1466" s="192" t="str">
        <x:v>word family</x:v>
      </x:c>
      <x:c r="C1466" s="194" t="str">
        <x:v>результати</x:v>
      </x:c>
      <x:c r="D1466" s="195" t="str">
        <x:v>Те, що виробляється або відбувається в результаті події чи процесу.</x:v>
      </x:c>
      <x:c r="E1466" s="192" t="str">
        <x:v>AWL 3</x:v>
      </x:c>
      <x:c r="F1466" s="192" t="str">
        <x:v>High</x:v>
      </x:c>
      <x:c r="G1466" s="192" t="str">
        <x:v>Not Started</x:v>
      </x:c>
      <x:c r="H1466" s="192" t="n">
        <x:v>0</x:v>
      </x:c>
    </x:row>
    <x:row r="1467" ht="56" customHeight="1">
      <x:c r="A1467" s="192" t="str">
        <x:v>partnership</x:v>
      </x:c>
      <x:c r="B1467" s="192" t="str">
        <x:v>word family</x:v>
      </x:c>
      <x:c r="C1467" s="194" t="str">
        <x:v>партнерство</x:v>
      </x:c>
      <x:c r="D1467" s="195" t="str">
        <x:v>Об’єднання двох або більше осіб для ведення бізнесу.</x:v>
      </x:c>
      <x:c r="E1467" s="192" t="str">
        <x:v>AWL 3</x:v>
      </x:c>
      <x:c r="F1467" s="192" t="str">
        <x:v>High</x:v>
      </x:c>
      <x:c r="G1467" s="192" t="str">
        <x:v>Not Started</x:v>
      </x:c>
      <x:c r="H1467" s="192" t="n">
        <x:v>0</x:v>
      </x:c>
    </x:row>
    <x:row r="1468" ht="56" customHeight="1">
      <x:c r="A1468" s="192" t="str">
        <x:v>philosophy</x:v>
      </x:c>
      <x:c r="B1468" s="192" t="str">
        <x:v>word family</x:v>
      </x:c>
      <x:c r="C1468" s="194" t="str">
        <x:v>філософія</x:v>
      </x:c>
      <x:c r="D1468" s="195" t="str">
        <x:v>Академічна дисципліна, яка шукає істину через міркування, а не через емпіризм, часто намагаючись надати пояснення щодо загальних понять, таких як існування та раціональність.</x:v>
      </x:c>
      <x:c r="E1468" s="192" t="str">
        <x:v>AWL 3</x:v>
      </x:c>
      <x:c r="F1468" s="192" t="str">
        <x:v>High</x:v>
      </x:c>
      <x:c r="G1468" s="192" t="str">
        <x:v>Not Started</x:v>
      </x:c>
      <x:c r="H1468" s="192" t="n">
        <x:v>0</x:v>
      </x:c>
    </x:row>
    <x:row r="1469" ht="56" customHeight="1">
      <x:c r="A1469" s="192" t="str">
        <x:v>physical</x:v>
      </x:c>
      <x:c r="B1469" s="192" t="str">
        <x:v>word family</x:v>
      </x:c>
      <x:c r="C1469" s="194" t="str">
        <x:v>фізичний</x:v>
      </x:c>
      <x:c r="D1469" s="195" t="str">
        <x:v>Відноситься до світу, як його розуміють почуттями, а не розумом; матеріальний, конкретний; справжній. Має відношення до матеріального світу.</x:v>
      </x:c>
      <x:c r="E1469" s="192" t="str">
        <x:v>AWL 3</x:v>
      </x:c>
      <x:c r="F1469" s="192" t="str">
        <x:v>High</x:v>
      </x:c>
      <x:c r="G1469" s="192" t="str">
        <x:v>Not Started</x:v>
      </x:c>
      <x:c r="H1469" s="192" t="n">
        <x:v>0</x:v>
      </x:c>
    </x:row>
    <x:row r="1470" ht="56" customHeight="1">
      <x:c r="A1470" s="192" t="str">
        <x:v>proportion</x:v>
      </x:c>
      <x:c r="B1470" s="192" t="str">
        <x:v>word family</x:v>
      </x:c>
      <x:c r="C1470" s="194" t="str">
        <x:v>пропорція</x:v>
      </x:c>
      <x:c r="D1470" s="195" t="str">
        <x:v>Кількість чогось, що є частиною цілої суми або числа.</x:v>
      </x:c>
      <x:c r="E1470" s="192" t="str">
        <x:v>AWL 3</x:v>
      </x:c>
      <x:c r="F1470" s="192" t="str">
        <x:v>High</x:v>
      </x:c>
      <x:c r="G1470" s="192" t="str">
        <x:v>Not Started</x:v>
      </x:c>
      <x:c r="H1470" s="192" t="n">
        <x:v>0</x:v>
      </x:c>
    </x:row>
    <x:row r="1471" ht="56" customHeight="1">
      <x:c r="A1471" s="192" t="str">
        <x:v>published</x:v>
      </x:c>
      <x:c r="B1471" s="192" t="str">
        <x:v>word family</x:v>
      </x:c>
      <x:c r="C1471" s="194" t="str">
        <x:v>опубліковано</x:v>
      </x:c>
      <x:c r="D1471" s="195" t="str">
        <x:v>Видається для продажу населенню</x:v>
      </x:c>
      <x:c r="E1471" s="192" t="str">
        <x:v>AWL 3</x:v>
      </x:c>
      <x:c r="F1471" s="192" t="str">
        <x:v>High</x:v>
      </x:c>
      <x:c r="G1471" s="192" t="str">
        <x:v>Not Started</x:v>
      </x:c>
      <x:c r="H1471" s="192" t="n">
        <x:v>0</x:v>
      </x:c>
    </x:row>
    <x:row r="1472" ht="56" customHeight="1">
      <x:c r="A1472" s="192" t="str">
        <x:v>reaction</x:v>
      </x:c>
      <x:c r="B1472" s="192" t="str">
        <x:v>word family</x:v>
      </x:c>
      <x:c r="C1472" s="194" t="str">
        <x:v>реакція</x:v>
      </x:c>
      <x:c r="D1472" s="195" t="str">
        <x:v>Дія або твердження у відповідь на стимул або іншу подію.</x:v>
      </x:c>
      <x:c r="E1472" s="192" t="str">
        <x:v>AWL 3</x:v>
      </x:c>
      <x:c r="F1472" s="192" t="str">
        <x:v>High</x:v>
      </x:c>
      <x:c r="G1472" s="192" t="str">
        <x:v>Not Started</x:v>
      </x:c>
      <x:c r="H1472" s="192" t="n">
        <x:v>0</x:v>
      </x:c>
    </x:row>
    <x:row r="1473" ht="56" customHeight="1">
      <x:c r="A1473" s="192" t="str">
        <x:v>registered</x:v>
      </x:c>
      <x:c r="B1473" s="192" t="str">
        <x:v>word family</x:v>
      </x:c>
      <x:c r="C1473" s="194" t="str">
        <x:v>зареєстрований</x:v>
      </x:c>
      <x:c r="D1473" s="195" t="str">
        <x:v>Внесення свого імені до офіційного списку або внесення до реєстру.</x:v>
      </x:c>
      <x:c r="E1473" s="192" t="str">
        <x:v>AWL 3</x:v>
      </x:c>
      <x:c r="F1473" s="192" t="str">
        <x:v>High</x:v>
      </x:c>
      <x:c r="G1473" s="192" t="str">
        <x:v>Not Started</x:v>
      </x:c>
      <x:c r="H1473" s="192" t="n">
        <x:v>0</x:v>
      </x:c>
    </x:row>
    <x:row r="1474" ht="56" customHeight="1">
      <x:c r="A1474" s="192" t="str">
        <x:v>reliance</x:v>
      </x:c>
      <x:c r="B1474" s="192" t="str">
        <x:v>word family</x:v>
      </x:c>
      <x:c r="C1474" s="194" t="str">
        <x:v>опора</x:v>
      </x:c>
      <x:c r="D1474" s="195" t="str">
        <x:v>Акт покладання (на когось або щось); довіра.</x:v>
      </x:c>
      <x:c r="E1474" s="192" t="str">
        <x:v>AWL 3</x:v>
      </x:c>
      <x:c r="F1474" s="192" t="str">
        <x:v>High</x:v>
      </x:c>
      <x:c r="G1474" s="192" t="str">
        <x:v>Not Started</x:v>
      </x:c>
      <x:c r="H1474" s="192" t="n">
        <x:v>0</x:v>
      </x:c>
    </x:row>
    <x:row r="1475" ht="56" customHeight="1">
      <x:c r="A1475" s="192" t="str">
        <x:v>removed</x:v>
      </x:c>
      <x:c r="B1475" s="192" t="str">
        <x:v>word family</x:v>
      </x:c>
      <x:c r="C1475" s="194" t="str">
        <x:v>видалено</x:v>
      </x:c>
      <x:c r="D1475" s="195" t="str">
        <x:v>Розділені в часі, просторі або ступені.</x:v>
      </x:c>
      <x:c r="E1475" s="192" t="str">
        <x:v>AWL 3</x:v>
      </x:c>
      <x:c r="F1475" s="192" t="str">
        <x:v>High</x:v>
      </x:c>
      <x:c r="G1475" s="192" t="str">
        <x:v>Not Started</x:v>
      </x:c>
      <x:c r="H1475" s="192" t="n">
        <x:v>0</x:v>
      </x:c>
    </x:row>
    <x:row r="1476" ht="56" customHeight="1">
      <x:c r="A1476" s="192" t="str">
        <x:v>scheme</x:v>
      </x:c>
      <x:c r="B1476" s="192" t="str">
        <x:v>word family</x:v>
      </x:c>
      <x:c r="C1476" s="194" t="str">
        <x:v>схема</x:v>
      </x:c>
      <x:c r="D1476" s="195" t="str">
        <x:v>Систематичний план майбутніх дій.</x:v>
      </x:c>
      <x:c r="E1476" s="192" t="str">
        <x:v>AWL 3</x:v>
      </x:c>
      <x:c r="F1476" s="192" t="str">
        <x:v>High</x:v>
      </x:c>
      <x:c r="G1476" s="192" t="str">
        <x:v>Not Started</x:v>
      </x:c>
      <x:c r="H1476" s="192" t="n">
        <x:v>0</x:v>
      </x:c>
    </x:row>
    <x:row r="1477" ht="56" customHeight="1">
      <x:c r="A1477" s="192" t="str">
        <x:v>sequence</x:v>
      </x:c>
      <x:c r="B1477" s="192" t="str">
        <x:v>word family</x:v>
      </x:c>
      <x:c r="C1477" s="194" t="str">
        <x:v>послідовність</x:v>
      </x:c>
      <x:c r="D1477" s="195" t="str">
        <x:v>Набір речей поруч один з одним у встановленому порядку; серія.</x:v>
      </x:c>
      <x:c r="E1477" s="192" t="str">
        <x:v>AWL 3</x:v>
      </x:c>
      <x:c r="F1477" s="192" t="str">
        <x:v>High</x:v>
      </x:c>
      <x:c r="G1477" s="192" t="str">
        <x:v>Not Started</x:v>
      </x:c>
      <x:c r="H1477" s="192" t="n">
        <x:v>0</x:v>
      </x:c>
    </x:row>
    <x:row r="1478" ht="56" customHeight="1">
      <x:c r="A1478" s="192" t="str">
        <x:v>sex</x:v>
      </x:c>
      <x:c r="B1478" s="192" t="str">
        <x:v>word family</x:v>
      </x:c>
      <x:c r="C1478" s="194" t="str">
        <x:v>секс</x:v>
      </x:c>
      <x:c r="D1478" s="195" t="str">
        <x:v>Статева активність, зазвичай статевий акт, якщо перед ним не стоїть модифікатор.</x:v>
      </x:c>
      <x:c r="E1478" s="192" t="str">
        <x:v>AWL 3</x:v>
      </x:c>
      <x:c r="F1478" s="192" t="str">
        <x:v>High</x:v>
      </x:c>
      <x:c r="G1478" s="192" t="str">
        <x:v>Not Started</x:v>
      </x:c>
      <x:c r="H1478" s="192" t="n">
        <x:v>0</x:v>
      </x:c>
    </x:row>
    <x:row r="1479" ht="56" customHeight="1">
      <x:c r="A1479" s="192" t="str">
        <x:v>shift</x:v>
      </x:c>
      <x:c r="B1479" s="192" t="str">
        <x:v>word family</x:v>
      </x:c>
      <x:c r="C1479" s="194" t="str">
        <x:v>зміна</x:v>
      </x:c>
      <x:c r="D1479" s="195" t="str">
        <x:v>Рух, щоб щось зробити, початок.</x:v>
      </x:c>
      <x:c r="E1479" s="192" t="str">
        <x:v>AWL 3</x:v>
      </x:c>
      <x:c r="F1479" s="192" t="str">
        <x:v>High</x:v>
      </x:c>
      <x:c r="G1479" s="192" t="str">
        <x:v>Not Started</x:v>
      </x:c>
      <x:c r="H1479" s="192" t="n">
        <x:v>0</x:v>
      </x:c>
    </x:row>
    <x:row r="1480" ht="56" customHeight="1">
      <x:c r="A1480" s="192" t="str">
        <x:v>specified</x:v>
      </x:c>
      <x:c r="B1480" s="192" t="str">
        <x:v>word family</x:v>
      </x:c>
      <x:c r="C1480" s="194" t="str">
        <x:v>зазначено</x:v>
      </x:c>
      <x:c r="D1480" s="195" t="str">
        <x:v>Ретельно пояснено.</x:v>
      </x:c>
      <x:c r="E1480" s="192" t="str">
        <x:v>AWL 3</x:v>
      </x:c>
      <x:c r="F1480" s="192" t="str">
        <x:v>High</x:v>
      </x:c>
      <x:c r="G1480" s="192" t="str">
        <x:v>Not Started</x:v>
      </x:c>
      <x:c r="H1480" s="192" t="n">
        <x:v>0</x:v>
      </x:c>
    </x:row>
    <x:row r="1481" ht="56" customHeight="1">
      <x:c r="A1481" s="192" t="str">
        <x:v>sufficient</x:v>
      </x:c>
      <x:c r="B1481" s="192" t="str">
        <x:v>word family</x:v>
      </x:c>
      <x:c r="C1481" s="194" t="str">
        <x:v>достатній</x:v>
      </x:c>
      <x:c r="D1481" s="195" t="str">
        <x:v>Достатнього типу або виду, який задовольняє вимоги чи потреби.</x:v>
      </x:c>
      <x:c r="E1481" s="192" t="str">
        <x:v>AWL 3</x:v>
      </x:c>
      <x:c r="F1481" s="192" t="str">
        <x:v>High</x:v>
      </x:c>
      <x:c r="G1481" s="192" t="str">
        <x:v>Not Started</x:v>
      </x:c>
      <x:c r="H1481" s="192" t="n">
        <x:v>0</x:v>
      </x:c>
    </x:row>
    <x:row r="1482" ht="56" customHeight="1">
      <x:c r="A1482" s="192" t="str">
        <x:v>task</x:v>
      </x:c>
      <x:c r="B1482" s="192" t="str">
        <x:v>word family</x:v>
      </x:c>
      <x:c r="C1482" s="194" t="str">
        <x:v>завдання</x:v>
      </x:c>
      <x:c r="D1482" s="195" t="str">
        <x:v>Частина роботи, яка виконується як частина обов’язків.</x:v>
      </x:c>
      <x:c r="E1482" s="192" t="str">
        <x:v>AWL 3</x:v>
      </x:c>
      <x:c r="F1482" s="192" t="str">
        <x:v>High</x:v>
      </x:c>
      <x:c r="G1482" s="192" t="str">
        <x:v>Not Started</x:v>
      </x:c>
      <x:c r="H1482" s="192" t="n">
        <x:v>0</x:v>
      </x:c>
    </x:row>
    <x:row r="1483" ht="56" customHeight="1">
      <x:c r="A1483" s="192" t="str">
        <x:v>technical</x:v>
      </x:c>
      <x:c r="B1483" s="192" t="str">
        <x:v>word family</x:v>
      </x:c>
      <x:c r="C1483" s="194" t="str">
        <x:v>технічний</x:v>
      </x:c>
      <x:c r="D1483" s="195" t="str">
        <x:v>Технології або пов’язані з ними.</x:v>
      </x:c>
      <x:c r="E1483" s="192" t="str">
        <x:v>AWL 3</x:v>
      </x:c>
      <x:c r="F1483" s="192" t="str">
        <x:v>High</x:v>
      </x:c>
      <x:c r="G1483" s="192" t="str">
        <x:v>Not Started</x:v>
      </x:c>
      <x:c r="H1483" s="192" t="n">
        <x:v>0</x:v>
      </x:c>
    </x:row>
    <x:row r="1484" ht="56" customHeight="1">
      <x:c r="A1484" s="192" t="str">
        <x:v>techniques</x:v>
      </x:c>
      <x:c r="B1484" s="192" t="str">
        <x:v>word family</x:v>
      </x:c>
      <x:c r="C1484" s="194" t="str">
        <x:v>техніки</x:v>
      </x:c>
      <x:c r="D1484" s="195" t="str">
        <x:v>Спосіб досягнення чогось або здійснення чогось, особливо такий, що вимагає певних навичок або знань.</x:v>
      </x:c>
      <x:c r="E1484" s="192" t="str">
        <x:v>AWL 3</x:v>
      </x:c>
      <x:c r="F1484" s="192" t="str">
        <x:v>High</x:v>
      </x:c>
      <x:c r="G1484" s="192" t="str">
        <x:v>Not Started</x:v>
      </x:c>
      <x:c r="H1484" s="192" t="n">
        <x:v>0</x:v>
      </x:c>
    </x:row>
    <x:row r="1485" ht="56" customHeight="1">
      <x:c r="A1485" s="192" t="str">
        <x:v>technology</x:v>
      </x:c>
      <x:c r="B1485" s="192" t="str">
        <x:v>word family</x:v>
      </x:c>
      <x:c r="C1485" s="194" t="str">
        <x:v>технології</x:v>
      </x:c>
      <x:c r="D1485" s="195" t="str">
        <x:v>Будь-які корисні навички чи механізми, які люди розробили чи винайшли (зокрема, у донаукові епохи).</x:v>
      </x:c>
      <x:c r="E1485" s="192" t="str">
        <x:v>AWL 3</x:v>
      </x:c>
      <x:c r="F1485" s="192" t="str">
        <x:v>High</x:v>
      </x:c>
      <x:c r="G1485" s="192" t="str">
        <x:v>Not Started</x:v>
      </x:c>
      <x:c r="H1485" s="192" t="n">
        <x:v>0</x:v>
      </x:c>
    </x:row>
    <x:row r="1486" ht="56" customHeight="1">
      <x:c r="A1486" s="192" t="str">
        <x:v>volume</x:v>
      </x:c>
      <x:c r="B1486" s="192" t="str">
        <x:v>word family</x:v>
      </x:c>
      <x:c r="C1486" s="194" t="str">
        <x:v>обсяг</x:v>
      </x:c>
      <x:c r="D1486" s="195" t="str">
        <x:v>Тривимірна міра простору, яка складається з довжини, ширини та висоти. Він вимірюється в одиницях кубічних сантиметрів у метричних, кубічних дюймах або кубічних футах в англійській мові.</x:v>
      </x:c>
      <x:c r="E1486" s="192" t="str">
        <x:v>AWL 3</x:v>
      </x:c>
      <x:c r="F1486" s="192" t="str">
        <x:v>High</x:v>
      </x:c>
      <x:c r="G1486" s="192" t="str">
        <x:v>Not Started</x:v>
      </x:c>
      <x:c r="H1486" s="192" t="n">
        <x:v>0</x:v>
      </x:c>
    </x:row>
    <x:row r="1487" ht="56" customHeight="1">
      <x:c r="A1487" s="192" t="str">
        <x:v>access</x:v>
      </x:c>
      <x:c r="B1487" s="192" t="str">
        <x:v>word family</x:v>
      </x:c>
      <x:c r="C1487" s="194" t="str">
        <x:v>доступу</x:v>
      </x:c>
      <x:c r="D1487" s="195" t="str">
        <x:v>Право або можливість підійти чи увійти; допуск; допуск; доступність.</x:v>
      </x:c>
      <x:c r="E1487" s="192" t="str">
        <x:v>AWL 4</x:v>
      </x:c>
      <x:c r="F1487" s="192" t="str">
        <x:v>Medium</x:v>
      </x:c>
      <x:c r="G1487" s="192" t="str">
        <x:v>Not Started</x:v>
      </x:c>
      <x:c r="H1487" s="192" t="n">
        <x:v>0</x:v>
      </x:c>
    </x:row>
    <x:row r="1488" ht="56" customHeight="1">
      <x:c r="A1488" s="192" t="str">
        <x:v>adequate</x:v>
      </x:c>
      <x:c r="B1488" s="192" t="str">
        <x:v>word family</x:v>
      </x:c>
      <x:c r="C1488" s="194" t="str">
        <x:v>адекватний</x:v>
      </x:c>
      <x:c r="D1488" s="195" t="str">
        <x:v>Дорівнює або виконує певну вимогу.</x:v>
      </x:c>
      <x:c r="E1488" s="192" t="str">
        <x:v>AWL 4</x:v>
      </x:c>
      <x:c r="F1488" s="192" t="str">
        <x:v>Medium</x:v>
      </x:c>
      <x:c r="G1488" s="192" t="str">
        <x:v>Not Started</x:v>
      </x:c>
      <x:c r="H1488" s="192" t="n">
        <x:v>0</x:v>
      </x:c>
    </x:row>
    <x:row r="1489" ht="56" customHeight="1">
      <x:c r="A1489" s="192" t="str">
        <x:v>annual</x:v>
      </x:c>
      <x:c r="B1489" s="192" t="str">
        <x:v>word family</x:v>
      </x:c>
      <x:c r="C1489" s="194" t="str">
        <x:v>річний</x:v>
      </x:c>
      <x:c r="D1489" s="195" t="str">
        <x:v>Відбувається раз на рік.</x:v>
      </x:c>
      <x:c r="E1489" s="192" t="str">
        <x:v>AWL 4</x:v>
      </x:c>
      <x:c r="F1489" s="192" t="str">
        <x:v>Medium</x:v>
      </x:c>
      <x:c r="G1489" s="192" t="str">
        <x:v>Not Started</x:v>
      </x:c>
      <x:c r="H1489" s="192" t="n">
        <x:v>0</x:v>
      </x:c>
    </x:row>
    <x:row r="1490" ht="56" customHeight="1">
      <x:c r="A1490" s="192" t="str">
        <x:v>apparent</x:v>
      </x:c>
      <x:c r="B1490" s="192" t="str">
        <x:v>word family</x:v>
      </x:c>
      <x:c r="C1490" s="194" t="str">
        <x:v>очевидний</x:v>
      </x:c>
      <x:c r="D1490" s="195" t="str">
        <x:v>Ясний або явний для розуміння; звичайний; очевидний; очевидний; відомий; відчутний; безсумнівний.</x:v>
      </x:c>
      <x:c r="E1490" s="192" t="str">
        <x:v>AWL 4</x:v>
      </x:c>
      <x:c r="F1490" s="192" t="str">
        <x:v>Medium</x:v>
      </x:c>
      <x:c r="G1490" s="192" t="str">
        <x:v>Not Started</x:v>
      </x:c>
      <x:c r="H1490" s="192" t="n">
        <x:v>0</x:v>
      </x:c>
    </x:row>
    <x:row r="1491" ht="56" customHeight="1">
      <x:c r="A1491" s="192" t="str">
        <x:v>approximated</x:v>
      </x:c>
      <x:c r="B1491" s="192" t="str">
        <x:v>word family</x:v>
      </x:c>
      <x:c r="C1491" s="194" t="str">
        <x:v>наближений</x:v>
      </x:c>
      <x:c r="D1491" s="195" t="str">
        <x:v>Розраховується наближено</x:v>
      </x:c>
      <x:c r="E1491" s="192" t="str">
        <x:v>AWL 4</x:v>
      </x:c>
      <x:c r="F1491" s="192" t="str">
        <x:v>Medium</x:v>
      </x:c>
      <x:c r="G1491" s="192" t="str">
        <x:v>Not Started</x:v>
      </x:c>
      <x:c r="H1491" s="192" t="n">
        <x:v>0</x:v>
      </x:c>
    </x:row>
    <x:row r="1492" ht="56" customHeight="1">
      <x:c r="A1492" s="192" t="str">
        <x:v>attitudes</x:v>
      </x:c>
      <x:c r="B1492" s="192" t="str">
        <x:v>word family</x:v>
      </x:c>
      <x:c r="C1492" s="194" t="str">
        <x:v>ставлення</x:v>
      </x:c>
      <x:c r="D1492" s="195" t="str">
        <x:v>Вдача або стан душі.</x:v>
      </x:c>
      <x:c r="E1492" s="192" t="str">
        <x:v>AWL 4</x:v>
      </x:c>
      <x:c r="F1492" s="192" t="str">
        <x:v>Medium</x:v>
      </x:c>
      <x:c r="G1492" s="192" t="str">
        <x:v>Not Started</x:v>
      </x:c>
      <x:c r="H1492" s="192" t="n">
        <x:v>0</x:v>
      </x:c>
    </x:row>
    <x:row r="1493" ht="56" customHeight="1">
      <x:c r="A1493" s="192" t="str">
        <x:v>attributed</x:v>
      </x:c>
      <x:c r="B1493" s="192" t="str">
        <x:v>word family</x:v>
      </x:c>
      <x:c r="C1493" s="194" t="str">
        <x:v>приписується</x:v>
      </x:c>
      <x:c r="D1493" s="195" t="str">
        <x:v>прикрашений атрибутом</x:v>
      </x:c>
      <x:c r="E1493" s="192" t="str">
        <x:v>AWL 4</x:v>
      </x:c>
      <x:c r="F1493" s="192" t="str">
        <x:v>Medium</x:v>
      </x:c>
      <x:c r="G1493" s="192" t="str">
        <x:v>Not Started</x:v>
      </x:c>
      <x:c r="H1493" s="192" t="n">
        <x:v>0</x:v>
      </x:c>
    </x:row>
    <x:row r="1494" ht="56" customHeight="1">
      <x:c r="A1494" s="192" t="str">
        <x:v>civil</x:v>
      </x:c>
      <x:c r="B1494" s="192" t="str">
        <x:v>word family</x:v>
      </x:c>
      <x:c r="C1494" s="194" t="str">
        <x:v>цивільний</x:v>
      </x:c>
      <x:c r="D1494" s="195" t="str">
        <x:v>Поводитися розумно або ввічливо; уникати проявів ворожості.</x:v>
      </x:c>
      <x:c r="E1494" s="192" t="str">
        <x:v>AWL 4</x:v>
      </x:c>
      <x:c r="F1494" s="192" t="str">
        <x:v>Medium</x:v>
      </x:c>
      <x:c r="G1494" s="192" t="str">
        <x:v>Not Started</x:v>
      </x:c>
      <x:c r="H1494" s="192" t="n">
        <x:v>0</x:v>
      </x:c>
    </x:row>
    <x:row r="1495" ht="56" customHeight="1">
      <x:c r="A1495" s="192" t="str">
        <x:v>code</x:v>
      </x:c>
      <x:c r="B1495" s="192" t="str">
        <x:v>word family</x:v>
      </x:c>
      <x:c r="C1495" s="194" t="str">
        <x:v>код</x:v>
      </x:c>
      <x:c r="D1495" s="195" t="str">
        <x:v>Інструкція до комп'ютера, написана мовою програмування; вхідні дані транслятора, інтерпретатора або браузера, а саме: вихідний код, машинний код, байт-код.</x:v>
      </x:c>
      <x:c r="E1495" s="192" t="str">
        <x:v>AWL 4</x:v>
      </x:c>
      <x:c r="F1495" s="192" t="str">
        <x:v>Medium</x:v>
      </x:c>
      <x:c r="G1495" s="192" t="str">
        <x:v>Not Started</x:v>
      </x:c>
      <x:c r="H1495" s="192" t="n">
        <x:v>0</x:v>
      </x:c>
    </x:row>
    <x:row r="1496" ht="56" customHeight="1">
      <x:c r="A1496" s="192" t="str">
        <x:v>commitment</x:v>
      </x:c>
      <x:c r="B1496" s="192" t="str">
        <x:v>word family</x:v>
      </x:c>
      <x:c r="C1496" s="194" t="str">
        <x:v>зобов'язання</x:v>
      </x:c>
      <x:c r="D1496" s="195" t="str">
        <x:v>Обіцянка або згода зробити щось у майбутньому, особливо:</x:v>
      </x:c>
      <x:c r="E1496" s="192" t="str">
        <x:v>AWL 4</x:v>
      </x:c>
      <x:c r="F1496" s="192" t="str">
        <x:v>Medium</x:v>
      </x:c>
      <x:c r="G1496" s="192" t="str">
        <x:v>Not Started</x:v>
      </x:c>
      <x:c r="H1496" s="192" t="n">
        <x:v>0</x:v>
      </x:c>
    </x:row>
    <x:row r="1497" ht="56" customHeight="1">
      <x:c r="A1497" s="192" t="str">
        <x:v>communication</x:v>
      </x:c>
      <x:c r="B1497" s="192" t="str">
        <x:v>word family</x:v>
      </x:c>
      <x:c r="C1497" s="194" t="str">
        <x:v>спілкування</x:v>
      </x:c>
      <x:c r="D1497" s="195" t="str">
        <x:v>Концепція або стан обміну даними чи інформацією між об’єктами.</x:v>
      </x:c>
      <x:c r="E1497" s="192" t="str">
        <x:v>AWL 4</x:v>
      </x:c>
      <x:c r="F1497" s="192" t="str">
        <x:v>Medium</x:v>
      </x:c>
      <x:c r="G1497" s="192" t="str">
        <x:v>Not Started</x:v>
      </x:c>
      <x:c r="H1497" s="192" t="n">
        <x:v>0</x:v>
      </x:c>
    </x:row>
    <x:row r="1498" ht="56" customHeight="1">
      <x:c r="A1498" s="192" t="str">
        <x:v>concentration</x:v>
      </x:c>
      <x:c r="B1498" s="192" t="str">
        <x:v>word family</x:v>
      </x:c>
      <x:c r="C1498" s="194" t="str">
        <x:v>концентрація</x:v>
      </x:c>
      <x:c r="D1498" s="195" t="str">
        <x:v>Дія, процес або здатність концентрації; процес зосередження або стан зосередженості.</x:v>
      </x:c>
      <x:c r="E1498" s="192" t="str">
        <x:v>AWL 4</x:v>
      </x:c>
      <x:c r="F1498" s="192" t="str">
        <x:v>Medium</x:v>
      </x:c>
      <x:c r="G1498" s="192" t="str">
        <x:v>Not Started</x:v>
      </x:c>
      <x:c r="H1498" s="192" t="n">
        <x:v>0</x:v>
      </x:c>
    </x:row>
    <x:row r="1499" ht="56" customHeight="1">
      <x:c r="A1499" s="192" t="str">
        <x:v>conference</x:v>
      </x:c>
      <x:c r="B1499" s="192" t="str">
        <x:v>word family</x:v>
      </x:c>
      <x:c r="C1499" s="194" t="str">
        <x:v>конференції</x:v>
      </x:c>
      <x:c r="D1499" s="195" t="str">
        <x:v>Офіційний захід, на якому науковці презентують результати своїх досліджень у промовах, семінарах, плакатах або іншими засобами.</x:v>
      </x:c>
      <x:c r="E1499" s="192" t="str">
        <x:v>AWL 4</x:v>
      </x:c>
      <x:c r="F1499" s="192" t="str">
        <x:v>Medium</x:v>
      </x:c>
      <x:c r="G1499" s="192" t="str">
        <x:v>Not Started</x:v>
      </x:c>
      <x:c r="H1499" s="192" t="n">
        <x:v>0</x:v>
      </x:c>
    </x:row>
    <x:row r="1500" ht="56" customHeight="1">
      <x:c r="A1500" s="192" t="str">
        <x:v>contrast</x:v>
      </x:c>
      <x:c r="B1500" s="192" t="str">
        <x:v>word family</x:v>
      </x:c>
      <x:c r="C1500" s="194" t="str">
        <x:v>контраст</x:v>
      </x:c>
      <x:c r="D1500" s="195" t="str">
        <x:v>Різниця між двома об’єктами, людьми чи поняттями.</x:v>
      </x:c>
      <x:c r="E1500" s="192" t="str">
        <x:v>AWL 4</x:v>
      </x:c>
      <x:c r="F1500" s="192" t="str">
        <x:v>Medium</x:v>
      </x:c>
      <x:c r="G1500" s="192" t="str">
        <x:v>Not Started</x:v>
      </x:c>
      <x:c r="H1500" s="192" t="n">
        <x:v>0</x:v>
      </x:c>
    </x:row>
    <x:row r="1501" ht="56" customHeight="1">
      <x:c r="A1501" s="192" t="str">
        <x:v>cycle</x:v>
      </x:c>
      <x:c r="B1501" s="192" t="str">
        <x:v>word family</x:v>
      </x:c>
      <x:c r="C1501" s="194" t="str">
        <x:v>цикл</x:v>
      </x:c>
      <x:c r="D1501" s="195" t="str">
        <x:v>Процес, який повертається до свого початку, а потім повторюється в тій же послідовності.</x:v>
      </x:c>
      <x:c r="E1501" s="192" t="str">
        <x:v>AWL 4</x:v>
      </x:c>
      <x:c r="F1501" s="192" t="str">
        <x:v>Medium</x:v>
      </x:c>
      <x:c r="G1501" s="192" t="str">
        <x:v>Not Started</x:v>
      </x:c>
      <x:c r="H1501" s="192" t="n">
        <x:v>0</x:v>
      </x:c>
    </x:row>
    <x:row r="1502" ht="56" customHeight="1">
      <x:c r="A1502" s="192" t="str">
        <x:v>debate</x:v>
      </x:c>
      <x:c r="B1502" s="192" t="str">
        <x:v>word family</x:v>
      </x:c>
      <x:c r="C1502" s="194" t="str">
        <x:v>дебати</x:v>
      </x:c>
      <x:c r="D1502" s="195" t="str">
        <x:v>Аргумент або дискусія, як правило, в упорядкованій або офіційній обстановці, часто за участю більше двох осіб, яка зазвичай закінчується голосуванням або іншим рішенням.</x:v>
      </x:c>
      <x:c r="E1502" s="192" t="str">
        <x:v>AWL 4</x:v>
      </x:c>
      <x:c r="F1502" s="192" t="str">
        <x:v>Medium</x:v>
      </x:c>
      <x:c r="G1502" s="192" t="str">
        <x:v>Not Started</x:v>
      </x:c>
      <x:c r="H1502" s="192" t="n">
        <x:v>0</x:v>
      </x:c>
    </x:row>
    <x:row r="1503" ht="56" customHeight="1">
      <x:c r="A1503" s="192" t="str">
        <x:v>despite</x:v>
      </x:c>
      <x:c r="B1503" s="192" t="str">
        <x:v>word family</x:v>
      </x:c>
      <x:c r="C1503" s="194" t="str">
        <x:v>незважаючи на</x:v>
      </x:c>
      <x:c r="D1503" s="195" t="str">
        <x:v>Зле почуття; злоба, злість, досада.</x:v>
      </x:c>
      <x:c r="E1503" s="192" t="str">
        <x:v>AWL 4</x:v>
      </x:c>
      <x:c r="F1503" s="192" t="str">
        <x:v>Medium</x:v>
      </x:c>
      <x:c r="G1503" s="192" t="str">
        <x:v>Not Started</x:v>
      </x:c>
      <x:c r="H1503" s="192" t="n">
        <x:v>0</x:v>
      </x:c>
    </x:row>
    <x:row r="1504" ht="56" customHeight="1">
      <x:c r="A1504" s="192" t="str">
        <x:v>dimensions</x:v>
      </x:c>
      <x:c r="B1504" s="192" t="str">
        <x:v>word family</x:v>
      </x:c>
      <x:c r="C1504" s="194" t="str">
        <x:v>розміри</x:v>
      </x:c>
      <x:c r="D1504" s="195" t="str">
        <x:v>Вимірювані характеристики розміру; також окремі аспекти складного питання.</x:v>
      </x:c>
      <x:c r="E1504" s="192" t="str">
        <x:v>AWL 4</x:v>
      </x:c>
      <x:c r="F1504" s="192" t="str">
        <x:v>Medium</x:v>
      </x:c>
      <x:c r="G1504" s="192" t="str">
        <x:v>Not Started</x:v>
      </x:c>
      <x:c r="H1504" s="192" t="n">
        <x:v>0</x:v>
      </x:c>
    </x:row>
    <x:row r="1505" ht="56" customHeight="1">
      <x:c r="A1505" s="192" t="str">
        <x:v>domestic</x:v>
      </x:c>
      <x:c r="B1505" s="192" t="str">
        <x:v>word family</x:v>
      </x:c>
      <x:c r="C1505" s="194" t="str">
        <x:v>вітчизняні</x:v>
      </x:c>
      <x:c r="D1505" s="195" t="str">
        <x:v>Що стосується дому чи дому.</x:v>
      </x:c>
      <x:c r="E1505" s="192" t="str">
        <x:v>AWL 4</x:v>
      </x:c>
      <x:c r="F1505" s="192" t="str">
        <x:v>Medium</x:v>
      </x:c>
      <x:c r="G1505" s="192" t="str">
        <x:v>Not Started</x:v>
      </x:c>
      <x:c r="H1505" s="192" t="n">
        <x:v>0</x:v>
      </x:c>
    </x:row>
    <x:row r="1506" ht="56" customHeight="1">
      <x:c r="A1506" s="192" t="str">
        <x:v>emerged</x:v>
      </x:c>
      <x:c r="B1506" s="192" t="str">
        <x:v>word family</x:v>
      </x:c>
      <x:c r="C1506" s="194" t="str">
        <x:v>виник</x:v>
      </x:c>
      <x:c r="D1506" s="195" t="str">
        <x:v>Прийти в поле зору.</x:v>
      </x:c>
      <x:c r="E1506" s="192" t="str">
        <x:v>AWL 4</x:v>
      </x:c>
      <x:c r="F1506" s="192" t="str">
        <x:v>Medium</x:v>
      </x:c>
      <x:c r="G1506" s="192" t="str">
        <x:v>Not Started</x:v>
      </x:c>
      <x:c r="H1506" s="192" t="n">
        <x:v>0</x:v>
      </x:c>
    </x:row>
    <x:row r="1507" ht="56" customHeight="1">
      <x:c r="A1507" s="192" t="str">
        <x:v>error</x:v>
      </x:c>
      <x:c r="B1507" s="192" t="str">
        <x:v>word family</x:v>
      </x:c>
      <x:c r="C1507" s="194" t="str">
        <x:v>помилка</x:v>
      </x:c>
      <x:c r="D1507" s="195" t="str">
        <x:v>помилка; випадкова неправильна дія або неправдива заява, зроблена не навмисно.</x:v>
      </x:c>
      <x:c r="E1507" s="192" t="str">
        <x:v>AWL 4</x:v>
      </x:c>
      <x:c r="F1507" s="192" t="str">
        <x:v>Medium</x:v>
      </x:c>
      <x:c r="G1507" s="192" t="str">
        <x:v>Not Started</x:v>
      </x:c>
      <x:c r="H1507" s="192" t="n">
        <x:v>0</x:v>
      </x:c>
    </x:row>
    <x:row r="1508" ht="56" customHeight="1">
      <x:c r="A1508" s="192" t="str">
        <x:v>ethnic</x:v>
      </x:c>
      <x:c r="B1508" s="192" t="str">
        <x:v>word family</x:v>
      </x:c>
      <x:c r="C1508" s="194" t="str">
        <x:v>етнічні</x:v>
      </x:c>
      <x:c r="D1508" s="195" t="str">
        <x:v>Що стосується групи людей, які мають спільне расове, родове, національне, релігійне чи культурне походження.</x:v>
      </x:c>
      <x:c r="E1508" s="192" t="str">
        <x:v>AWL 4</x:v>
      </x:c>
      <x:c r="F1508" s="192" t="str">
        <x:v>Medium</x:v>
      </x:c>
      <x:c r="G1508" s="192" t="str">
        <x:v>Not Started</x:v>
      </x:c>
      <x:c r="H1508" s="192" t="n">
        <x:v>0</x:v>
      </x:c>
    </x:row>
    <x:row r="1509" ht="56" customHeight="1">
      <x:c r="A1509" s="192" t="str">
        <x:v>goals</x:v>
      </x:c>
      <x:c r="B1509" s="192" t="str">
        <x:v>word family</x:v>
      </x:c>
      <x:c r="C1509" s="194" t="str">
        <x:v>цілі</x:v>
      </x:c>
      <x:c r="D1509" s="195" t="str">
        <x:v>Надзвичайно гідний захоплення; гідний того, щоб бути поставленим як мета та наслідувати.</x:v>
      </x:c>
      <x:c r="E1509" s="192" t="str">
        <x:v>AWL 4</x:v>
      </x:c>
      <x:c r="F1509" s="192" t="str">
        <x:v>Medium</x:v>
      </x:c>
      <x:c r="G1509" s="192" t="str">
        <x:v>Not Started</x:v>
      </x:c>
      <x:c r="H1509" s="192" t="n">
        <x:v>0</x:v>
      </x:c>
    </x:row>
    <x:row r="1510" ht="56" customHeight="1">
      <x:c r="A1510" s="192" t="str">
        <x:v>granted</x:v>
      </x:c>
      <x:c r="B1510" s="192" t="str">
        <x:v>word family</x:v>
      </x:c>
      <x:c r="C1510" s="194" t="str">
        <x:v>надано</x:v>
      </x:c>
      <x:c r="D1510" s="195" t="str">
        <x:v>Використовується для того, щоб погодитися з певною точкою зору або висловити визнання чи усвідомлення, часто перед тим, як озвучити деяку контрастну або конкуруючу інформацію;</x:v>
      </x:c>
      <x:c r="E1510" s="192" t="str">
        <x:v>AWL 4</x:v>
      </x:c>
      <x:c r="F1510" s="192" t="str">
        <x:v>Medium</x:v>
      </x:c>
      <x:c r="G1510" s="192" t="str">
        <x:v>Not Started</x:v>
      </x:c>
      <x:c r="H1510" s="192" t="n">
        <x:v>0</x:v>
      </x:c>
    </x:row>
    <x:row r="1511" ht="56" customHeight="1">
      <x:c r="A1511" s="192" t="str">
        <x:v>hence</x:v>
      </x:c>
      <x:c r="B1511" s="192" t="str">
        <x:v>word family</x:v>
      </x:c>
      <x:c r="C1511" s="194" t="str">
        <x:v>отже</x:v>
      </x:c>
      <x:c r="D1511" s="195" t="str">
        <x:v>В результаті; отже, з цієї причини.</x:v>
      </x:c>
      <x:c r="E1511" s="192" t="str">
        <x:v>AWL 4</x:v>
      </x:c>
      <x:c r="F1511" s="192" t="str">
        <x:v>Medium</x:v>
      </x:c>
      <x:c r="G1511" s="192" t="str">
        <x:v>Not Started</x:v>
      </x:c>
      <x:c r="H1511" s="192" t="n">
        <x:v>0</x:v>
      </x:c>
    </x:row>
    <x:row r="1512" ht="56" customHeight="1">
      <x:c r="A1512" s="192" t="str">
        <x:v>hypothesis</x:v>
      </x:c>
      <x:c r="B1512" s="192" t="str">
        <x:v>word family</x:v>
      </x:c>
      <x:c r="C1512" s="194" t="str">
        <x:v>гіпотеза</x:v>
      </x:c>
      <x:c r="D1512" s="195" t="str">
        <x:v>Попереднє припущення, що пояснює спостереження, явище чи наукову проблему, яке можна перевірити шляхом подальших спостережень, досліджень або експериментів.</x:v>
      </x:c>
      <x:c r="E1512" s="192" t="str">
        <x:v>AWL 4</x:v>
      </x:c>
      <x:c r="F1512" s="192" t="str">
        <x:v>Medium</x:v>
      </x:c>
      <x:c r="G1512" s="192" t="str">
        <x:v>Not Started</x:v>
      </x:c>
      <x:c r="H1512" s="192" t="n">
        <x:v>0</x:v>
      </x:c>
    </x:row>
    <x:row r="1513" ht="56" customHeight="1">
      <x:c r="A1513" s="192" t="str">
        <x:v>implications</x:v>
      </x:c>
      <x:c r="B1513" s="192" t="str">
        <x:v>word family</x:v>
      </x:c>
      <x:c r="C1513" s="194" t="str">
        <x:v>наслідки</x:v>
      </x:c>
      <x:c r="D1513" s="195" t="str">
        <x:v>Можливий або непрямий ефект або результат рішення чи дії.</x:v>
      </x:c>
      <x:c r="E1513" s="192" t="str">
        <x:v>AWL 4</x:v>
      </x:c>
      <x:c r="F1513" s="192" t="str">
        <x:v>Medium</x:v>
      </x:c>
      <x:c r="G1513" s="192" t="str">
        <x:v>Not Started</x:v>
      </x:c>
      <x:c r="H1513" s="192" t="n">
        <x:v>0</x:v>
      </x:c>
    </x:row>
    <x:row r="1514" ht="56" customHeight="1">
      <x:c r="A1514" s="192" t="str">
        <x:v>imposed</x:v>
      </x:c>
      <x:c r="B1514" s="192" t="str">
        <x:v>word family</x:v>
      </x:c>
      <x:c r="C1514" s="194" t="str">
        <x:v>нав'язаний</x:v>
      </x:c>
      <x:c r="D1514" s="195" t="str">
        <x:v>викладено авторитетно як обов'язкові</x:v>
      </x:c>
      <x:c r="E1514" s="192" t="str">
        <x:v>AWL 4</x:v>
      </x:c>
      <x:c r="F1514" s="192" t="str">
        <x:v>Medium</x:v>
      </x:c>
      <x:c r="G1514" s="192" t="str">
        <x:v>Not Started</x:v>
      </x:c>
      <x:c r="H1514" s="192" t="n">
        <x:v>0</x:v>
      </x:c>
    </x:row>
    <x:row r="1515" ht="56" customHeight="1">
      <x:c r="A1515" s="192" t="str">
        <x:v>internal</x:v>
      </x:c>
      <x:c r="B1515" s="192" t="str">
        <x:v>word family</x:v>
      </x:c>
      <x:c r="C1515" s="194" t="str">
        <x:v>внутрішній</x:v>
      </x:c>
      <x:c r="D1515" s="195" t="str">
        <x:v>З або розташована всередині.</x:v>
      </x:c>
      <x:c r="E1515" s="192" t="str">
        <x:v>AWL 4</x:v>
      </x:c>
      <x:c r="F1515" s="192" t="str">
        <x:v>Medium</x:v>
      </x:c>
      <x:c r="G1515" s="192" t="str">
        <x:v>Not Started</x:v>
      </x:c>
      <x:c r="H1515" s="192" t="n">
        <x:v>0</x:v>
      </x:c>
    </x:row>
    <x:row r="1516" ht="56" customHeight="1">
      <x:c r="A1516" s="192" t="str">
        <x:v>investigation</x:v>
      </x:c>
      <x:c r="B1516" s="192" t="str">
        <x:v>word family</x:v>
      </x:c>
      <x:c r="C1516" s="194" t="str">
        <x:v>розслідування</x:v>
      </x:c>
      <x:c r="D1516" s="195" t="str">
        <x:v>Акт розслідування; процес запиту чи подальших дій; дослідження, особливо пацієнта, або ретельне опитування чи обстеження</x:v>
      </x:c>
      <x:c r="E1516" s="192" t="str">
        <x:v>AWL 4</x:v>
      </x:c>
      <x:c r="F1516" s="192" t="str">
        <x:v>Medium</x:v>
      </x:c>
      <x:c r="G1516" s="192" t="str">
        <x:v>Not Started</x:v>
      </x:c>
      <x:c r="H1516" s="192" t="n">
        <x:v>0</x:v>
      </x:c>
    </x:row>
    <x:row r="1517" ht="56" customHeight="1">
      <x:c r="A1517" s="192" t="str">
        <x:v>job</x:v>
      </x:c>
      <x:c r="B1517" s="192" t="str">
        <x:v>word family</x:v>
      </x:c>
      <x:c r="C1517" s="194" t="str">
        <x:v>робота</x:v>
      </x:c>
      <x:c r="D1517" s="195" t="str">
        <x:v>завдання.</x:v>
      </x:c>
      <x:c r="E1517" s="192" t="str">
        <x:v>AWL 4</x:v>
      </x:c>
      <x:c r="F1517" s="192" t="str">
        <x:v>Medium</x:v>
      </x:c>
      <x:c r="G1517" s="192" t="str">
        <x:v>Not Started</x:v>
      </x:c>
      <x:c r="H1517" s="192" t="n">
        <x:v>0</x:v>
      </x:c>
    </x:row>
    <x:row r="1518" ht="56" customHeight="1">
      <x:c r="A1518" s="192" t="str">
        <x:v>label</x:v>
      </x:c>
      <x:c r="B1518" s="192" t="str">
        <x:v>word family</x:v>
      </x:c>
      <x:c r="C1518" s="194" t="str">
        <x:v>етикетка</x:v>
      </x:c>
      <x:c r="D1518" s="195" t="str">
        <x:v>Невеликий квиток або табличка, що дає інформацію про те, до чого він прикріплений або призначений для прикріплення.</x:v>
      </x:c>
      <x:c r="E1518" s="192" t="str">
        <x:v>AWL 4</x:v>
      </x:c>
      <x:c r="F1518" s="192" t="str">
        <x:v>Medium</x:v>
      </x:c>
      <x:c r="G1518" s="192" t="str">
        <x:v>Not Started</x:v>
      </x:c>
      <x:c r="H1518" s="192" t="n">
        <x:v>0</x:v>
      </x:c>
    </x:row>
    <x:row r="1519" ht="56" customHeight="1">
      <x:c r="A1519" s="192" t="str">
        <x:v>mechanism</x:v>
      </x:c>
      <x:c r="B1519" s="192" t="str">
        <x:v>word family</x:v>
      </x:c>
      <x:c r="C1519" s="194" t="str">
        <x:v>механізм</x:v>
      </x:c>
      <x:c r="D1519" s="195" t="str">
        <x:v>Будь-який механічний засіб для перетворення або керування рухом, або передачі чи керування потужністю.</x:v>
      </x:c>
      <x:c r="E1519" s="192" t="str">
        <x:v>AWL 4</x:v>
      </x:c>
      <x:c r="F1519" s="192" t="str">
        <x:v>Medium</x:v>
      </x:c>
      <x:c r="G1519" s="192" t="str">
        <x:v>Not Started</x:v>
      </x:c>
      <x:c r="H1519" s="192" t="n">
        <x:v>0</x:v>
      </x:c>
    </x:row>
    <x:row r="1520" ht="56" customHeight="1">
      <x:c r="A1520" s="192" t="str">
        <x:v>obvious</x:v>
      </x:c>
      <x:c r="B1520" s="192" t="str">
        <x:v>word family</x:v>
      </x:c>
      <x:c r="C1520" s="194" t="str">
        <x:v>очевидний</x:v>
      </x:c>
      <x:c r="D1520" s="195" t="str">
        <x:v>Легко відкрити, побачити або зрозуміти; зрозумілий сам за себе.</x:v>
      </x:c>
      <x:c r="E1520" s="192" t="str">
        <x:v>AWL 4</x:v>
      </x:c>
      <x:c r="F1520" s="192" t="str">
        <x:v>Medium</x:v>
      </x:c>
      <x:c r="G1520" s="192" t="str">
        <x:v>Not Started</x:v>
      </x:c>
      <x:c r="H1520" s="192" t="n">
        <x:v>0</x:v>
      </x:c>
    </x:row>
    <x:row r="1521" ht="56" customHeight="1">
      <x:c r="A1521" s="192" t="str">
        <x:v>occupational</x:v>
      </x:c>
      <x:c r="B1521" s="192" t="str">
        <x:v>word family</x:v>
      </x:c>
      <x:c r="C1521" s="194" t="str">
        <x:v>професійний</x:v>
      </x:c>
      <x:c r="D1521" s="195" t="str">
        <x:v>Про приналежність або відношення до заняття (у будь-якому сенсі).</x:v>
      </x:c>
      <x:c r="E1521" s="192" t="str">
        <x:v>AWL 4</x:v>
      </x:c>
      <x:c r="F1521" s="192" t="str">
        <x:v>Medium</x:v>
      </x:c>
      <x:c r="G1521" s="192" t="str">
        <x:v>Not Started</x:v>
      </x:c>
      <x:c r="H1521" s="192" t="n">
        <x:v>0</x:v>
      </x:c>
    </x:row>
    <x:row r="1522" ht="56" customHeight="1">
      <x:c r="A1522" s="192" t="str">
        <x:v>option</x:v>
      </x:c>
      <x:c r="B1522" s="192" t="str">
        <x:v>word family</x:v>
      </x:c>
      <x:c r="C1522" s="194" t="str">
        <x:v>варіант</x:v>
      </x:c>
      <x:c r="D1522" s="195" t="str">
        <x:v>Один із набору варіантів, які можна зробити.</x:v>
      </x:c>
      <x:c r="E1522" s="192" t="str">
        <x:v>AWL 4</x:v>
      </x:c>
      <x:c r="F1522" s="192" t="str">
        <x:v>Medium</x:v>
      </x:c>
      <x:c r="G1522" s="192" t="str">
        <x:v>Not Started</x:v>
      </x:c>
      <x:c r="H1522" s="192" t="n">
        <x:v>0</x:v>
      </x:c>
    </x:row>
    <x:row r="1523" ht="56" customHeight="1">
      <x:c r="A1523" s="192" t="str">
        <x:v>output</x:v>
      </x:c>
      <x:c r="B1523" s="192" t="str">
        <x:v>word family</x:v>
      </x:c>
      <x:c r="C1523" s="194" t="str">
        <x:v>вихід</x:v>
      </x:c>
      <x:c r="D1523" s="195" t="str">
        <x:v>Те, що виробляється чимось, особливо те, що виробляється протягом певного періоду часу або внаслідок певних зусиль.</x:v>
      </x:c>
      <x:c r="E1523" s="192" t="str">
        <x:v>AWL 4</x:v>
      </x:c>
      <x:c r="F1523" s="192" t="str">
        <x:v>Medium</x:v>
      </x:c>
      <x:c r="G1523" s="192" t="str">
        <x:v>Not Started</x:v>
      </x:c>
      <x:c r="H1523" s="192" t="n">
        <x:v>0</x:v>
      </x:c>
    </x:row>
    <x:row r="1524" ht="56" customHeight="1">
      <x:c r="A1524" s="192" t="str">
        <x:v>overall</x:v>
      </x:c>
      <x:c r="B1524" s="192" t="str">
        <x:v>word family</x:v>
      </x:c>
      <x:c r="C1524" s="194" t="str">
        <x:v>в цілому</x:v>
      </x:c>
      <x:c r="D1524" s="195" t="str">
        <x:v>Загалом; з урахуванням усього.</x:v>
      </x:c>
      <x:c r="E1524" s="192" t="str">
        <x:v>AWL 4</x:v>
      </x:c>
      <x:c r="F1524" s="192" t="str">
        <x:v>Medium</x:v>
      </x:c>
      <x:c r="G1524" s="192" t="str">
        <x:v>Not Started</x:v>
      </x:c>
      <x:c r="H1524" s="192" t="n">
        <x:v>0</x:v>
      </x:c>
    </x:row>
    <x:row r="1525" ht="56" customHeight="1">
      <x:c r="A1525" s="192" t="str">
        <x:v>parallel</x:v>
      </x:c>
      <x:c r="B1525" s="192" t="str">
        <x:v>word family</x:v>
      </x:c>
      <x:c r="C1525" s="194" t="str">
        <x:v>паралельний</x:v>
      </x:c>
      <x:c r="D1525" s="195" t="str">
        <x:v>У всіх точках однаково віддалені один від одного.</x:v>
      </x:c>
      <x:c r="E1525" s="192" t="str">
        <x:v>AWL 4</x:v>
      </x:c>
      <x:c r="F1525" s="192" t="str">
        <x:v>Medium</x:v>
      </x:c>
      <x:c r="G1525" s="192" t="str">
        <x:v>Not Started</x:v>
      </x:c>
      <x:c r="H1525" s="192" t="n">
        <x:v>0</x:v>
      </x:c>
    </x:row>
    <x:row r="1526" ht="56" customHeight="1">
      <x:c r="A1526" s="192" t="str">
        <x:v>parameters</x:v>
      </x:c>
      <x:c r="B1526" s="192" t="str">
        <x:v>word family</x:v>
      </x:c>
      <x:c r="C1526" s="194" t="str">
        <x:v>параметри</x:v>
      </x:c>
      <x:c r="D1526" s="195" t="str">
        <x:v>Значення, яке залишається постійним під час експерименту, рівняння, розрахунку чи подібного, але змінюється в інших версіях експерименту, рівняння, розрахунку тощо.</x:v>
      </x:c>
      <x:c r="E1526" s="192" t="str">
        <x:v>AWL 4</x:v>
      </x:c>
      <x:c r="F1526" s="192" t="str">
        <x:v>Medium</x:v>
      </x:c>
      <x:c r="G1526" s="192" t="str">
        <x:v>Not Started</x:v>
      </x:c>
      <x:c r="H1526" s="192" t="n">
        <x:v>0</x:v>
      </x:c>
    </x:row>
    <x:row r="1527" ht="56" customHeight="1">
      <x:c r="A1527" s="192" t="str">
        <x:v>phase</x:v>
      </x:c>
      <x:c r="B1527" s="192" t="str">
        <x:v>word family</x:v>
      </x:c>
      <x:c r="C1527" s="194" t="str">
        <x:v>фаза</x:v>
      </x:c>
      <x:c r="D1527" s="195" t="str">
        <x:v>Визначна частина послідовності або циклу, що відбувається з часом.</x:v>
      </x:c>
      <x:c r="E1527" s="192" t="str">
        <x:v>AWL 4</x:v>
      </x:c>
      <x:c r="F1527" s="192" t="str">
        <x:v>Medium</x:v>
      </x:c>
      <x:c r="G1527" s="192" t="str">
        <x:v>Not Started</x:v>
      </x:c>
      <x:c r="H1527" s="192" t="n">
        <x:v>0</x:v>
      </x:c>
    </x:row>
    <x:row r="1528" ht="56" customHeight="1">
      <x:c r="A1528" s="192" t="str">
        <x:v>predicted</x:v>
      </x:c>
      <x:c r="B1528" s="192" t="str">
        <x:v>word family</x:v>
      </x:c>
      <x:c r="C1528" s="194" t="str">
        <x:v>передбачив</x:v>
      </x:c>
      <x:c r="D1528" s="195" t="str">
        <x:v>відомо заздалегідь</x:v>
      </x:c>
      <x:c r="E1528" s="192" t="str">
        <x:v>AWL 4</x:v>
      </x:c>
      <x:c r="F1528" s="192" t="str">
        <x:v>Medium</x:v>
      </x:c>
      <x:c r="G1528" s="192" t="str">
        <x:v>Not Started</x:v>
      </x:c>
      <x:c r="H1528" s="192" t="n">
        <x:v>0</x:v>
      </x:c>
    </x:row>
    <x:row r="1529" ht="56" customHeight="1">
      <x:c r="A1529" s="192" t="str">
        <x:v>prior</x:v>
      </x:c>
      <x:c r="B1529" s="192" t="str">
        <x:v>word family</x:v>
      </x:c>
      <x:c r="C1529" s="194" t="str">
        <x:v>попередній</x:v>
      </x:c>
      <x:c r="D1529" s="195" t="str">
        <x:v>Прихід раніше за порядком або часом; раніше, колишній, попередній.</x:v>
      </x:c>
      <x:c r="E1529" s="192" t="str">
        <x:v>AWL 4</x:v>
      </x:c>
      <x:c r="F1529" s="192" t="str">
        <x:v>Medium</x:v>
      </x:c>
      <x:c r="G1529" s="192" t="str">
        <x:v>Not Started</x:v>
      </x:c>
      <x:c r="H1529" s="192" t="n">
        <x:v>0</x:v>
      </x:c>
    </x:row>
    <x:row r="1530" ht="56" customHeight="1">
      <x:c r="A1530" s="192" t="str">
        <x:v>professional</x:v>
      </x:c>
      <x:c r="B1530" s="192" t="str">
        <x:v>word family</x:v>
      </x:c>
      <x:c r="C1530" s="194" t="str">
        <x:v>професійний</x:v>
      </x:c>
      <x:c r="D1530" s="195" t="str">
        <x:v>Людина, яка належить до професії.</x:v>
      </x:c>
      <x:c r="E1530" s="192" t="str">
        <x:v>AWL 4</x:v>
      </x:c>
      <x:c r="F1530" s="192" t="str">
        <x:v>Medium</x:v>
      </x:c>
      <x:c r="G1530" s="192" t="str">
        <x:v>Not Started</x:v>
      </x:c>
      <x:c r="H1530" s="192" t="n">
        <x:v>0</x:v>
      </x:c>
    </x:row>
    <x:row r="1531" ht="56" customHeight="1">
      <x:c r="A1531" s="192" t="str">
        <x:v>project</x:v>
      </x:c>
      <x:c r="B1531" s="192" t="str">
        <x:v>word family</x:v>
      </x:c>
      <x:c r="C1531" s="194" t="str">
        <x:v>проект</x:v>
      </x:c>
      <x:c r="D1531" s="195" t="str">
        <x:v>Запланована спроба, як правило, з конкретною метою, яка виконується в кілька кроків або етапів.</x:v>
      </x:c>
      <x:c r="E1531" s="192" t="str">
        <x:v>AWL 4</x:v>
      </x:c>
      <x:c r="F1531" s="192" t="str">
        <x:v>Medium</x:v>
      </x:c>
      <x:c r="G1531" s="192" t="str">
        <x:v>Not Started</x:v>
      </x:c>
      <x:c r="H1531" s="192" t="n">
        <x:v>0</x:v>
      </x:c>
    </x:row>
    <x:row r="1532" ht="56" customHeight="1">
      <x:c r="A1532" s="192" t="str">
        <x:v>promote</x:v>
      </x:c>
      <x:c r="B1532" s="192" t="str">
        <x:v>word family</x:v>
      </x:c>
      <x:c r="C1532" s="194" t="str">
        <x:v>сприяти</x:v>
      </x:c>
      <x:c r="D1532" s="195" t="str">
        <x:v>Захищати або закликати від імені (чогось або когось); намагатися популяризувати або продати за допомогою реклами чи реклами.</x:v>
      </x:c>
      <x:c r="E1532" s="192" t="str">
        <x:v>AWL 4</x:v>
      </x:c>
      <x:c r="F1532" s="192" t="str">
        <x:v>Medium</x:v>
      </x:c>
      <x:c r="G1532" s="192" t="str">
        <x:v>Not Started</x:v>
      </x:c>
      <x:c r="H1532" s="192" t="n">
        <x:v>0</x:v>
      </x:c>
    </x:row>
    <x:row r="1533" ht="56" customHeight="1">
      <x:c r="A1533" s="192" t="str">
        <x:v>resolution</x:v>
      </x:c>
      <x:c r="B1533" s="192" t="str">
        <x:v>word family</x:v>
      </x:c>
      <x:c r="C1533" s="194" t="str">
        <x:v>дозвіл</x:v>
      </x:c>
      <x:c r="D1533" s="195" t="str">
        <x:v>Тверде рішення або офіційне рішення.</x:v>
      </x:c>
      <x:c r="E1533" s="192" t="str">
        <x:v>AWL 4</x:v>
      </x:c>
      <x:c r="F1533" s="192" t="str">
        <x:v>Medium</x:v>
      </x:c>
      <x:c r="G1533" s="192" t="str">
        <x:v>Not Started</x:v>
      </x:c>
      <x:c r="H1533" s="192" t="n">
        <x:v>0</x:v>
      </x:c>
    </x:row>
    <x:row r="1534" ht="56" customHeight="1">
      <x:c r="A1534" s="192" t="str">
        <x:v>retained</x:v>
      </x:c>
      <x:c r="B1534" s="192" t="str">
        <x:v>word family</x:v>
      </x:c>
      <x:c r="C1534" s="194" t="str">
        <x:v>зберігається</x:v>
      </x:c>
      <x:c r="D1534" s="195" t="str">
        <x:v>продовжується у вашому зберіганні, використанні чи пам’яті</x:v>
      </x:c>
      <x:c r="E1534" s="192" t="str">
        <x:v>AWL 4</x:v>
      </x:c>
      <x:c r="F1534" s="192" t="str">
        <x:v>Medium</x:v>
      </x:c>
      <x:c r="G1534" s="192" t="str">
        <x:v>Not Started</x:v>
      </x:c>
      <x:c r="H1534" s="192" t="n">
        <x:v>0</x:v>
      </x:c>
    </x:row>
    <x:row r="1535" ht="56" customHeight="1">
      <x:c r="A1535" s="192" t="str">
        <x:v>series</x:v>
      </x:c>
      <x:c r="B1535" s="192" t="str">
        <x:v>word family</x:v>
      </x:c>
      <x:c r="C1535" s="194" t="str">
        <x:v>серії</x:v>
      </x:c>
      <x:c r="D1535" s="195" t="str">
        <x:v>Кілька речей, які слідують одна за одною або пов’язані одна за одною.</x:v>
      </x:c>
      <x:c r="E1535" s="192" t="str">
        <x:v>AWL 4</x:v>
      </x:c>
      <x:c r="F1535" s="192" t="str">
        <x:v>Medium</x:v>
      </x:c>
      <x:c r="G1535" s="192" t="str">
        <x:v>Not Started</x:v>
      </x:c>
      <x:c r="H1535" s="192" t="n">
        <x:v>0</x:v>
      </x:c>
    </x:row>
    <x:row r="1536" ht="56" customHeight="1">
      <x:c r="A1536" s="192" t="str">
        <x:v>statistics</x:v>
      </x:c>
      <x:c r="B1536" s="192" t="str">
        <x:v>word family</x:v>
      </x:c>
      <x:c r="C1536" s="194" t="str">
        <x:v>статистика</x:v>
      </x:c>
      <x:c r="D1536" s="195" t="str">
        <x:v>Систематичний збір даних вимірювань або спостережень, часто пов’язаних із демографічною інформацією, такою як підрахунок населення, доходи, підрахунок населення в різному віці тощо.</x:v>
      </x:c>
      <x:c r="E1536" s="192" t="str">
        <x:v>AWL 4</x:v>
      </x:c>
      <x:c r="F1536" s="192" t="str">
        <x:v>Medium</x:v>
      </x:c>
      <x:c r="G1536" s="192" t="str">
        <x:v>Not Started</x:v>
      </x:c>
      <x:c r="H1536" s="192" t="n">
        <x:v>0</x:v>
      </x:c>
    </x:row>
    <x:row r="1537" ht="56" customHeight="1">
      <x:c r="A1537" s="192" t="str">
        <x:v>status</x:v>
      </x:c>
      <x:c r="B1537" s="192" t="str">
        <x:v>word family</x:v>
      </x:c>
      <x:c r="C1537" s="194" t="str">
        <x:v>статус</x:v>
      </x:c>
      <x:c r="D1537" s="195" t="str">
        <x:v>Стан, положення або становище людини відносно інших.</x:v>
      </x:c>
      <x:c r="E1537" s="192" t="str">
        <x:v>AWL 4</x:v>
      </x:c>
      <x:c r="F1537" s="192" t="str">
        <x:v>Medium</x:v>
      </x:c>
      <x:c r="G1537" s="192" t="str">
        <x:v>Not Started</x:v>
      </x:c>
      <x:c r="H1537" s="192" t="n">
        <x:v>0</x:v>
      </x:c>
    </x:row>
    <x:row r="1538" ht="56" customHeight="1">
      <x:c r="A1538" s="192" t="str">
        <x:v>stress</x:v>
      </x:c>
      <x:c r="B1538" s="192" t="str">
        <x:v>word family</x:v>
      </x:c>
      <x:c r="C1538" s="194" t="str">
        <x:v>стрес</x:v>
      </x:c>
      <x:c r="D1538" s="195" t="str">
        <x:v>Емоційний тиск, який відчуває людина чи інша тварина.</x:v>
      </x:c>
      <x:c r="E1538" s="192" t="str">
        <x:v>AWL 4</x:v>
      </x:c>
      <x:c r="F1538" s="192" t="str">
        <x:v>Medium</x:v>
      </x:c>
      <x:c r="G1538" s="192" t="str">
        <x:v>Not Started</x:v>
      </x:c>
      <x:c r="H1538" s="192" t="n">
        <x:v>0</x:v>
      </x:c>
    </x:row>
    <x:row r="1539" ht="56" customHeight="1">
      <x:c r="A1539" s="192" t="str">
        <x:v>subsequent</x:v>
      </x:c>
      <x:c r="B1539" s="192" t="str">
        <x:v>word family</x:v>
      </x:c>
      <x:c r="C1539" s="194" t="str">
        <x:v>наступні</x:v>
      </x:c>
      <x:c r="D1539" s="195" t="str">
        <x:v>Слідування в часі; прийти або шукати щось інше в будь-який час, на невизначений термін.</x:v>
      </x:c>
      <x:c r="E1539" s="192" t="str">
        <x:v>AWL 4</x:v>
      </x:c>
      <x:c r="F1539" s="192" t="str">
        <x:v>Medium</x:v>
      </x:c>
      <x:c r="G1539" s="192" t="str">
        <x:v>Not Started</x:v>
      </x:c>
      <x:c r="H1539" s="192" t="n">
        <x:v>0</x:v>
      </x:c>
    </x:row>
    <x:row r="1540" ht="56" customHeight="1">
      <x:c r="A1540" s="192" t="str">
        <x:v>sum</x:v>
      </x:c>
      <x:c r="B1540" s="192" t="str">
        <x:v>word family</x:v>
      </x:c>
      <x:c r="C1540" s="194" t="str">
        <x:v>сума</x:v>
      </x:c>
      <x:c r="D1540" s="195" t="str">
        <x:v>Величина, отримана додаванням або агрегацією.</x:v>
      </x:c>
      <x:c r="E1540" s="192" t="str">
        <x:v>AWL 4</x:v>
      </x:c>
      <x:c r="F1540" s="192" t="str">
        <x:v>Medium</x:v>
      </x:c>
      <x:c r="G1540" s="192" t="str">
        <x:v>Not Started</x:v>
      </x:c>
      <x:c r="H1540" s="192" t="n">
        <x:v>0</x:v>
      </x:c>
    </x:row>
    <x:row r="1541" ht="56" customHeight="1">
      <x:c r="A1541" s="192" t="str">
        <x:v>summary</x:v>
      </x:c>
      <x:c r="B1541" s="192" t="str">
        <x:v>word family</x:v>
      </x:c>
      <x:c r="C1541" s="194" t="str">
        <x:v>резюме</x:v>
      </x:c>
      <x:c r="D1541" s="195" t="str">
        <x:v>Стислий, стислий або викладений у згорнутому вигляді; подання інформації в такій формі.</x:v>
      </x:c>
      <x:c r="E1541" s="192" t="str">
        <x:v>AWL 4</x:v>
      </x:c>
      <x:c r="F1541" s="192" t="str">
        <x:v>Medium</x:v>
      </x:c>
      <x:c r="G1541" s="192" t="str">
        <x:v>Not Started</x:v>
      </x:c>
      <x:c r="H1541" s="192" t="n">
        <x:v>0</x:v>
      </x:c>
    </x:row>
    <x:row r="1542" ht="56" customHeight="1">
      <x:c r="A1542" s="192" t="str">
        <x:v>undertaken</x:v>
      </x:c>
      <x:c r="B1542" s="192" t="str">
        <x:v>word family</x:v>
      </x:c>
      <x:c r="C1542" s="194" t="str">
        <x:v>зроблено</x:v>
      </x:c>
      <x:c r="D1542" s="195" t="str">
        <x:v>Взяти на себе; починати, братися за (певне завдання тощо).</x:v>
      </x:c>
      <x:c r="E1542" s="192" t="str">
        <x:v>AWL 4</x:v>
      </x:c>
      <x:c r="F1542" s="192" t="str">
        <x:v>Medium</x:v>
      </x:c>
      <x:c r="G1542" s="192" t="str">
        <x:v>Not Started</x:v>
      </x:c>
      <x:c r="H1542" s="192" t="n">
        <x:v>0</x:v>
      </x:c>
    </x:row>
    <x:row r="1543" ht="56" customHeight="1">
      <x:c r="A1543" s="192" t="str">
        <x:v>academic</x:v>
      </x:c>
      <x:c r="B1543" s="192" t="str">
        <x:v>word family</x:v>
      </x:c>
      <x:c r="C1543" s="194" t="str">
        <x:v>академічний</x:v>
      </x:c>
      <x:c r="D1543" s="195" t="str">
        <x:v>Належність до академії чи іншого вищого навчального закладу, наукового товариства чи організації.</x:v>
      </x:c>
      <x:c r="E1543" s="192" t="str">
        <x:v>AWL 5</x:v>
      </x:c>
      <x:c r="F1543" s="192" t="str">
        <x:v>Medium</x:v>
      </x:c>
      <x:c r="G1543" s="192" t="str">
        <x:v>Not Started</x:v>
      </x:c>
      <x:c r="H1543" s="192" t="n">
        <x:v>0</x:v>
      </x:c>
    </x:row>
    <x:row r="1544" ht="56" customHeight="1">
      <x:c r="A1544" s="192" t="str">
        <x:v>alter</x:v>
      </x:c>
      <x:c r="B1544" s="192" t="str">
        <x:v>word family</x:v>
      </x:c>
      <x:c r="C1544" s="194" t="str">
        <x:v>змінювати</x:v>
      </x:c>
      <x:c r="D1544" s="195" t="str">
        <x:v>Щоб змінити форму або структуру.</x:v>
      </x:c>
      <x:c r="E1544" s="192" t="str">
        <x:v>AWL 5</x:v>
      </x:c>
      <x:c r="F1544" s="192" t="str">
        <x:v>Medium</x:v>
      </x:c>
      <x:c r="G1544" s="192" t="str">
        <x:v>Not Started</x:v>
      </x:c>
      <x:c r="H1544" s="192" t="n">
        <x:v>0</x:v>
      </x:c>
    </x:row>
    <x:row r="1545" ht="56" customHeight="1">
      <x:c r="A1545" s="192" t="str">
        <x:v>aware</x:v>
      </x:c>
      <x:c r="B1545" s="192" t="str">
        <x:v>word family</x:v>
      </x:c>
      <x:c r="C1545" s="194" t="str">
        <x:v>в курсі</x:v>
      </x:c>
      <x:c r="D1545" s="195" t="str">
        <x:v>Свідомий або обізнаний про щось; прокинутися.</x:v>
      </x:c>
      <x:c r="E1545" s="192" t="str">
        <x:v>AWL 5</x:v>
      </x:c>
      <x:c r="F1545" s="192" t="str">
        <x:v>Medium</x:v>
      </x:c>
      <x:c r="G1545" s="192" t="str">
        <x:v>Not Started</x:v>
      </x:c>
      <x:c r="H1545" s="192" t="n">
        <x:v>0</x:v>
      </x:c>
    </x:row>
    <x:row r="1546" ht="56" customHeight="1">
      <x:c r="A1546" s="192" t="str">
        <x:v>capacity</x:v>
      </x:c>
      <x:c r="B1546" s="192" t="str">
        <x:v>word family</x:v>
      </x:c>
      <x:c r="C1546" s="194" t="str">
        <x:v>місткість</x:v>
      </x:c>
      <x:c r="D1546" s="195" t="str">
        <x:v>Здатність утримувати, приймати або поглинати.</x:v>
      </x:c>
      <x:c r="E1546" s="192" t="str">
        <x:v>AWL 5</x:v>
      </x:c>
      <x:c r="F1546" s="192" t="str">
        <x:v>Medium</x:v>
      </x:c>
      <x:c r="G1546" s="192" t="str">
        <x:v>Not Started</x:v>
      </x:c>
      <x:c r="H1546" s="192" t="n">
        <x:v>0</x:v>
      </x:c>
    </x:row>
    <x:row r="1547" ht="56" customHeight="1">
      <x:c r="A1547" s="192" t="str">
        <x:v>challenge</x:v>
      </x:c>
      <x:c r="B1547" s="192" t="str">
        <x:v>word family</x:v>
      </x:c>
      <x:c r="C1547" s="194" t="str">
        <x:v>виклик</x:v>
      </x:c>
      <x:c r="D1547" s="195" t="str">
        <x:v>Протистояння; сміливість.</x:v>
      </x:c>
      <x:c r="E1547" s="192" t="str">
        <x:v>AWL 5</x:v>
      </x:c>
      <x:c r="F1547" s="192" t="str">
        <x:v>Medium</x:v>
      </x:c>
      <x:c r="G1547" s="192" t="str">
        <x:v>Not Started</x:v>
      </x:c>
      <x:c r="H1547" s="192" t="n">
        <x:v>0</x:v>
      </x:c>
    </x:row>
    <x:row r="1548" ht="56" customHeight="1">
      <x:c r="A1548" s="192" t="str">
        <x:v>clause</x:v>
      </x:c>
      <x:c r="B1548" s="192" t="str">
        <x:v>word family</x:v>
      </x:c>
      <x:c r="C1548" s="194" t="str">
        <x:v>пункт</x:v>
      </x:c>
      <x:c r="D1548" s="195" t="str">
        <x:v>Група слів, яка містить підмет і дієслово; це може бути частиною речення або може становити все речення, залежно від синтаксису в кожному випадку.</x:v>
      </x:c>
      <x:c r="E1548" s="192" t="str">
        <x:v>AWL 5</x:v>
      </x:c>
      <x:c r="F1548" s="192" t="str">
        <x:v>Medium</x:v>
      </x:c>
      <x:c r="G1548" s="192" t="str">
        <x:v>Not Started</x:v>
      </x:c>
      <x:c r="H1548" s="192" t="n">
        <x:v>0</x:v>
      </x:c>
    </x:row>
    <x:row r="1549" ht="56" customHeight="1">
      <x:c r="A1549" s="192" t="str">
        <x:v>compounds</x:v>
      </x:c>
      <x:c r="B1549" s="192" t="str">
        <x:v>word family</x:v>
      </x:c>
      <x:c r="C1549" s="194" t="str">
        <x:v>сполуки</x:v>
      </x:c>
      <x:c r="D1549" s="195" t="str">
        <x:v>Все, що зроблено шляхом поєднання кількох речей.</x:v>
      </x:c>
      <x:c r="E1549" s="192" t="str">
        <x:v>AWL 5</x:v>
      </x:c>
      <x:c r="F1549" s="192" t="str">
        <x:v>Medium</x:v>
      </x:c>
      <x:c r="G1549" s="192" t="str">
        <x:v>Not Started</x:v>
      </x:c>
      <x:c r="H1549" s="192" t="n">
        <x:v>0</x:v>
      </x:c>
    </x:row>
    <x:row r="1550" ht="56" customHeight="1">
      <x:c r="A1550" s="192" t="str">
        <x:v>conflict</x:v>
      </x:c>
      <x:c r="B1550" s="192" t="str">
        <x:v>word family</x:v>
      </x:c>
      <x:c r="C1550" s="194" t="str">
        <x:v>конфлікт</x:v>
      </x:c>
      <x:c r="D1550" s="195" t="str">
        <x:v>Зіткнення або розбіжності, часто насильницькі, між двома чи більше протиборчими групами чи особами.</x:v>
      </x:c>
      <x:c r="E1550" s="192" t="str">
        <x:v>AWL 5</x:v>
      </x:c>
      <x:c r="F1550" s="192" t="str">
        <x:v>Medium</x:v>
      </x:c>
      <x:c r="G1550" s="192" t="str">
        <x:v>Not Started</x:v>
      </x:c>
      <x:c r="H1550" s="192" t="n">
        <x:v>0</x:v>
      </x:c>
    </x:row>
    <x:row r="1551" ht="56" customHeight="1">
      <x:c r="A1551" s="192" t="str">
        <x:v>contact</x:v>
      </x:c>
      <x:c r="B1551" s="192" t="str">
        <x:v>word family</x:v>
      </x:c>
      <x:c r="C1551" s="194" t="str">
        <x:v>контакт</x:v>
      </x:c>
      <x:c r="D1551" s="195" t="str">
        <x:v>Встановлення зв'язку (з).</x:v>
      </x:c>
      <x:c r="E1551" s="192" t="str">
        <x:v>AWL 5</x:v>
      </x:c>
      <x:c r="F1551" s="192" t="str">
        <x:v>Medium</x:v>
      </x:c>
      <x:c r="G1551" s="192" t="str">
        <x:v>Not Started</x:v>
      </x:c>
      <x:c r="H1551" s="192" t="n">
        <x:v>0</x:v>
      </x:c>
    </x:row>
    <x:row r="1552" ht="56" customHeight="1">
      <x:c r="A1552" s="192" t="str">
        <x:v>decline</x:v>
      </x:c>
      <x:c r="B1552" s="192" t="str">
        <x:v>word family</x:v>
      </x:c>
      <x:c r="C1552" s="194" t="str">
        <x:v>занепад</x:v>
      </x:c>
      <x:c r="D1552" s="195" t="str">
        <x:v>Акт відмови або відмови від чогось.</x:v>
      </x:c>
      <x:c r="E1552" s="192" t="str">
        <x:v>AWL 5</x:v>
      </x:c>
      <x:c r="F1552" s="192" t="str">
        <x:v>Medium</x:v>
      </x:c>
      <x:c r="G1552" s="192" t="str">
        <x:v>Not Started</x:v>
      </x:c>
      <x:c r="H1552" s="192" t="n">
        <x:v>0</x:v>
      </x:c>
    </x:row>
    <x:row r="1553" ht="56" customHeight="1">
      <x:c r="A1553" s="192" t="str">
        <x:v>draft</x:v>
      </x:c>
      <x:c r="B1553" s="192" t="str">
        <x:v>word family</x:v>
      </x:c>
      <x:c r="C1553" s="194" t="str">
        <x:v>проект</x:v>
      </x:c>
      <x:c r="D1553" s="195" t="str">
        <x:v>Версія письмового твору (наприклад, книги чи паперу) або малюнка.</x:v>
      </x:c>
      <x:c r="E1553" s="192" t="str">
        <x:v>AWL 5</x:v>
      </x:c>
      <x:c r="F1553" s="192" t="str">
        <x:v>Medium</x:v>
      </x:c>
      <x:c r="G1553" s="192" t="str">
        <x:v>Not Started</x:v>
      </x:c>
      <x:c r="H1553" s="192" t="n">
        <x:v>0</x:v>
      </x:c>
    </x:row>
    <x:row r="1554" ht="56" customHeight="1">
      <x:c r="A1554" s="192" t="str">
        <x:v>enable</x:v>
      </x:c>
      <x:c r="B1554" s="192" t="str">
        <x:v>word family</x:v>
      </x:c>
      <x:c r="C1554" s="194" t="str">
        <x:v>включити</x:v>
      </x:c>
      <x:c r="D1554" s="195" t="str">
        <x:v>Зробити когось здатним (робити або бути чимось); надавати достатню здатність чи силу робити чи бути; надати сили чи здібності.</x:v>
      </x:c>
      <x:c r="E1554" s="192" t="str">
        <x:v>AWL 5</x:v>
      </x:c>
      <x:c r="F1554" s="192" t="str">
        <x:v>Medium</x:v>
      </x:c>
      <x:c r="G1554" s="192" t="str">
        <x:v>Not Started</x:v>
      </x:c>
      <x:c r="H1554" s="192" t="n">
        <x:v>0</x:v>
      </x:c>
    </x:row>
    <x:row r="1555" ht="56" customHeight="1">
      <x:c r="A1555" s="192" t="str">
        <x:v>energy</x:v>
      </x:c>
      <x:c r="B1555" s="192" t="str">
        <x:v>word family</x:v>
      </x:c>
      <x:c r="C1555" s="194" t="str">
        <x:v>енергії</x:v>
      </x:c>
      <x:c r="D1555" s="195" t="str">
        <x:v>Здатність виконувати роботу.</x:v>
      </x:c>
      <x:c r="E1555" s="192" t="str">
        <x:v>AWL 5</x:v>
      </x:c>
      <x:c r="F1555" s="192" t="str">
        <x:v>Medium</x:v>
      </x:c>
      <x:c r="G1555" s="192" t="str">
        <x:v>Not Started</x:v>
      </x:c>
      <x:c r="H1555" s="192" t="n">
        <x:v>0</x:v>
      </x:c>
    </x:row>
    <x:row r="1556" ht="56" customHeight="1">
      <x:c r="A1556" s="192" t="str">
        <x:v>entities</x:v>
      </x:c>
      <x:c r="B1556" s="192" t="str">
        <x:v>word family</x:v>
      </x:c>
      <x:c r="C1556" s="194" t="str">
        <x:v>сутності</x:v>
      </x:c>
      <x:c r="D1556" s="195" t="str">
        <x:v>Те, що існує як окрема одиниця, часто використовується для організацій, які не мають фізичної форми.</x:v>
      </x:c>
      <x:c r="E1556" s="192" t="str">
        <x:v>AWL 5</x:v>
      </x:c>
      <x:c r="F1556" s="192" t="str">
        <x:v>Medium</x:v>
      </x:c>
      <x:c r="G1556" s="192" t="str">
        <x:v>Not Started</x:v>
      </x:c>
      <x:c r="H1556" s="192" t="n">
        <x:v>0</x:v>
      </x:c>
    </x:row>
    <x:row r="1557" ht="56" customHeight="1">
      <x:c r="A1557" s="192" t="str">
        <x:v>equivalent</x:v>
      </x:c>
      <x:c r="B1557" s="192" t="str">
        <x:v>word family</x:v>
      </x:c>
      <x:c r="C1557" s="194" t="str">
        <x:v>еквівалент</x:v>
      </x:c>
      <x:c r="D1557" s="195" t="str">
        <x:v>Подібні або ідентичні за значенням, значенням або ефектом; практично рівні.</x:v>
      </x:c>
      <x:c r="E1557" s="192" t="str">
        <x:v>AWL 5</x:v>
      </x:c>
      <x:c r="F1557" s="192" t="str">
        <x:v>Medium</x:v>
      </x:c>
      <x:c r="G1557" s="192" t="str">
        <x:v>Not Started</x:v>
      </x:c>
      <x:c r="H1557" s="192" t="n">
        <x:v>0</x:v>
      </x:c>
    </x:row>
    <x:row r="1558" ht="56" customHeight="1">
      <x:c r="A1558" s="192" t="str">
        <x:v>evolution</x:v>
      </x:c>
      <x:c r="B1558" s="192" t="str">
        <x:v>word family</x:v>
      </x:c>
      <x:c r="C1558" s="194" t="str">
        <x:v>еволюція</x:v>
      </x:c>
      <x:c r="D1558" s="195" t="str">
        <x:v>Процес розвитку.</x:v>
      </x:c>
      <x:c r="E1558" s="192" t="str">
        <x:v>AWL 5</x:v>
      </x:c>
      <x:c r="F1558" s="192" t="str">
        <x:v>Medium</x:v>
      </x:c>
      <x:c r="G1558" s="192" t="str">
        <x:v>Not Started</x:v>
      </x:c>
      <x:c r="H1558" s="192" t="n">
        <x:v>0</x:v>
      </x:c>
    </x:row>
    <x:row r="1559" ht="56" customHeight="1">
      <x:c r="A1559" s="192" t="str">
        <x:v>expansion</x:v>
      </x:c>
      <x:c r="B1559" s="192" t="str">
        <x:v>word family</x:v>
      </x:c>
      <x:c r="C1559" s="194" t="str">
        <x:v>розширення</x:v>
      </x:c>
      <x:c r="D1559" s="195" t="str">
        <x:v>Дія, процес або випадок розширення.</x:v>
      </x:c>
      <x:c r="E1559" s="192" t="str">
        <x:v>AWL 5</x:v>
      </x:c>
      <x:c r="F1559" s="192" t="str">
        <x:v>Medium</x:v>
      </x:c>
      <x:c r="G1559" s="192" t="str">
        <x:v>Not Started</x:v>
      </x:c>
      <x:c r="H1559" s="192" t="n">
        <x:v>0</x:v>
      </x:c>
    </x:row>
    <x:row r="1560" ht="56" customHeight="1">
      <x:c r="A1560" s="192" t="str">
        <x:v>exposure</x:v>
      </x:c>
      <x:c r="B1560" s="192" t="str">
        <x:v>word family</x:v>
      </x:c>
      <x:c r="C1560" s="194" t="str">
        <x:v>експозиція</x:v>
      </x:c>
      <x:c r="D1560" s="195" t="str">
        <x:v>Стан відкритості, незахищеності або незахищеності.</x:v>
      </x:c>
      <x:c r="E1560" s="192" t="str">
        <x:v>AWL 5</x:v>
      </x:c>
      <x:c r="F1560" s="192" t="str">
        <x:v>Medium</x:v>
      </x:c>
      <x:c r="G1560" s="192" t="str">
        <x:v>Not Started</x:v>
      </x:c>
      <x:c r="H1560" s="192" t="n">
        <x:v>0</x:v>
      </x:c>
    </x:row>
    <x:row r="1561" ht="56" customHeight="1">
      <x:c r="A1561" s="192" t="str">
        <x:v>external</x:v>
      </x:c>
      <x:c r="B1561" s="192" t="str">
        <x:v>word family</x:v>
      </x:c>
      <x:c r="C1561" s="194" t="str">
        <x:v>зовнішній</x:v>
      </x:c>
      <x:c r="D1561" s="195" t="str">
        <x:v>Поза чим-небудь; на зовнішній вигляд.</x:v>
      </x:c>
      <x:c r="E1561" s="192" t="str">
        <x:v>AWL 5</x:v>
      </x:c>
      <x:c r="F1561" s="192" t="str">
        <x:v>Medium</x:v>
      </x:c>
      <x:c r="G1561" s="192" t="str">
        <x:v>Not Started</x:v>
      </x:c>
      <x:c r="H1561" s="192" t="n">
        <x:v>0</x:v>
      </x:c>
    </x:row>
    <x:row r="1562" ht="56" customHeight="1">
      <x:c r="A1562" s="192" t="str">
        <x:v>fundamental</x:v>
      </x:c>
      <x:c r="B1562" s="192" t="str">
        <x:v>word family</x:v>
      </x:c>
      <x:c r="C1562" s="194" t="str">
        <x:v>фундаментальний</x:v>
      </x:c>
      <x:c r="D1562" s="195" t="str">
        <x:v>Основний; надзвичайно важливо.</x:v>
      </x:c>
      <x:c r="E1562" s="192" t="str">
        <x:v>AWL 5</x:v>
      </x:c>
      <x:c r="F1562" s="192" t="str">
        <x:v>Medium</x:v>
      </x:c>
      <x:c r="G1562" s="192" t="str">
        <x:v>Not Started</x:v>
      </x:c>
      <x:c r="H1562" s="192" t="n">
        <x:v>0</x:v>
      </x:c>
    </x:row>
    <x:row r="1563" ht="56" customHeight="1">
      <x:c r="A1563" s="192" t="str">
        <x:v>generated</x:v>
      </x:c>
      <x:c r="B1563" s="192" t="str">
        <x:v>word family</x:v>
      </x:c>
      <x:c r="C1563" s="194" t="str">
        <x:v>створений</x:v>
      </x:c>
      <x:c r="D1563" s="195" t="str">
        <x:v>Приводити в життя; породжувати.</x:v>
      </x:c>
      <x:c r="E1563" s="192" t="str">
        <x:v>AWL 5</x:v>
      </x:c>
      <x:c r="F1563" s="192" t="str">
        <x:v>Medium</x:v>
      </x:c>
      <x:c r="G1563" s="192" t="str">
        <x:v>Not Started</x:v>
      </x:c>
      <x:c r="H1563" s="192" t="n">
        <x:v>0</x:v>
      </x:c>
    </x:row>
    <x:row r="1564" ht="56" customHeight="1">
      <x:c r="A1564" s="192" t="str">
        <x:v>generation</x:v>
      </x:c>
      <x:c r="B1564" s="192" t="str">
        <x:v>word family</x:v>
      </x:c>
      <x:c r="C1564" s="194" t="str">
        <x:v>покоління</x:v>
      </x:c>
      <x:c r="D1564" s="195" t="str">
        <x:v>Група людей, які народилися в певний період років і члени якої можуть мати культурні стосунки один з одним.</x:v>
      </x:c>
      <x:c r="E1564" s="192" t="str">
        <x:v>AWL 5</x:v>
      </x:c>
      <x:c r="F1564" s="192" t="str">
        <x:v>Medium</x:v>
      </x:c>
      <x:c r="G1564" s="192" t="str">
        <x:v>Not Started</x:v>
      </x:c>
      <x:c r="H1564" s="192" t="n">
        <x:v>0</x:v>
      </x:c>
    </x:row>
    <x:row r="1565" ht="56" customHeight="1">
      <x:c r="A1565" s="192" t="str">
        <x:v>image</x:v>
      </x:c>
      <x:c r="B1565" s="192" t="str">
        <x:v>word family</x:v>
      </x:c>
      <x:c r="C1565" s="194" t="str">
        <x:v>зображення</x:v>
      </x:c>
      <x:c r="D1565" s="195" t="str">
        <x:v>Візуальне чи інше зображення зовнішньої форми чогось у мистецтві.</x:v>
      </x:c>
      <x:c r="E1565" s="192" t="str">
        <x:v>AWL 5</x:v>
      </x:c>
      <x:c r="F1565" s="192" t="str">
        <x:v>Medium</x:v>
      </x:c>
      <x:c r="G1565" s="192" t="str">
        <x:v>Not Started</x:v>
      </x:c>
      <x:c r="H1565" s="192" t="n">
        <x:v>0</x:v>
      </x:c>
    </x:row>
    <x:row r="1566" ht="56" customHeight="1">
      <x:c r="A1566" s="192" t="str">
        <x:v>licence</x:v>
      </x:c>
      <x:c r="B1566" s="192" t="str">
        <x:v>word family</x:v>
      </x:c>
      <x:c r="C1566" s="194" t="str">
        <x:v>ліцензія</x:v>
      </x:c>
      <x:c r="D1566" s="195" t="str">
        <x:v>Офіційний дозвіл на певну діяльність, володіння або використання чогось.</x:v>
      </x:c>
      <x:c r="E1566" s="192" t="str">
        <x:v>AWL 5</x:v>
      </x:c>
      <x:c r="F1566" s="192" t="str">
        <x:v>Medium</x:v>
      </x:c>
      <x:c r="G1566" s="192" t="str">
        <x:v>Not Started</x:v>
      </x:c>
      <x:c r="H1566" s="192" t="n">
        <x:v>0</x:v>
      </x:c>
    </x:row>
    <x:row r="1567" ht="56" customHeight="1">
      <x:c r="A1567" s="192" t="str">
        <x:v>medical</x:v>
      </x:c>
      <x:c r="B1567" s="192" t="str">
        <x:v>word family</x:v>
      </x:c>
      <x:c r="C1567" s="194" t="str">
        <x:v>медичний</x:v>
      </x:c>
      <x:c r="D1567" s="195" t="str">
        <x:v>Про медичну практику або пов’язану з нею.</x:v>
      </x:c>
      <x:c r="E1567" s="192" t="str">
        <x:v>AWL 5</x:v>
      </x:c>
      <x:c r="F1567" s="192" t="str">
        <x:v>Medium</x:v>
      </x:c>
      <x:c r="G1567" s="192" t="str">
        <x:v>Not Started</x:v>
      </x:c>
      <x:c r="H1567" s="192" t="n">
        <x:v>0</x:v>
      </x:c>
    </x:row>
    <x:row r="1568" ht="56" customHeight="1">
      <x:c r="A1568" s="192" t="str">
        <x:v>mental</x:v>
      </x:c>
      <x:c r="B1568" s="192" t="str">
        <x:v>word family</x:v>
      </x:c>
      <x:c r="C1568" s="194" t="str">
        <x:v>психічний</x:v>
      </x:c>
      <x:c r="D1568" s="195" t="str">
        <x:v>Що стосується розуму чи конкретно повної емоційної та інтелектуальної реакції індивіда на зовнішню реальність.</x:v>
      </x:c>
      <x:c r="E1568" s="192" t="str">
        <x:v>AWL 5</x:v>
      </x:c>
      <x:c r="F1568" s="192" t="str">
        <x:v>Medium</x:v>
      </x:c>
      <x:c r="G1568" s="192" t="str">
        <x:v>Not Started</x:v>
      </x:c>
      <x:c r="H1568" s="192" t="n">
        <x:v>0</x:v>
      </x:c>
    </x:row>
    <x:row r="1569" ht="56" customHeight="1">
      <x:c r="A1569" s="192" t="str">
        <x:v>modified</x:v>
      </x:c>
      <x:c r="B1569" s="192" t="str">
        <x:v>word family</x:v>
      </x:c>
      <x:c r="C1569" s="194" t="str">
        <x:v>змінений</x:v>
      </x:c>
      <x:c r="D1569" s="195" t="str">
        <x:v>змінений; змінено</x:v>
      </x:c>
      <x:c r="E1569" s="192" t="str">
        <x:v>AWL 5</x:v>
      </x:c>
      <x:c r="F1569" s="192" t="str">
        <x:v>Medium</x:v>
      </x:c>
      <x:c r="G1569" s="192" t="str">
        <x:v>Not Started</x:v>
      </x:c>
      <x:c r="H1569" s="192" t="n">
        <x:v>0</x:v>
      </x:c>
    </x:row>
    <x:row r="1570" ht="56" customHeight="1">
      <x:c r="A1570" s="192" t="str">
        <x:v>monitoring</x:v>
      </x:c>
      <x:c r="B1570" s="192" t="str">
        <x:v>word family</x:v>
      </x:c>
      <x:c r="C1570" s="194" t="str">
        <x:v>моніторинг</x:v>
      </x:c>
      <x:c r="D1570" s="195" t="str">
        <x:v>Здійснення спостереження за навколишнім середовищем чи людьми або безперервне чи регулярне спостереження за ними з метою виявлення сигналів, рухів або змін стану чи якості.</x:v>
      </x:c>
      <x:c r="E1570" s="192" t="str">
        <x:v>AWL 5</x:v>
      </x:c>
      <x:c r="F1570" s="192" t="str">
        <x:v>Medium</x:v>
      </x:c>
      <x:c r="G1570" s="192" t="str">
        <x:v>Not Started</x:v>
      </x:c>
      <x:c r="H1570" s="192" t="n">
        <x:v>0</x:v>
      </x:c>
    </x:row>
    <x:row r="1571" ht="56" customHeight="1">
      <x:c r="A1571" s="192" t="str">
        <x:v>network</x:v>
      </x:c>
      <x:c r="B1571" s="192" t="str">
        <x:v>word family</x:v>
      </x:c>
      <x:c r="C1571" s="194" t="str">
        <x:v>мережі</x:v>
      </x:c>
      <x:c r="D1571" s="195" t="str">
        <x:v>Будь-яка взаємопов'язана група або система.</x:v>
      </x:c>
      <x:c r="E1571" s="192" t="str">
        <x:v>AWL 5</x:v>
      </x:c>
      <x:c r="F1571" s="192" t="str">
        <x:v>Medium</x:v>
      </x:c>
      <x:c r="G1571" s="192" t="str">
        <x:v>Not Started</x:v>
      </x:c>
      <x:c r="H1571" s="192" t="n">
        <x:v>0</x:v>
      </x:c>
    </x:row>
    <x:row r="1572" ht="56" customHeight="1">
      <x:c r="A1572" s="192" t="str">
        <x:v>notion</x:v>
      </x:c>
      <x:c r="B1572" s="192" t="str">
        <x:v>word family</x:v>
      </x:c>
      <x:c r="C1572" s="194" t="str">
        <x:v>поняття</x:v>
      </x:c>
      <x:c r="D1572" s="195" t="str">
        <x:v>Ментальне сприйняття всього, що можна знати, думати або уявляти; ідея, концепція.</x:v>
      </x:c>
      <x:c r="E1572" s="192" t="str">
        <x:v>AWL 5</x:v>
      </x:c>
      <x:c r="F1572" s="192" t="str">
        <x:v>Medium</x:v>
      </x:c>
      <x:c r="G1572" s="192" t="str">
        <x:v>Not Started</x:v>
      </x:c>
      <x:c r="H1572" s="192" t="n">
        <x:v>0</x:v>
      </x:c>
    </x:row>
    <x:row r="1573" ht="56" customHeight="1">
      <x:c r="A1573" s="192" t="str">
        <x:v>objective</x:v>
      </x:c>
      <x:c r="B1573" s="192" t="str">
        <x:v>word family</x:v>
      </x:c>
      <x:c r="C1573" s="194" t="str">
        <x:v>об'єктивний</x:v>
      </x:c>
      <x:c r="D1573" s="195" t="str">
        <x:v>Не піддається впливу сильних емоцій чи упереджень.</x:v>
      </x:c>
      <x:c r="E1573" s="192" t="str">
        <x:v>AWL 5</x:v>
      </x:c>
      <x:c r="F1573" s="192" t="str">
        <x:v>Medium</x:v>
      </x:c>
      <x:c r="G1573" s="192" t="str">
        <x:v>Not Started</x:v>
      </x:c>
      <x:c r="H1573" s="192" t="n">
        <x:v>0</x:v>
      </x:c>
    </x:row>
    <x:row r="1574" ht="56" customHeight="1">
      <x:c r="A1574" s="192" t="str">
        <x:v>perspective</x:v>
      </x:c>
      <x:c r="B1574" s="192" t="str">
        <x:v>word family</x:v>
      </x:c>
      <x:c r="C1574" s="194" t="str">
        <x:v>перспектива</x:v>
      </x:c>
      <x:c r="D1574" s="195" t="str">
        <x:v>Вибір єдиного ракурсу або точки зору, з якої можна відчути, класифікувати, виміряти або кодифікувати досвід.</x:v>
      </x:c>
      <x:c r="E1574" s="192" t="str">
        <x:v>AWL 5</x:v>
      </x:c>
      <x:c r="F1574" s="192" t="str">
        <x:v>Medium</x:v>
      </x:c>
      <x:c r="G1574" s="192" t="str">
        <x:v>Not Started</x:v>
      </x:c>
      <x:c r="H1574" s="192" t="n">
        <x:v>0</x:v>
      </x:c>
    </x:row>
    <x:row r="1575" ht="56" customHeight="1">
      <x:c r="A1575" s="192" t="str">
        <x:v>precise</x:v>
      </x:c>
      <x:c r="B1575" s="192" t="str">
        <x:v>word family</x:v>
      </x:c>
      <x:c r="C1575" s="194" t="str">
        <x:v>точні</x:v>
      </x:c>
      <x:c r="D1575" s="195" t="str">
        <x:v>І точно, і точно.</x:v>
      </x:c>
      <x:c r="E1575" s="192" t="str">
        <x:v>AWL 5</x:v>
      </x:c>
      <x:c r="F1575" s="192" t="str">
        <x:v>Medium</x:v>
      </x:c>
      <x:c r="G1575" s="192" t="str">
        <x:v>Not Started</x:v>
      </x:c>
      <x:c r="H1575" s="192" t="n">
        <x:v>0</x:v>
      </x:c>
    </x:row>
    <x:row r="1576" ht="56" customHeight="1">
      <x:c r="A1576" s="192" t="str">
        <x:v>prime</x:v>
      </x:c>
      <x:c r="B1576" s="192" t="str">
        <x:v>word family</x:v>
      </x:c>
      <x:c r="C1576" s="194" t="str">
        <x:v>простий</x:v>
      </x:c>
      <x:c r="D1576" s="195" t="str">
        <x:v>Перший за важливістю, ступенем або рангом.</x:v>
      </x:c>
      <x:c r="E1576" s="192" t="str">
        <x:v>AWL 5</x:v>
      </x:c>
      <x:c r="F1576" s="192" t="str">
        <x:v>Medium</x:v>
      </x:c>
      <x:c r="G1576" s="192" t="str">
        <x:v>Not Started</x:v>
      </x:c>
      <x:c r="H1576" s="192" t="n">
        <x:v>0</x:v>
      </x:c>
    </x:row>
    <x:row r="1577" ht="56" customHeight="1">
      <x:c r="A1577" s="192" t="str">
        <x:v>psychology</x:v>
      </x:c>
      <x:c r="B1577" s="192" t="str">
        <x:v>word family</x:v>
      </x:c>
      <x:c r="C1577" s="194" t="str">
        <x:v>психологія</x:v>
      </x:c>
      <x:c r="D1577" s="195" t="str">
        <x:v>Вивчення людського розуму.</x:v>
      </x:c>
      <x:c r="E1577" s="192" t="str">
        <x:v>AWL 5</x:v>
      </x:c>
      <x:c r="F1577" s="192" t="str">
        <x:v>Medium</x:v>
      </x:c>
      <x:c r="G1577" s="192" t="str">
        <x:v>Not Started</x:v>
      </x:c>
      <x:c r="H1577" s="192" t="n">
        <x:v>0</x:v>
      </x:c>
    </x:row>
    <x:row r="1578" ht="56" customHeight="1">
      <x:c r="A1578" s="192" t="str">
        <x:v>pursue</x:v>
      </x:c>
      <x:c r="B1578" s="192" t="str">
        <x:v>word family</x:v>
      </x:c>
      <x:c r="C1578" s="194" t="str">
        <x:v>переслідувати</x:v>
      </x:c>
      <x:c r="D1578" s="195" t="str">
        <x:v>Прагнути, йти за (визначеною метою, ситуацією тощо).</x:v>
      </x:c>
      <x:c r="E1578" s="192" t="str">
        <x:v>AWL 5</x:v>
      </x:c>
      <x:c r="F1578" s="192" t="str">
        <x:v>Medium</x:v>
      </x:c>
      <x:c r="G1578" s="192" t="str">
        <x:v>Not Started</x:v>
      </x:c>
      <x:c r="H1578" s="192" t="n">
        <x:v>0</x:v>
      </x:c>
    </x:row>
    <x:row r="1579" ht="56" customHeight="1">
      <x:c r="A1579" s="192" t="str">
        <x:v>rejected</x:v>
      </x:c>
      <x:c r="B1579" s="192" t="str">
        <x:v>word family</x:v>
      </x:c>
      <x:c r="C1579" s="194" t="str">
        <x:v>відхилено</x:v>
      </x:c>
      <x:c r="D1579" s="195" t="str">
        <x:v>Відхилений або не прийнятий після розгляду.</x:v>
      </x:c>
      <x:c r="E1579" s="192" t="str">
        <x:v>AWL 5</x:v>
      </x:c>
      <x:c r="F1579" s="192" t="str">
        <x:v>Medium</x:v>
      </x:c>
      <x:c r="G1579" s="192" t="str">
        <x:v>Not Started</x:v>
      </x:c>
      <x:c r="H1579" s="192" t="n">
        <x:v>0</x:v>
      </x:c>
    </x:row>
    <x:row r="1580" ht="56" customHeight="1">
      <x:c r="A1580" s="192" t="str">
        <x:v>revenue</x:v>
      </x:c>
      <x:c r="B1580" s="192" t="str">
        <x:v>word family</x:v>
      </x:c>
      <x:c r="C1580" s="194" t="str">
        <x:v>дохід</x:v>
      </x:c>
      <x:c r="D1580" s="195" t="str">
        <x:v>Загальний дохід, отриманий із певного джерела.</x:v>
      </x:c>
      <x:c r="E1580" s="192" t="str">
        <x:v>AWL 5</x:v>
      </x:c>
      <x:c r="F1580" s="192" t="str">
        <x:v>Medium</x:v>
      </x:c>
      <x:c r="G1580" s="192" t="str">
        <x:v>Not Started</x:v>
      </x:c>
      <x:c r="H1580" s="192" t="n">
        <x:v>0</x:v>
      </x:c>
    </x:row>
    <x:row r="1581" ht="56" customHeight="1">
      <x:c r="A1581" s="192" t="str">
        <x:v>styles</x:v>
      </x:c>
      <x:c r="B1581" s="192" t="str">
        <x:v>word family</x:v>
      </x:c>
      <x:c r="C1581" s="194" t="str">
        <x:v>стилі</x:v>
      </x:c>
      <x:c r="D1581" s="195" t="str">
        <x:v>Прізвище.</x:v>
      </x:c>
      <x:c r="E1581" s="192" t="str">
        <x:v>AWL 5</x:v>
      </x:c>
      <x:c r="F1581" s="192" t="str">
        <x:v>Medium</x:v>
      </x:c>
      <x:c r="G1581" s="192" t="str">
        <x:v>Not Started</x:v>
      </x:c>
      <x:c r="H1581" s="192" t="n">
        <x:v>0</x:v>
      </x:c>
    </x:row>
    <x:row r="1582" ht="56" customHeight="1">
      <x:c r="A1582" s="192" t="str">
        <x:v>sustainable</x:v>
      </x:c>
      <x:c r="B1582" s="192" t="str">
        <x:v>word family</x:v>
      </x:c>
      <x:c r="C1582" s="194" t="str">
        <x:v>стійкий</x:v>
      </x:c>
      <x:c r="D1582" s="195" t="str">
        <x:v>Здатність вироблятися або підтримуватися протягом невизначеного періоду без шкоди для навколишнього середовища або без виснаження ресурсу; поновлюваний.</x:v>
      </x:c>
      <x:c r="E1582" s="192" t="str">
        <x:v>AWL 5</x:v>
      </x:c>
      <x:c r="F1582" s="192" t="str">
        <x:v>Medium</x:v>
      </x:c>
      <x:c r="G1582" s="192" t="str">
        <x:v>Not Started</x:v>
      </x:c>
      <x:c r="H1582" s="192" t="n">
        <x:v>0</x:v>
      </x:c>
    </x:row>
    <x:row r="1583" ht="56" customHeight="1">
      <x:c r="A1583" s="192" t="str">
        <x:v>target</x:v>
      </x:c>
      <x:c r="B1583" s="192" t="str">
        <x:v>word family</x:v>
      </x:c>
      <x:c r="C1583" s="194" t="str">
        <x:v>мета</x:v>
      </x:c>
      <x:c r="D1583" s="195" t="str">
        <x:v>Ціль або завдання.</x:v>
      </x:c>
      <x:c r="E1583" s="192" t="str">
        <x:v>AWL 5</x:v>
      </x:c>
      <x:c r="F1583" s="192" t="str">
        <x:v>Medium</x:v>
      </x:c>
      <x:c r="G1583" s="192" t="str">
        <x:v>Not Started</x:v>
      </x:c>
      <x:c r="H1583" s="192" t="n">
        <x:v>0</x:v>
      </x:c>
    </x:row>
    <x:row r="1584" ht="56" customHeight="1">
      <x:c r="A1584" s="192" t="str">
        <x:v>transition</x:v>
      </x:c>
      <x:c r="B1584" s="192" t="str">
        <x:v>word family</x:v>
      </x:c>
      <x:c r="C1584" s="194" t="str">
        <x:v>перехід</x:v>
      </x:c>
      <x:c r="D1584" s="195" t="str">
        <x:v>Процес зміни однієї форми, стану, стилю чи місця в інше.</x:v>
      </x:c>
      <x:c r="E1584" s="192" t="str">
        <x:v>AWL 5</x:v>
      </x:c>
      <x:c r="F1584" s="192" t="str">
        <x:v>Medium</x:v>
      </x:c>
      <x:c r="G1584" s="192" t="str">
        <x:v>Not Started</x:v>
      </x:c>
      <x:c r="H1584" s="192" t="n">
        <x:v>0</x:v>
      </x:c>
    </x:row>
    <x:row r="1585" ht="56" customHeight="1">
      <x:c r="A1585" s="192" t="str">
        <x:v>trend</x:v>
      </x:c>
      <x:c r="B1585" s="192" t="str">
        <x:v>word family</x:v>
      </x:c>
      <x:c r="C1585" s="194" t="str">
        <x:v>тенденція</x:v>
      </x:c>
      <x:c r="D1585" s="195" t="str">
        <x:v>Примха чи модний стиль.</x:v>
      </x:c>
      <x:c r="E1585" s="192" t="str">
        <x:v>AWL 5</x:v>
      </x:c>
      <x:c r="F1585" s="192" t="str">
        <x:v>Medium</x:v>
      </x:c>
      <x:c r="G1585" s="192" t="str">
        <x:v>Not Started</x:v>
      </x:c>
      <x:c r="H1585" s="192" t="n">
        <x:v>0</x:v>
      </x:c>
    </x:row>
    <x:row r="1586" ht="56" customHeight="1">
      <x:c r="A1586" s="192" t="str">
        <x:v>version</x:v>
      </x:c>
      <x:c r="B1586" s="192" t="str">
        <x:v>word family</x:v>
      </x:c>
      <x:c r="C1586" s="194" t="str">
        <x:v>версія</x:v>
      </x:c>
      <x:c r="D1586" s="195" t="str">
        <x:v>Певна форма або варіація чогось.</x:v>
      </x:c>
      <x:c r="E1586" s="192" t="str">
        <x:v>AWL 5</x:v>
      </x:c>
      <x:c r="F1586" s="192" t="str">
        <x:v>Medium</x:v>
      </x:c>
      <x:c r="G1586" s="192" t="str">
        <x:v>Not Started</x:v>
      </x:c>
      <x:c r="H1586" s="192" t="n">
        <x:v>0</x:v>
      </x:c>
    </x:row>
    <x:row r="1587" ht="56" customHeight="1">
      <x:c r="A1587" s="192" t="str">
        <x:v>welfare</x:v>
      </x:c>
      <x:c r="B1587" s="192" t="str">
        <x:v>word family</x:v>
      </x:c>
      <x:c r="C1587" s="194" t="str">
        <x:v>добробуту</x:v>
      </x:c>
      <x:c r="D1587" s="195" t="str">
        <x:v>Здоров'я, безпеки, щастя і процвітання; благополуччя в будь-якому відношенні.</x:v>
      </x:c>
      <x:c r="E1587" s="192" t="str">
        <x:v>AWL 5</x:v>
      </x:c>
      <x:c r="F1587" s="192" t="str">
        <x:v>Medium</x:v>
      </x:c>
      <x:c r="G1587" s="192" t="str">
        <x:v>Not Started</x:v>
      </x:c>
      <x:c r="H1587" s="192" t="n">
        <x:v>0</x:v>
      </x:c>
    </x:row>
    <x:row r="1588" ht="56" customHeight="1">
      <x:c r="A1588" s="192" t="str">
        <x:v>whereas</x:v>
      </x:c>
      <x:c r="B1588" s="192" t="str">
        <x:v>word family</x:v>
      </x:c>
      <x:c r="C1588" s="194" t="str">
        <x:v>тоді як</x:v>
      </x:c>
      <x:c r="D1588" s="195" t="str">
        <x:v>Застереження, як і в юридичних документах, яке вказує на те, що.</x:v>
      </x:c>
      <x:c r="E1588" s="192" t="str">
        <x:v>AWL 5</x:v>
      </x:c>
      <x:c r="F1588" s="192" t="str">
        <x:v>Medium</x:v>
      </x:c>
      <x:c r="G1588" s="192" t="str">
        <x:v>Not Started</x:v>
      </x:c>
      <x:c r="H1588" s="192" t="n">
        <x:v>0</x:v>
      </x:c>
    </x:row>
    <x:row r="1589" ht="56" customHeight="1">
      <x:c r="A1589" s="192" t="str">
        <x:v>abstract</x:v>
      </x:c>
      <x:c r="B1589" s="192" t="str">
        <x:v>word family</x:v>
      </x:c>
      <x:c r="C1589" s="194" t="str">
        <x:v>анотація</x:v>
      </x:c>
      <x:c r="D1589" s="195" t="str">
        <x:v>Скорочення або підсумок більшої публікації.</x:v>
      </x:c>
      <x:c r="E1589" s="192" t="str">
        <x:v>AWL 6</x:v>
      </x:c>
      <x:c r="F1589" s="192" t="str">
        <x:v>Medium</x:v>
      </x:c>
      <x:c r="G1589" s="192" t="str">
        <x:v>Not Started</x:v>
      </x:c>
      <x:c r="H1589" s="192" t="n">
        <x:v>0</x:v>
      </x:c>
    </x:row>
    <x:row r="1590" ht="56" customHeight="1">
      <x:c r="A1590" s="192" t="str">
        <x:v>accurate</x:v>
      </x:c>
      <x:c r="B1590" s="192" t="str">
        <x:v>word family</x:v>
      </x:c>
      <x:c r="C1590" s="194" t="str">
        <x:v>точні</x:v>
      </x:c>
      <x:c r="D1590" s="195" t="str">
        <x:v>Говорити правду або давати правдивий результат; точний; не дефектний або несправний.</x:v>
      </x:c>
      <x:c r="E1590" s="192" t="str">
        <x:v>AWL 6</x:v>
      </x:c>
      <x:c r="F1590" s="192" t="str">
        <x:v>Medium</x:v>
      </x:c>
      <x:c r="G1590" s="192" t="str">
        <x:v>Not Started</x:v>
      </x:c>
      <x:c r="H1590" s="192" t="n">
        <x:v>0</x:v>
      </x:c>
    </x:row>
    <x:row r="1591" ht="56" customHeight="1">
      <x:c r="A1591" s="192" t="str">
        <x:v>acknowledged</x:v>
      </x:c>
      <x:c r="B1591" s="192" t="str">
        <x:v>word family</x:v>
      </x:c>
      <x:c r="C1591" s="194" t="str">
        <x:v>визнав</x:v>
      </x:c>
      <x:c r="D1591" s="195" t="str">
        <x:v>Загальноприйнятий, визнаний або визнаний.</x:v>
      </x:c>
      <x:c r="E1591" s="192" t="str">
        <x:v>AWL 6</x:v>
      </x:c>
      <x:c r="F1591" s="192" t="str">
        <x:v>Medium</x:v>
      </x:c>
      <x:c r="G1591" s="192" t="str">
        <x:v>Not Started</x:v>
      </x:c>
      <x:c r="H1591" s="192" t="n">
        <x:v>0</x:v>
      </x:c>
    </x:row>
    <x:row r="1592" ht="56" customHeight="1">
      <x:c r="A1592" s="192" t="str">
        <x:v>aggregate</x:v>
      </x:c>
      <x:c r="B1592" s="192" t="str">
        <x:v>word family</x:v>
      </x:c>
      <x:c r="C1592" s="194" t="str">
        <x:v>агрегатний</x:v>
      </x:c>
      <x:c r="D1592" s="195" t="str">
        <x:v>Маса, сукупність або сума деталей; щось, що складається з елементів, але розглядається як ціле.</x:v>
      </x:c>
      <x:c r="E1592" s="192" t="str">
        <x:v>AWL 6</x:v>
      </x:c>
      <x:c r="F1592" s="192" t="str">
        <x:v>Medium</x:v>
      </x:c>
      <x:c r="G1592" s="192" t="str">
        <x:v>Not Started</x:v>
      </x:c>
      <x:c r="H1592" s="192" t="n">
        <x:v>0</x:v>
      </x:c>
    </x:row>
    <x:row r="1593" ht="56" customHeight="1">
      <x:c r="A1593" s="192" t="str">
        <x:v>assigned</x:v>
      </x:c>
      <x:c r="B1593" s="192" t="str">
        <x:v>word family</x:v>
      </x:c>
      <x:c r="C1593" s="194" t="str">
        <x:v>призначений</x:v>
      </x:c>
      <x:c r="D1593" s="195" t="str">
        <x:v>Який був призначений або призначений для якоїсь мети.</x:v>
      </x:c>
      <x:c r="E1593" s="192" t="str">
        <x:v>AWL 6</x:v>
      </x:c>
      <x:c r="F1593" s="192" t="str">
        <x:v>Medium</x:v>
      </x:c>
      <x:c r="G1593" s="192" t="str">
        <x:v>Not Started</x:v>
      </x:c>
      <x:c r="H1593" s="192" t="n">
        <x:v>0</x:v>
      </x:c>
    </x:row>
    <x:row r="1594" ht="56" customHeight="1">
      <x:c r="A1594" s="192" t="str">
        <x:v>attached</x:v>
      </x:c>
      <x:c r="B1594" s="192" t="str">
        <x:v>word family</x:v>
      </x:c>
      <x:c r="C1594" s="194" t="str">
        <x:v>додається</x:v>
      </x:c>
      <x:c r="D1594" s="195" t="str">
        <x:v>Підключений; приєднався.</x:v>
      </x:c>
      <x:c r="E1594" s="192" t="str">
        <x:v>AWL 6</x:v>
      </x:c>
      <x:c r="F1594" s="192" t="str">
        <x:v>Medium</x:v>
      </x:c>
      <x:c r="G1594" s="192" t="str">
        <x:v>Not Started</x:v>
      </x:c>
      <x:c r="H1594" s="192" t="n">
        <x:v>0</x:v>
      </x:c>
    </x:row>
    <x:row r="1595" ht="56" customHeight="1">
      <x:c r="A1595" s="192" t="str">
        <x:v>author</x:v>
      </x:c>
      <x:c r="B1595" s="192" t="str">
        <x:v>word family</x:v>
      </x:c>
      <x:c r="C1595" s="194" t="str">
        <x:v>автор</x:v>
      </x:c>
      <x:c r="D1595" s="195" t="str">
        <x:v>Автор або творець твору, особливо літературного твору; або один із творців спільного твору.</x:v>
      </x:c>
      <x:c r="E1595" s="192" t="str">
        <x:v>AWL 6</x:v>
      </x:c>
      <x:c r="F1595" s="192" t="str">
        <x:v>Medium</x:v>
      </x:c>
      <x:c r="G1595" s="192" t="str">
        <x:v>Not Started</x:v>
      </x:c>
      <x:c r="H1595" s="192" t="n">
        <x:v>0</x:v>
      </x:c>
    </x:row>
    <x:row r="1596" ht="56" customHeight="1">
      <x:c r="A1596" s="192" t="str">
        <x:v>bond</x:v>
      </x:c>
      <x:c r="B1596" s="192" t="str">
        <x:v>word family</x:v>
      </x:c>
      <x:c r="C1596" s="194" t="str">
        <x:v>облігація</x:v>
      </x:c>
      <x:c r="D1596" s="195" t="str">
        <x:v>Документ, що є підтвердженням довгострокової заборгованості, згідно з яким емітент облігацій (позичальник) зобов’язується сплатити відсотки в установлений термін і погасити основну суму боргу в момент погашення, як зазначе...</x:v>
      </x:c>
      <x:c r="E1596" s="192" t="str">
        <x:v>AWL 6</x:v>
      </x:c>
      <x:c r="F1596" s="192" t="str">
        <x:v>Medium</x:v>
      </x:c>
      <x:c r="G1596" s="192" t="str">
        <x:v>Not Started</x:v>
      </x:c>
      <x:c r="H1596" s="192" t="n">
        <x:v>0</x:v>
      </x:c>
    </x:row>
    <x:row r="1597" ht="56" customHeight="1">
      <x:c r="A1597" s="192" t="str">
        <x:v>brief</x:v>
      </x:c>
      <x:c r="B1597" s="192" t="str">
        <x:v>word family</x:v>
      </x:c>
      <x:c r="C1597" s="194" t="str">
        <x:v>короткий</x:v>
      </x:c>
      <x:c r="D1597" s="195" t="str">
        <x:v>Короткочасний; відбувається швидко.</x:v>
      </x:c>
      <x:c r="E1597" s="192" t="str">
        <x:v>AWL 6</x:v>
      </x:c>
      <x:c r="F1597" s="192" t="str">
        <x:v>Medium</x:v>
      </x:c>
      <x:c r="G1597" s="192" t="str">
        <x:v>Not Started</x:v>
      </x:c>
      <x:c r="H1597" s="192" t="n">
        <x:v>0</x:v>
      </x:c>
    </x:row>
    <x:row r="1598" ht="56" customHeight="1">
      <x:c r="A1598" s="192" t="str">
        <x:v>capable</x:v>
      </x:c>
      <x:c r="B1598" s="192" t="str">
        <x:v>word family</x:v>
      </x:c>
      <x:c r="C1598" s="194" t="str">
        <x:v>здатний</x:v>
      </x:c>
      <x:c r="D1598" s="195" t="str">
        <x:v>Умілий та ефективний; наявність здібностей, необхідних для конкретного завдання; наявність бажання щось зробити; дозволяти або бути сприйнятливим до чогось.</x:v>
      </x:c>
      <x:c r="E1598" s="192" t="str">
        <x:v>AWL 6</x:v>
      </x:c>
      <x:c r="F1598" s="192" t="str">
        <x:v>Medium</x:v>
      </x:c>
      <x:c r="G1598" s="192" t="str">
        <x:v>Not Started</x:v>
      </x:c>
      <x:c r="H1598" s="192" t="n">
        <x:v>0</x:v>
      </x:c>
    </x:row>
    <x:row r="1599" ht="56" customHeight="1">
      <x:c r="A1599" s="192" t="str">
        <x:v>cited</x:v>
      </x:c>
      <x:c r="B1599" s="192" t="str">
        <x:v>word family</x:v>
      </x:c>
      <x:c r="C1599" s="194" t="str">
        <x:v>цитується</x:v>
      </x:c>
      <x:c r="D1599" s="195" t="str">
        <x:v>Це цитата</x:v>
      </x:c>
      <x:c r="E1599" s="192" t="str">
        <x:v>AWL 6</x:v>
      </x:c>
      <x:c r="F1599" s="192" t="str">
        <x:v>Medium</x:v>
      </x:c>
      <x:c r="G1599" s="192" t="str">
        <x:v>Not Started</x:v>
      </x:c>
      <x:c r="H1599" s="192" t="n">
        <x:v>0</x:v>
      </x:c>
    </x:row>
    <x:row r="1600" ht="56" customHeight="1">
      <x:c r="A1600" s="192" t="str">
        <x:v>display</x:v>
      </x:c>
      <x:c r="B1600" s="192" t="str">
        <x:v>word family</x:v>
      </x:c>
      <x:c r="C1600" s="194" t="str">
        <x:v>дисплей</x:v>
      </x:c>
      <x:c r="D1600" s="195" t="str">
        <x:v>Електронний екран, який показує графіку або текст.</x:v>
      </x:c>
      <x:c r="E1600" s="192" t="str">
        <x:v>AWL 6</x:v>
      </x:c>
      <x:c r="F1600" s="192" t="str">
        <x:v>Medium</x:v>
      </x:c>
      <x:c r="G1600" s="192" t="str">
        <x:v>Not Started</x:v>
      </x:c>
      <x:c r="H1600" s="192" t="n">
        <x:v>0</x:v>
      </x:c>
    </x:row>
    <x:row r="1601" ht="56" customHeight="1">
      <x:c r="A1601" s="192" t="str">
        <x:v>diversity</x:v>
      </x:c>
      <x:c r="B1601" s="192" t="str">
        <x:v>word family</x:v>
      </x:c>
      <x:c r="C1601" s="194" t="str">
        <x:v>різноманітність</x:v>
      </x:c>
      <x:c r="D1601" s="195" t="str">
        <x:v>Якість різноманітності або відмінності; відмінність чи несхожість.</x:v>
      </x:c>
      <x:c r="E1601" s="192" t="str">
        <x:v>AWL 6</x:v>
      </x:c>
      <x:c r="F1601" s="192" t="str">
        <x:v>Medium</x:v>
      </x:c>
      <x:c r="G1601" s="192" t="str">
        <x:v>Not Started</x:v>
      </x:c>
      <x:c r="H1601" s="192" t="n">
        <x:v>0</x:v>
      </x:c>
    </x:row>
    <x:row r="1602" ht="56" customHeight="1">
      <x:c r="A1602" s="192" t="str">
        <x:v>edition</x:v>
      </x:c>
      <x:c r="B1602" s="192" t="str">
        <x:v>word family</x:v>
      </x:c>
      <x:c r="C1602" s="194" t="str">
        <x:v>видання</x:v>
      </x:c>
      <x:c r="D1602" s="195" t="str">
        <x:v>Повна кількість примірників твору, надрукованого та виданого за один раз.</x:v>
      </x:c>
      <x:c r="E1602" s="192" t="str">
        <x:v>AWL 6</x:v>
      </x:c>
      <x:c r="F1602" s="192" t="str">
        <x:v>Medium</x:v>
      </x:c>
      <x:c r="G1602" s="192" t="str">
        <x:v>Not Started</x:v>
      </x:c>
      <x:c r="H1602" s="192" t="n">
        <x:v>0</x:v>
      </x:c>
    </x:row>
    <x:row r="1603" ht="56" customHeight="1">
      <x:c r="A1603" s="192" t="str">
        <x:v>enhanced</x:v>
      </x:c>
      <x:c r="B1603" s="192" t="str">
        <x:v>word family</x:v>
      </x:c>
      <x:c r="C1603" s="194" t="str">
        <x:v>посилений</x:v>
      </x:c>
      <x:c r="D1603" s="195" t="str">
        <x:v>У версії або формі, яка була вдосконалена або краща за іншу стандартну форму.</x:v>
      </x:c>
      <x:c r="E1603" s="192" t="str">
        <x:v>AWL 6</x:v>
      </x:c>
      <x:c r="F1603" s="192" t="str">
        <x:v>Medium</x:v>
      </x:c>
      <x:c r="G1603" s="192" t="str">
        <x:v>Not Started</x:v>
      </x:c>
      <x:c r="H1603" s="192" t="n">
        <x:v>0</x:v>
      </x:c>
    </x:row>
    <x:row r="1604" ht="56" customHeight="1">
      <x:c r="A1604" s="192" t="str">
        <x:v>estate</x:v>
      </x:c>
      <x:c r="B1604" s="192" t="str">
        <x:v>word family</x:v>
      </x:c>
      <x:c r="C1604" s="194" t="str">
        <x:v>маєток</x:v>
      </x:c>
      <x:c r="D1604" s="195" t="str">
        <x:v>Колективна власність і зобов'язання когось, особливо померлої особи.</x:v>
      </x:c>
      <x:c r="E1604" s="192" t="str">
        <x:v>AWL 6</x:v>
      </x:c>
      <x:c r="F1604" s="192" t="str">
        <x:v>Medium</x:v>
      </x:c>
      <x:c r="G1604" s="192" t="str">
        <x:v>Not Started</x:v>
      </x:c>
      <x:c r="H1604" s="192" t="n">
        <x:v>0</x:v>
      </x:c>
    </x:row>
    <x:row r="1605" ht="56" customHeight="1">
      <x:c r="A1605" s="192" t="str">
        <x:v>exceed</x:v>
      </x:c>
      <x:c r="B1605" s="192" t="str">
        <x:v>word family</x:v>
      </x:c>
      <x:c r="C1605" s="194" t="str">
        <x:v>перевищувати</x:v>
      </x:c>
      <x:c r="D1605" s="195" t="str">
        <x:v>Виходити за (якусь межу); перевершити; бути довшим ніж.</x:v>
      </x:c>
      <x:c r="E1605" s="192" t="str">
        <x:v>AWL 6</x:v>
      </x:c>
      <x:c r="F1605" s="192" t="str">
        <x:v>Medium</x:v>
      </x:c>
      <x:c r="G1605" s="192" t="str">
        <x:v>Not Started</x:v>
      </x:c>
      <x:c r="H1605" s="192" t="n">
        <x:v>0</x:v>
      </x:c>
    </x:row>
    <x:row r="1606" ht="56" customHeight="1">
      <x:c r="A1606" s="192" t="str">
        <x:v>expert</x:v>
      </x:c>
      <x:c r="B1606" s="192" t="str">
        <x:v>word family</x:v>
      </x:c>
      <x:c r="C1606" s="194" t="str">
        <x:v>експерт</x:v>
      </x:c>
      <x:c r="D1606" s="195" t="str">
        <x:v>Людина з широкими знаннями або здібностями в певній темі.</x:v>
      </x:c>
      <x:c r="E1606" s="192" t="str">
        <x:v>AWL 6</x:v>
      </x:c>
      <x:c r="F1606" s="192" t="str">
        <x:v>Medium</x:v>
      </x:c>
      <x:c r="G1606" s="192" t="str">
        <x:v>Not Started</x:v>
      </x:c>
      <x:c r="H1606" s="192" t="n">
        <x:v>0</x:v>
      </x:c>
    </x:row>
    <x:row r="1607" ht="56" customHeight="1">
      <x:c r="A1607" s="192" t="str">
        <x:v>federal</x:v>
      </x:c>
      <x:c r="B1607" s="192" t="str">
        <x:v>word family</x:v>
      </x:c>
      <x:c r="C1607" s="194" t="str">
        <x:v>федеральний</x:v>
      </x:c>
      <x:c r="D1607" s="195" t="str">
        <x:v>Відноситься до рівня національного уряду у федеративній країні, на відміну від рівня штату, провінції, округу, міста чи селища.</x:v>
      </x:c>
      <x:c r="E1607" s="192" t="str">
        <x:v>AWL 6</x:v>
      </x:c>
      <x:c r="F1607" s="192" t="str">
        <x:v>Medium</x:v>
      </x:c>
      <x:c r="G1607" s="192" t="str">
        <x:v>Not Started</x:v>
      </x:c>
      <x:c r="H1607" s="192" t="n">
        <x:v>0</x:v>
      </x:c>
    </x:row>
    <x:row r="1608" ht="56" customHeight="1">
      <x:c r="A1608" s="192" t="str">
        <x:v>fees</x:v>
      </x:c>
      <x:c r="B1608" s="192" t="str">
        <x:v>word family</x:v>
      </x:c>
      <x:c r="C1608" s="194" t="str">
        <x:v>збори</x:v>
      </x:c>
      <x:c r="D1608" s="195" t="str">
        <x:v>Прізвище з нім.</x:v>
      </x:c>
      <x:c r="E1608" s="192" t="str">
        <x:v>AWL 6</x:v>
      </x:c>
      <x:c r="F1608" s="192" t="str">
        <x:v>Medium</x:v>
      </x:c>
      <x:c r="G1608" s="192" t="str">
        <x:v>Not Started</x:v>
      </x:c>
      <x:c r="H1608" s="192" t="n">
        <x:v>0</x:v>
      </x:c>
    </x:row>
    <x:row r="1609" ht="56" customHeight="1">
      <x:c r="A1609" s="192" t="str">
        <x:v>furthermore</x:v>
      </x:c>
      <x:c r="B1609" s="192" t="str">
        <x:v>word family</x:v>
      </x:c>
      <x:c r="C1609" s="194" t="str">
        <x:v>крім того</x:v>
      </x:c>
      <x:c r="D1609" s="195" t="str">
        <x:v>Крім того; крім того; далі; більше (тобто для позначення додаткової інформації).</x:v>
      </x:c>
      <x:c r="E1609" s="192" t="str">
        <x:v>AWL 6</x:v>
      </x:c>
      <x:c r="F1609" s="192" t="str">
        <x:v>Medium</x:v>
      </x:c>
      <x:c r="G1609" s="192" t="str">
        <x:v>Not Started</x:v>
      </x:c>
      <x:c r="H1609" s="192" t="n">
        <x:v>0</x:v>
      </x:c>
    </x:row>
    <x:row r="1610" ht="56" customHeight="1">
      <x:c r="A1610" s="192" t="str">
        <x:v>gender</x:v>
      </x:c>
      <x:c r="B1610" s="192" t="str">
        <x:v>word family</x:v>
      </x:c>
      <x:c r="C1610" s="194" t="str">
        <x:v>стать</x:v>
      </x:c>
      <x:c r="D1610" s="195" t="str">
        <x:v>Ідентифікація як чоловіка, жінки чи чогось іншого та асоціація з (соціальною) роллю або набором поведінкових і культурних рис, одягу тощо; категорія, до якої за цією ознакою належить особа.</x:v>
      </x:c>
      <x:c r="E1610" s="192" t="str">
        <x:v>AWL 6</x:v>
      </x:c>
      <x:c r="F1610" s="192" t="str">
        <x:v>Medium</x:v>
      </x:c>
      <x:c r="G1610" s="192" t="str">
        <x:v>Not Started</x:v>
      </x:c>
      <x:c r="H1610" s="192" t="n">
        <x:v>0</x:v>
      </x:c>
    </x:row>
    <x:row r="1611" ht="56" customHeight="1">
      <x:c r="A1611" s="192" t="str">
        <x:v>ignored</x:v>
      </x:c>
      <x:c r="B1611" s="192" t="str">
        <x:v>word family</x:v>
      </x:c>
      <x:c r="C1611" s="194" t="str">
        <x:v>ігнорується</x:v>
      </x:c>
      <x:c r="D1611" s="195" t="str">
        <x:v>знехтувати</x:v>
      </x:c>
      <x:c r="E1611" s="192" t="str">
        <x:v>AWL 6</x:v>
      </x:c>
      <x:c r="F1611" s="192" t="str">
        <x:v>Medium</x:v>
      </x:c>
      <x:c r="G1611" s="192" t="str">
        <x:v>Not Started</x:v>
      </x:c>
      <x:c r="H1611" s="192" t="n">
        <x:v>0</x:v>
      </x:c>
    </x:row>
    <x:row r="1612" ht="56" customHeight="1">
      <x:c r="A1612" s="192" t="str">
        <x:v>incentive</x:v>
      </x:c>
      <x:c r="B1612" s="192" t="str">
        <x:v>word family</x:v>
      </x:c>
      <x:c r="C1612" s="194" t="str">
        <x:v>стимул</x:v>
      </x:c>
      <x:c r="D1612" s="195" t="str">
        <x:v>Щось, що мотивує, збуджує або заохочує.</x:v>
      </x:c>
      <x:c r="E1612" s="192" t="str">
        <x:v>AWL 6</x:v>
      </x:c>
      <x:c r="F1612" s="192" t="str">
        <x:v>Medium</x:v>
      </x:c>
      <x:c r="G1612" s="192" t="str">
        <x:v>Not Started</x:v>
      </x:c>
      <x:c r="H1612" s="192" t="n">
        <x:v>0</x:v>
      </x:c>
    </x:row>
    <x:row r="1613" ht="56" customHeight="1">
      <x:c r="A1613" s="192" t="str">
        <x:v>incorporated</x:v>
      </x:c>
      <x:c r="B1613" s="192" t="str">
        <x:v>word family</x:v>
      </x:c>
      <x:c r="C1613" s="194" t="str">
        <x:v>включені</x:v>
      </x:c>
      <x:c r="D1613" s="195" t="str">
        <x:v>Будучи типом компанії, юридичною особою, де власність була організована в акції.</x:v>
      </x:c>
      <x:c r="E1613" s="192" t="str">
        <x:v>AWL 6</x:v>
      </x:c>
      <x:c r="F1613" s="192" t="str">
        <x:v>Medium</x:v>
      </x:c>
      <x:c r="G1613" s="192" t="str">
        <x:v>Not Started</x:v>
      </x:c>
      <x:c r="H1613" s="192" t="n">
        <x:v>0</x:v>
      </x:c>
    </x:row>
    <x:row r="1614" ht="56" customHeight="1">
      <x:c r="A1614" s="192" t="str">
        <x:v>index</x:v>
      </x:c>
      <x:c r="B1614" s="192" t="str">
        <x:v>word family</x:v>
      </x:c>
      <x:c r="C1614" s="194" t="str">
        <x:v>індекс</x:v>
      </x:c>
      <x:c r="D1614" s="195" t="str">
        <x:v>Алфавітний список предметів і їх розташування.</x:v>
      </x:c>
      <x:c r="E1614" s="192" t="str">
        <x:v>AWL 6</x:v>
      </x:c>
      <x:c r="F1614" s="192" t="str">
        <x:v>Medium</x:v>
      </x:c>
      <x:c r="G1614" s="192" t="str">
        <x:v>Not Started</x:v>
      </x:c>
      <x:c r="H1614" s="192" t="n">
        <x:v>0</x:v>
      </x:c>
    </x:row>
    <x:row r="1615" ht="56" customHeight="1">
      <x:c r="A1615" s="192" t="str">
        <x:v>inhibition</x:v>
      </x:c>
      <x:c r="B1615" s="192" t="str">
        <x:v>word family</x:v>
      </x:c>
      <x:c r="C1615" s="194" t="str">
        <x:v>гальмування</x:v>
      </x:c>
      <x:c r="D1615" s="195" t="str">
        <x:v>Акт гальмування.</x:v>
      </x:c>
      <x:c r="E1615" s="192" t="str">
        <x:v>AWL 6</x:v>
      </x:c>
      <x:c r="F1615" s="192" t="str">
        <x:v>Medium</x:v>
      </x:c>
      <x:c r="G1615" s="192" t="str">
        <x:v>Not Started</x:v>
      </x:c>
      <x:c r="H1615" s="192" t="n">
        <x:v>0</x:v>
      </x:c>
    </x:row>
    <x:row r="1616" ht="56" customHeight="1">
      <x:c r="A1616" s="192" t="str">
        <x:v>initiatives</x:v>
      </x:c>
      <x:c r="B1616" s="192" t="str">
        <x:v>word family</x:v>
      </x:c>
      <x:c r="C1616" s="194" t="str">
        <x:v>ініціативи</x:v>
      </x:c>
      <x:c r="D1616" s="195" t="str">
        <x:v>початок; перший крок.</x:v>
      </x:c>
      <x:c r="E1616" s="192" t="str">
        <x:v>AWL 6</x:v>
      </x:c>
      <x:c r="F1616" s="192" t="str">
        <x:v>Medium</x:v>
      </x:c>
      <x:c r="G1616" s="192" t="str">
        <x:v>Not Started</x:v>
      </x:c>
      <x:c r="H1616" s="192" t="n">
        <x:v>0</x:v>
      </x:c>
    </x:row>
    <x:row r="1617" ht="56" customHeight="1">
      <x:c r="A1617" s="192" t="str">
        <x:v>input</x:v>
      </x:c>
      <x:c r="B1617" s="192" t="str">
        <x:v>word family</x:v>
      </x:c>
      <x:c r="C1617" s="194" t="str">
        <x:v>введення</x:v>
      </x:c>
      <x:c r="D1617" s="195" t="str">
        <x:v>Дані, що вводяться в процес, мають намір формувати чи впливати на результат цього процесу.</x:v>
      </x:c>
      <x:c r="E1617" s="192" t="str">
        <x:v>AWL 6</x:v>
      </x:c>
      <x:c r="F1617" s="192" t="str">
        <x:v>Medium</x:v>
      </x:c>
      <x:c r="G1617" s="192" t="str">
        <x:v>Not Started</x:v>
      </x:c>
      <x:c r="H1617" s="192" t="n">
        <x:v>0</x:v>
      </x:c>
    </x:row>
    <x:row r="1618" ht="56" customHeight="1">
      <x:c r="A1618" s="192" t="str">
        <x:v>instructions</x:v>
      </x:c>
      <x:c r="B1618" s="192" t="str">
        <x:v>word family</x:v>
      </x:c>
      <x:c r="C1618" s="194" t="str">
        <x:v>інструкції</x:v>
      </x:c>
      <x:c r="D1618" s="195" t="str">
        <x:v>Вказівки, які пояснюють, що або як потрібно зробити.</x:v>
      </x:c>
      <x:c r="E1618" s="192" t="str">
        <x:v>AWL 6</x:v>
      </x:c>
      <x:c r="F1618" s="192" t="str">
        <x:v>Medium</x:v>
      </x:c>
      <x:c r="G1618" s="192" t="str">
        <x:v>Not Started</x:v>
      </x:c>
      <x:c r="H1618" s="192" t="n">
        <x:v>0</x:v>
      </x:c>
    </x:row>
    <x:row r="1619" ht="56" customHeight="1">
      <x:c r="A1619" s="192" t="str">
        <x:v>intelligence</x:v>
      </x:c>
      <x:c r="B1619" s="192" t="str">
        <x:v>word family</x:v>
      </x:c>
      <x:c r="C1619" s="194" t="str">
        <x:v>інтелект</x:v>
      </x:c>
      <x:c r="D1619" s="195" t="str">
        <x:v>Здатність розуму, особливо розуміти принципи, істини, факти чи значення, здобувати знання та застосовувати їх на практиці; здатність осягати і вчитися;</x:v>
      </x:c>
      <x:c r="E1619" s="192" t="str">
        <x:v>AWL 6</x:v>
      </x:c>
      <x:c r="F1619" s="192" t="str">
        <x:v>Medium</x:v>
      </x:c>
      <x:c r="G1619" s="192" t="str">
        <x:v>Not Started</x:v>
      </x:c>
      <x:c r="H1619" s="192" t="n">
        <x:v>0</x:v>
      </x:c>
    </x:row>
    <x:row r="1620" ht="56" customHeight="1">
      <x:c r="A1620" s="192" t="str">
        <x:v>interval</x:v>
      </x:c>
      <x:c r="B1620" s="192" t="str">
        <x:v>word family</x:v>
      </x:c>
      <x:c r="C1620" s="194" t="str">
        <x:v>інтервал</x:v>
      </x:c>
      <x:c r="D1620" s="195" t="str">
        <x:v>Період часу.</x:v>
      </x:c>
      <x:c r="E1620" s="192" t="str">
        <x:v>AWL 6</x:v>
      </x:c>
      <x:c r="F1620" s="192" t="str">
        <x:v>Medium</x:v>
      </x:c>
      <x:c r="G1620" s="192" t="str">
        <x:v>Not Started</x:v>
      </x:c>
      <x:c r="H1620" s="192" t="n">
        <x:v>0</x:v>
      </x:c>
    </x:row>
    <x:row r="1621" ht="56" customHeight="1">
      <x:c r="A1621" s="192" t="str">
        <x:v>lecture</x:v>
      </x:c>
      <x:c r="B1621" s="192" t="str">
        <x:v>word family</x:v>
      </x:c>
      <x:c r="C1621" s="194" t="str">
        <x:v>лекція</x:v>
      </x:c>
      <x:c r="D1621" s="195" t="str">
        <x:v>Розмовний урок або експозиція, як правило, для групи.</x:v>
      </x:c>
      <x:c r="E1621" s="192" t="str">
        <x:v>AWL 6</x:v>
      </x:c>
      <x:c r="F1621" s="192" t="str">
        <x:v>Medium</x:v>
      </x:c>
      <x:c r="G1621" s="192" t="str">
        <x:v>Not Started</x:v>
      </x:c>
      <x:c r="H1621" s="192" t="n">
        <x:v>0</x:v>
      </x:c>
    </x:row>
    <x:row r="1622" ht="56" customHeight="1">
      <x:c r="A1622" s="192" t="str">
        <x:v>minimum</x:v>
      </x:c>
      <x:c r="B1622" s="192" t="str">
        <x:v>word family</x:v>
      </x:c>
      <x:c r="C1622" s="194" t="str">
        <x:v>мінімум</x:v>
      </x:c>
      <x:c r="D1622" s="195" t="str">
        <x:v>Найменша сума.</x:v>
      </x:c>
      <x:c r="E1622" s="192" t="str">
        <x:v>AWL 6</x:v>
      </x:c>
      <x:c r="F1622" s="192" t="str">
        <x:v>Medium</x:v>
      </x:c>
      <x:c r="G1622" s="192" t="str">
        <x:v>Not Started</x:v>
      </x:c>
      <x:c r="H1622" s="192" t="n">
        <x:v>0</x:v>
      </x:c>
    </x:row>
    <x:row r="1623" ht="56" customHeight="1">
      <x:c r="A1623" s="192" t="str">
        <x:v>motivation</x:v>
      </x:c>
      <x:c r="B1623" s="192" t="str">
        <x:v>word family</x:v>
      </x:c>
      <x:c r="C1623" s="194" t="str">
        <x:v>мотивація</x:v>
      </x:c>
      <x:c r="D1623" s="195" t="str">
        <x:v>Стимул або причина щось робити.</x:v>
      </x:c>
      <x:c r="E1623" s="192" t="str">
        <x:v>AWL 6</x:v>
      </x:c>
      <x:c r="F1623" s="192" t="str">
        <x:v>Medium</x:v>
      </x:c>
      <x:c r="G1623" s="192" t="str">
        <x:v>Not Started</x:v>
      </x:c>
      <x:c r="H1623" s="192" t="n">
        <x:v>0</x:v>
      </x:c>
    </x:row>
    <x:row r="1624" ht="56" customHeight="1">
      <x:c r="A1624" s="192" t="str">
        <x:v>neutral</x:v>
      </x:c>
      <x:c r="B1624" s="192" t="str">
        <x:v>word family</x:v>
      </x:c>
      <x:c r="C1624" s="194" t="str">
        <x:v>нейтральний</x:v>
      </x:c>
      <x:c r="D1624" s="195" t="str">
        <x:v>Не приймати сторону в конфлікті, наприклад війні; позаблокових.</x:v>
      </x:c>
      <x:c r="E1624" s="192" t="str">
        <x:v>AWL 6</x:v>
      </x:c>
      <x:c r="F1624" s="192" t="str">
        <x:v>Medium</x:v>
      </x:c>
      <x:c r="G1624" s="192" t="str">
        <x:v>Not Started</x:v>
      </x:c>
      <x:c r="H1624" s="192" t="n">
        <x:v>0</x:v>
      </x:c>
    </x:row>
    <x:row r="1625" ht="56" customHeight="1">
      <x:c r="A1625" s="192" t="str">
        <x:v>nevertheless</x:v>
      </x:c>
      <x:c r="B1625" s="192" t="str">
        <x:v>word family</x:v>
      </x:c>
      <x:c r="C1625" s="194" t="str">
        <x:v>тим не менш</x:v>
      </x:c>
      <x:c r="D1625" s="195" t="str">
        <x:v>Незважаючи на те, що передувало; ще.</x:v>
      </x:c>
      <x:c r="E1625" s="192" t="str">
        <x:v>AWL 6</x:v>
      </x:c>
      <x:c r="F1625" s="192" t="str">
        <x:v>Medium</x:v>
      </x:c>
      <x:c r="G1625" s="192" t="str">
        <x:v>Not Started</x:v>
      </x:c>
      <x:c r="H1625" s="192" t="n">
        <x:v>0</x:v>
      </x:c>
    </x:row>
    <x:row r="1626" ht="56" customHeight="1">
      <x:c r="A1626" s="192" t="str">
        <x:v>overseas</x:v>
      </x:c>
      <x:c r="B1626" s="192" t="str">
        <x:v>word family</x:v>
      </x:c>
      <x:c r="C1626" s="194" t="str">
        <x:v>за кордоном</x:v>
      </x:c>
      <x:c r="D1626" s="195" t="str">
        <x:v>За кордон, особливо за море.</x:v>
      </x:c>
      <x:c r="E1626" s="192" t="str">
        <x:v>AWL 6</x:v>
      </x:c>
      <x:c r="F1626" s="192" t="str">
        <x:v>Medium</x:v>
      </x:c>
      <x:c r="G1626" s="192" t="str">
        <x:v>Not Started</x:v>
      </x:c>
      <x:c r="H1626" s="192" t="n">
        <x:v>0</x:v>
      </x:c>
    </x:row>
    <x:row r="1627" ht="56" customHeight="1">
      <x:c r="A1627" s="192" t="str">
        <x:v>preceding</x:v>
      </x:c>
      <x:c r="B1627" s="192" t="str">
        <x:v>word family</x:v>
      </x:c>
      <x:c r="C1627" s="194" t="str">
        <x:v>попередній</x:v>
      </x:c>
      <x:c r="D1627" s="195" t="str">
        <x:v>Відбувається до або перед чимось іншим, у часі, місці, ранзі чи послідовності.</x:v>
      </x:c>
      <x:c r="E1627" s="192" t="str">
        <x:v>AWL 6</x:v>
      </x:c>
      <x:c r="F1627" s="192" t="str">
        <x:v>Medium</x:v>
      </x:c>
      <x:c r="G1627" s="192" t="str">
        <x:v>Not Started</x:v>
      </x:c>
      <x:c r="H1627" s="192" t="n">
        <x:v>0</x:v>
      </x:c>
    </x:row>
    <x:row r="1628" ht="56" customHeight="1">
      <x:c r="A1628" s="192" t="str">
        <x:v>presumption</x:v>
      </x:c>
      <x:c r="B1628" s="192" t="str">
        <x:v>word family</x:v>
      </x:c>
      <x:c r="C1628" s="194" t="str">
        <x:v>презумпція</x:v>
      </x:c>
      <x:c r="D1628" s="195" t="str">
        <x:v>Віра в щось, що ґрунтується на розумних доказах або на чомусь, що відомо як істина.</x:v>
      </x:c>
      <x:c r="E1628" s="192" t="str">
        <x:v>AWL 6</x:v>
      </x:c>
      <x:c r="F1628" s="192" t="str">
        <x:v>Medium</x:v>
      </x:c>
      <x:c r="G1628" s="192" t="str">
        <x:v>Not Started</x:v>
      </x:c>
      <x:c r="H1628" s="192" t="n">
        <x:v>0</x:v>
      </x:c>
    </x:row>
    <x:row r="1629" ht="56" customHeight="1">
      <x:c r="A1629" s="192" t="str">
        <x:v>recovery</x:v>
      </x:c>
      <x:c r="B1629" s="192" t="str">
        <x:v>word family</x:v>
      </x:c>
      <x:c r="C1629" s="194" t="str">
        <x:v>відновлення</x:v>
      </x:c>
      <x:c r="D1629" s="195" t="str">
        <x:v>Повернення до нормального здоров'я.</x:v>
      </x:c>
      <x:c r="E1629" s="192" t="str">
        <x:v>AWL 6</x:v>
      </x:c>
      <x:c r="F1629" s="192" t="str">
        <x:v>Medium</x:v>
      </x:c>
      <x:c r="G1629" s="192" t="str">
        <x:v>Not Started</x:v>
      </x:c>
      <x:c r="H1629" s="192" t="n">
        <x:v>0</x:v>
      </x:c>
    </x:row>
    <x:row r="1630" ht="56" customHeight="1">
      <x:c r="A1630" s="192" t="str">
        <x:v>revealed</x:v>
      </x:c>
      <x:c r="B1630" s="192" t="str">
        <x:v>word family</x:v>
      </x:c>
      <x:c r="C1630" s="194" t="str">
        <x:v>виявлено</x:v>
      </x:c>
      <x:c r="D1630" s="195" t="str">
        <x:v>Про одкровення божества людству або пов’язані з ним.</x:v>
      </x:c>
      <x:c r="E1630" s="192" t="str">
        <x:v>AWL 6</x:v>
      </x:c>
      <x:c r="F1630" s="192" t="str">
        <x:v>Medium</x:v>
      </x:c>
      <x:c r="G1630" s="192" t="str">
        <x:v>Not Started</x:v>
      </x:c>
      <x:c r="H1630" s="192" t="n">
        <x:v>0</x:v>
      </x:c>
    </x:row>
    <x:row r="1631" ht="56" customHeight="1">
      <x:c r="A1631" s="192" t="str">
        <x:v>subsidiary</x:v>
      </x:c>
      <x:c r="B1631" s="192" t="str">
        <x:v>word family</x:v>
      </x:c>
      <x:c r="C1631" s="194" t="str">
        <x:v>дочірнє підприємство</x:v>
      </x:c>
      <x:c r="D1631" s="195" t="str">
        <x:v>Компанія, що належить материнській компанії або холдинговій компанії, також називається дочірньою компанією або дочірньою компанією.</x:v>
      </x:c>
      <x:c r="E1631" s="192" t="str">
        <x:v>AWL 6</x:v>
      </x:c>
      <x:c r="F1631" s="192" t="str">
        <x:v>Medium</x:v>
      </x:c>
      <x:c r="G1631" s="192" t="str">
        <x:v>Not Started</x:v>
      </x:c>
      <x:c r="H1631" s="192" t="n">
        <x:v>0</x:v>
      </x:c>
    </x:row>
    <x:row r="1632" ht="56" customHeight="1">
      <x:c r="A1632" s="192" t="str">
        <x:v>tapes</x:v>
      </x:c>
      <x:c r="B1632" s="192" t="str">
        <x:v>word family</x:v>
      </x:c>
      <x:c r="C1632" s="194" t="str">
        <x:v>стрічки</x:v>
      </x:c>
      <x:c r="D1632" s="195" t="str">
        <x:v>Гнучкий матеріал в рулоні з липкою поверхнею з одного або обох боків; липка стрічка.</x:v>
      </x:c>
      <x:c r="E1632" s="192" t="str">
        <x:v>AWL 6</x:v>
      </x:c>
      <x:c r="F1632" s="192" t="str">
        <x:v>Medium</x:v>
      </x:c>
      <x:c r="G1632" s="192" t="str">
        <x:v>Not Started</x:v>
      </x:c>
      <x:c r="H1632" s="192" t="n">
        <x:v>0</x:v>
      </x:c>
    </x:row>
    <x:row r="1633" ht="56" customHeight="1">
      <x:c r="A1633" s="192" t="str">
        <x:v>transport</x:v>
      </x:c>
      <x:c r="B1633" s="192" t="str">
        <x:v>word family</x:v>
      </x:c>
      <x:c r="C1633" s="194" t="str">
        <x:v>транспорт</x:v>
      </x:c>
      <x:c r="D1633" s="195" t="str">
        <x:v>Переносити або нести з одного місця на інше; видаляти; передати.</x:v>
      </x:c>
      <x:c r="E1633" s="192" t="str">
        <x:v>AWL 6</x:v>
      </x:c>
      <x:c r="F1633" s="192" t="str">
        <x:v>Medium</x:v>
      </x:c>
      <x:c r="G1633" s="192" t="str">
        <x:v>Not Started</x:v>
      </x:c>
      <x:c r="H1633" s="192" t="n">
        <x:v>0</x:v>
      </x:c>
    </x:row>
    <x:row r="1634" ht="56" customHeight="1">
      <x:c r="A1634" s="192" t="str">
        <x:v>adults</x:v>
      </x:c>
      <x:c r="B1634" s="192" t="str">
        <x:v>word family</x:v>
      </x:c>
      <x:c r="C1634" s="194" t="str">
        <x:v>дорослі</x:v>
      </x:c>
      <x:c r="D1634" s="195" t="str">
        <x:v>Особа, яка досягла повноліття.</x:v>
      </x:c>
      <x:c r="E1634" s="192" t="str">
        <x:v>AWL 7</x:v>
      </x:c>
      <x:c r="F1634" s="192" t="str">
        <x:v>Medium</x:v>
      </x:c>
      <x:c r="G1634" s="192" t="str">
        <x:v>Not Started</x:v>
      </x:c>
      <x:c r="H1634" s="192" t="n">
        <x:v>0</x:v>
      </x:c>
    </x:row>
    <x:row r="1635" ht="56" customHeight="1">
      <x:c r="A1635" s="192" t="str">
        <x:v>aid</x:v>
      </x:c>
      <x:c r="B1635" s="192" t="str">
        <x:v>word family</x:v>
      </x:c>
      <x:c r="C1635" s="194" t="str">
        <x:v>допомога</x:v>
      </x:c>
      <x:c r="D1635" s="195" t="str">
        <x:v>допомога; допомога; допомога, полегшення.</x:v>
      </x:c>
      <x:c r="E1635" s="192" t="str">
        <x:v>AWL 7</x:v>
      </x:c>
      <x:c r="F1635" s="192" t="str">
        <x:v>Medium</x:v>
      </x:c>
      <x:c r="G1635" s="192" t="str">
        <x:v>Not Started</x:v>
      </x:c>
      <x:c r="H1635" s="192" t="n">
        <x:v>0</x:v>
      </x:c>
    </x:row>
    <x:row r="1636" ht="56" customHeight="1">
      <x:c r="A1636" s="192" t="str">
        <x:v>channel</x:v>
      </x:c>
      <x:c r="B1636" s="192" t="str">
        <x:v>word family</x:v>
      </x:c>
      <x:c r="C1636" s="194" t="str">
        <x:v>канал</x:v>
      </x:c>
      <x:c r="D1636" s="195" t="str">
        <x:v>Щось, через що проходить інша річ; засіб передачі або передачі.</x:v>
      </x:c>
      <x:c r="E1636" s="192" t="str">
        <x:v>AWL 7</x:v>
      </x:c>
      <x:c r="F1636" s="192" t="str">
        <x:v>Medium</x:v>
      </x:c>
      <x:c r="G1636" s="192" t="str">
        <x:v>Not Started</x:v>
      </x:c>
      <x:c r="H1636" s="192" t="n">
        <x:v>0</x:v>
      </x:c>
    </x:row>
    <x:row r="1637" ht="56" customHeight="1">
      <x:c r="A1637" s="192" t="str">
        <x:v>chemical</x:v>
      </x:c>
      <x:c r="B1637" s="192" t="str">
        <x:v>word family</x:v>
      </x:c>
      <x:c r="C1637" s="194" t="str">
        <x:v>хімічний</x:v>
      </x:c>
      <x:c r="D1637" s="195" t="str">
        <x:v>З хімії або пов'язаної з нею.</x:v>
      </x:c>
      <x:c r="E1637" s="192" t="str">
        <x:v>AWL 7</x:v>
      </x:c>
      <x:c r="F1637" s="192" t="str">
        <x:v>Medium</x:v>
      </x:c>
      <x:c r="G1637" s="192" t="str">
        <x:v>Not Started</x:v>
      </x:c>
      <x:c r="H1637" s="192" t="n">
        <x:v>0</x:v>
      </x:c>
    </x:row>
    <x:row r="1638" ht="56" customHeight="1">
      <x:c r="A1638" s="192" t="str">
        <x:v>classical</x:v>
      </x:c>
      <x:c r="B1638" s="192" t="str">
        <x:v>word family</x:v>
      </x:c>
      <x:c r="C1638" s="194" t="str">
        <x:v>класичний</x:v>
      </x:c>
      <x:c r="D1638" s="195" t="str">
        <x:v>Опис західної музики та музикантів кінця 18-го та початку 19-го століть.</x:v>
      </x:c>
      <x:c r="E1638" s="192" t="str">
        <x:v>AWL 7</x:v>
      </x:c>
      <x:c r="F1638" s="192" t="str">
        <x:v>Medium</x:v>
      </x:c>
      <x:c r="G1638" s="192" t="str">
        <x:v>Not Started</x:v>
      </x:c>
      <x:c r="H1638" s="192" t="n">
        <x:v>0</x:v>
      </x:c>
    </x:row>
    <x:row r="1639" ht="56" customHeight="1">
      <x:c r="A1639" s="192" t="str">
        <x:v>comprehensive</x:v>
      </x:c>
      <x:c r="B1639" s="192" t="str">
        <x:v>word family</x:v>
      </x:c>
      <x:c r="C1639" s="194" t="str">
        <x:v>комплексний</x:v>
      </x:c>
      <x:c r="D1639" s="195" t="str">
        <x:v>Широко або повністю покриває; включаючи велику частку чогось.</x:v>
      </x:c>
      <x:c r="E1639" s="192" t="str">
        <x:v>AWL 7</x:v>
      </x:c>
      <x:c r="F1639" s="192" t="str">
        <x:v>Medium</x:v>
      </x:c>
      <x:c r="G1639" s="192" t="str">
        <x:v>Not Started</x:v>
      </x:c>
      <x:c r="H1639" s="192" t="n">
        <x:v>0</x:v>
      </x:c>
    </x:row>
    <x:row r="1640" ht="56" customHeight="1">
      <x:c r="A1640" s="192" t="str">
        <x:v>comprise</x:v>
      </x:c>
      <x:c r="B1640" s="192" t="str">
        <x:v>word family</x:v>
      </x:c>
      <x:c r="C1640" s="194" t="str">
        <x:v>включати</x:v>
      </x:c>
      <x:c r="D1640" s="195" t="str">
        <x:v>Бути складений з; складатися з (особливо повний перелік частин).</x:v>
      </x:c>
      <x:c r="E1640" s="192" t="str">
        <x:v>AWL 7</x:v>
      </x:c>
      <x:c r="F1640" s="192" t="str">
        <x:v>Medium</x:v>
      </x:c>
      <x:c r="G1640" s="192" t="str">
        <x:v>Not Started</x:v>
      </x:c>
      <x:c r="H1640" s="192" t="n">
        <x:v>0</x:v>
      </x:c>
    </x:row>
    <x:row r="1641" ht="56" customHeight="1">
      <x:c r="A1641" s="192" t="str">
        <x:v>confirmed</x:v>
      </x:c>
      <x:c r="B1641" s="192" t="str">
        <x:v>word family</x:v>
      </x:c>
      <x:c r="C1641" s="194" t="str">
        <x:v>підтверджено</x:v>
      </x:c>
      <x:c r="D1641" s="195" t="str">
        <x:v>Перевірено або ратифіковано.</x:v>
      </x:c>
      <x:c r="E1641" s="192" t="str">
        <x:v>AWL 7</x:v>
      </x:c>
      <x:c r="F1641" s="192" t="str">
        <x:v>Medium</x:v>
      </x:c>
      <x:c r="G1641" s="192" t="str">
        <x:v>Not Started</x:v>
      </x:c>
      <x:c r="H1641" s="192" t="n">
        <x:v>0</x:v>
      </x:c>
    </x:row>
    <x:row r="1642" ht="56" customHeight="1">
      <x:c r="A1642" s="192" t="str">
        <x:v>converted</x:v>
      </x:c>
      <x:c r="B1642" s="192" t="str">
        <x:v>word family</x:v>
      </x:c>
      <x:c r="C1642" s="194" t="str">
        <x:v>перетворений</x:v>
      </x:c>
      <x:c r="D1642" s="195" t="str">
        <x:v>змінилася форма чи функція тощо.</x:v>
      </x:c>
      <x:c r="E1642" s="192" t="str">
        <x:v>AWL 7</x:v>
      </x:c>
      <x:c r="F1642" s="192" t="str">
        <x:v>Medium</x:v>
      </x:c>
      <x:c r="G1642" s="192" t="str">
        <x:v>Not Started</x:v>
      </x:c>
      <x:c r="H1642" s="192" t="n">
        <x:v>0</x:v>
      </x:c>
    </x:row>
    <x:row r="1643" ht="56" customHeight="1">
      <x:c r="A1643" s="192" t="str">
        <x:v>couple</x:v>
      </x:c>
      <x:c r="B1643" s="192" t="str">
        <x:v>word family</x:v>
      </x:c>
      <x:c r="C1643" s="194" t="str">
        <x:v>пара</x:v>
      </x:c>
      <x:c r="D1643" s="195" t="str">
        <x:v>Два партнери в романтичних або сексуальних стосунках.</x:v>
      </x:c>
      <x:c r="E1643" s="192" t="str">
        <x:v>AWL 7</x:v>
      </x:c>
      <x:c r="F1643" s="192" t="str">
        <x:v>Medium</x:v>
      </x:c>
      <x:c r="G1643" s="192" t="str">
        <x:v>Not Started</x:v>
      </x:c>
      <x:c r="H1643" s="192" t="n">
        <x:v>0</x:v>
      </x:c>
    </x:row>
    <x:row r="1644" ht="56" customHeight="1">
      <x:c r="A1644" s="192" t="str">
        <x:v>decades</x:v>
      </x:c>
      <x:c r="B1644" s="192" t="str">
        <x:v>word family</x:v>
      </x:c>
      <x:c r="C1644" s="194" t="str">
        <x:v>десятиліть</x:v>
      </x:c>
      <x:c r="D1644" s="195" t="str">
        <x:v>Періоди тривалістю по десять років.</x:v>
      </x:c>
      <x:c r="E1644" s="192" t="str">
        <x:v>AWL 7</x:v>
      </x:c>
      <x:c r="F1644" s="192" t="str">
        <x:v>Medium</x:v>
      </x:c>
      <x:c r="G1644" s="192" t="str">
        <x:v>Not Started</x:v>
      </x:c>
      <x:c r="H1644" s="192" t="n">
        <x:v>0</x:v>
      </x:c>
    </x:row>
    <x:row r="1645" ht="56" customHeight="1">
      <x:c r="A1645" s="192" t="str">
        <x:v>definite</x:v>
      </x:c>
      <x:c r="B1645" s="192" t="str">
        <x:v>word family</x:v>
      </x:c>
      <x:c r="C1645" s="194" t="str">
        <x:v>певний</x:v>
      </x:c>
      <x:c r="D1645" s="195" t="str">
        <x:v>Без жодних сумнівів.</x:v>
      </x:c>
      <x:c r="E1645" s="192" t="str">
        <x:v>AWL 7</x:v>
      </x:c>
      <x:c r="F1645" s="192" t="str">
        <x:v>Medium</x:v>
      </x:c>
      <x:c r="G1645" s="192" t="str">
        <x:v>Not Started</x:v>
      </x:c>
      <x:c r="H1645" s="192" t="n">
        <x:v>0</x:v>
      </x:c>
    </x:row>
    <x:row r="1646" ht="56" customHeight="1">
      <x:c r="A1646" s="192" t="str">
        <x:v>deny</x:v>
      </x:c>
      <x:c r="B1646" s="192" t="str">
        <x:v>word family</x:v>
      </x:c>
      <x:c r="C1646" s="194" t="str">
        <x:v>заперечувати</x:v>
      </x:c>
      <x:c r="D1646" s="195" t="str">
        <x:v>Стверджувати, що щось неправда.</x:v>
      </x:c>
      <x:c r="E1646" s="192" t="str">
        <x:v>AWL 7</x:v>
      </x:c>
      <x:c r="F1646" s="192" t="str">
        <x:v>Medium</x:v>
      </x:c>
      <x:c r="G1646" s="192" t="str">
        <x:v>Not Started</x:v>
      </x:c>
      <x:c r="H1646" s="192" t="n">
        <x:v>0</x:v>
      </x:c>
    </x:row>
    <x:row r="1647" ht="56" customHeight="1">
      <x:c r="A1647" s="192" t="str">
        <x:v>differentiation</x:v>
      </x:c>
      <x:c r="B1647" s="192" t="str">
        <x:v>word family</x:v>
      </x:c>
      <x:c r="C1647" s="194" t="str">
        <x:v>диференціація</x:v>
      </x:c>
      <x:c r="D1647" s="195" t="str">
        <x:v>Акт або процес диференціювання (загалом без спеціального сенсу).</x:v>
      </x:c>
      <x:c r="E1647" s="192" t="str">
        <x:v>AWL 7</x:v>
      </x:c>
      <x:c r="F1647" s="192" t="str">
        <x:v>Medium</x:v>
      </x:c>
      <x:c r="G1647" s="192" t="str">
        <x:v>Not Started</x:v>
      </x:c>
      <x:c r="H1647" s="192" t="n">
        <x:v>0</x:v>
      </x:c>
    </x:row>
    <x:row r="1648" ht="56" customHeight="1">
      <x:c r="A1648" s="192" t="str">
        <x:v>eliminate</x:v>
      </x:c>
      <x:c r="B1648" s="192" t="str">
        <x:v>word family</x:v>
      </x:c>
      <x:c r="C1648" s="194" t="str">
        <x:v>ліквідувати</x:v>
      </x:c>
      <x:c r="D1648" s="195" t="str">
        <x:v>Повністю прибрати, позбутися, покінчити.</x:v>
      </x:c>
      <x:c r="E1648" s="192" t="str">
        <x:v>AWL 7</x:v>
      </x:c>
      <x:c r="F1648" s="192" t="str">
        <x:v>Medium</x:v>
      </x:c>
      <x:c r="G1648" s="192" t="str">
        <x:v>Not Started</x:v>
      </x:c>
      <x:c r="H1648" s="192" t="n">
        <x:v>0</x:v>
      </x:c>
    </x:row>
    <x:row r="1649" ht="56" customHeight="1">
      <x:c r="A1649" s="192" t="str">
        <x:v>equipment</x:v>
      </x:c>
      <x:c r="B1649" s="192" t="str">
        <x:v>word family</x:v>
      </x:c>
      <x:c r="C1649" s="194" t="str">
        <x:v>обладнання</x:v>
      </x:c>
      <x:c r="D1649" s="195" t="str">
        <x:v>Будь-які предмети, які використовуються для спорядження чогось або когось, наприклад речі, необхідні для експедиції чи плавання.</x:v>
      </x:c>
      <x:c r="E1649" s="192" t="str">
        <x:v>AWL 7</x:v>
      </x:c>
      <x:c r="F1649" s="192" t="str">
        <x:v>Medium</x:v>
      </x:c>
      <x:c r="G1649" s="192" t="str">
        <x:v>Not Started</x:v>
      </x:c>
      <x:c r="H1649" s="192" t="n">
        <x:v>0</x:v>
      </x:c>
    </x:row>
    <x:row r="1650" ht="56" customHeight="1">
      <x:c r="A1650" s="192" t="str">
        <x:v>file</x:v>
      </x:c>
      <x:c r="B1650" s="192" t="str">
        <x:v>word family</x:v>
      </x:c>
      <x:c r="C1650" s="194" t="str">
        <x:v>файл</x:v>
      </x:c>
      <x:c r="D1650" s="195" t="str">
        <x:v>Збірка документів, зібраних і архівованих разом.</x:v>
      </x:c>
      <x:c r="E1650" s="192" t="str">
        <x:v>AWL 7</x:v>
      </x:c>
      <x:c r="F1650" s="192" t="str">
        <x:v>Medium</x:v>
      </x:c>
      <x:c r="G1650" s="192" t="str">
        <x:v>Not Started</x:v>
      </x:c>
      <x:c r="H1650" s="192" t="n">
        <x:v>0</x:v>
      </x:c>
    </x:row>
    <x:row r="1651" ht="56" customHeight="1">
      <x:c r="A1651" s="192" t="str">
        <x:v>finite</x:v>
      </x:c>
      <x:c r="B1651" s="192" t="str">
        <x:v>word family</x:v>
      </x:c>
      <x:c r="C1651" s="194" t="str">
        <x:v>кінцевий</x:v>
      </x:c>
      <x:c r="D1651" s="195" t="str">
        <x:v>Такий, що має визначену межу, кінець або обмежену кількість.</x:v>
      </x:c>
      <x:c r="E1651" s="192" t="str">
        <x:v>AWL 7</x:v>
      </x:c>
      <x:c r="F1651" s="192" t="str">
        <x:v>Medium</x:v>
      </x:c>
      <x:c r="G1651" s="192" t="str">
        <x:v>Not Started</x:v>
      </x:c>
      <x:c r="H1651" s="192" t="n">
        <x:v>0</x:v>
      </x:c>
    </x:row>
    <x:row r="1652" ht="56" customHeight="1">
      <x:c r="A1652" s="192" t="str">
        <x:v>foundation</x:v>
      </x:c>
      <x:c r="B1652" s="192" t="str">
        <x:v>word family</x:v>
      </x:c>
      <x:c r="C1652" s="194" t="str">
        <x:v>основа</x:v>
      </x:c>
      <x:c r="D1652" s="195" t="str">
        <x:v>Те, на чому все засновано; те, на чому що-небудь стоїть і чим воно підтримується; нижній і опорний шар надбудови; підбудова.</x:v>
      </x:c>
      <x:c r="E1652" s="192" t="str">
        <x:v>AWL 7</x:v>
      </x:c>
      <x:c r="F1652" s="192" t="str">
        <x:v>Medium</x:v>
      </x:c>
      <x:c r="G1652" s="192" t="str">
        <x:v>Not Started</x:v>
      </x:c>
      <x:c r="H1652" s="192" t="n">
        <x:v>0</x:v>
      </x:c>
    </x:row>
    <x:row r="1653" ht="56" customHeight="1">
      <x:c r="A1653" s="192" t="str">
        <x:v>global</x:v>
      </x:c>
      <x:c r="B1653" s="192" t="str">
        <x:v>word family</x:v>
      </x:c>
      <x:c r="C1653" s="194" t="str">
        <x:v>глобальний</x:v>
      </x:c>
      <x:c r="D1653" s="195" t="str">
        <x:v>Щодо всіх частин світу.</x:v>
      </x:c>
      <x:c r="E1653" s="192" t="str">
        <x:v>AWL 7</x:v>
      </x:c>
      <x:c r="F1653" s="192" t="str">
        <x:v>Medium</x:v>
      </x:c>
      <x:c r="G1653" s="192" t="str">
        <x:v>Not Started</x:v>
      </x:c>
      <x:c r="H1653" s="192" t="n">
        <x:v>0</x:v>
      </x:c>
    </x:row>
    <x:row r="1654" ht="56" customHeight="1">
      <x:c r="A1654" s="192" t="str">
        <x:v>grade</x:v>
      </x:c>
      <x:c r="B1654" s="192" t="str">
        <x:v>word family</x:v>
      </x:c>
      <x:c r="C1654" s="194" t="str">
        <x:v>клас</x:v>
      </x:c>
      <x:c r="D1654" s="195" t="str">
        <x:v>Виконання тесту чи іншого оцінювання, виражене цифрою, літерою чи іншим символом; оцінка.</x:v>
      </x:c>
      <x:c r="E1654" s="192" t="str">
        <x:v>AWL 7</x:v>
      </x:c>
      <x:c r="F1654" s="192" t="str">
        <x:v>Medium</x:v>
      </x:c>
      <x:c r="G1654" s="192" t="str">
        <x:v>Not Started</x:v>
      </x:c>
      <x:c r="H1654" s="192" t="n">
        <x:v>0</x:v>
      </x:c>
    </x:row>
    <x:row r="1655" ht="56" customHeight="1">
      <x:c r="A1655" s="192" t="str">
        <x:v>guarantee</x:v>
      </x:c>
      <x:c r="B1655" s="192" t="str">
        <x:v>word family</x:v>
      </x:c>
      <x:c r="C1655" s="194" t="str">
        <x:v>гарантія</x:v>
      </x:c>
      <x:c r="D1655" s="195" t="str">
        <x:v>Все, що забезпечує певний результат.</x:v>
      </x:c>
      <x:c r="E1655" s="192" t="str">
        <x:v>AWL 7</x:v>
      </x:c>
      <x:c r="F1655" s="192" t="str">
        <x:v>Medium</x:v>
      </x:c>
      <x:c r="G1655" s="192" t="str">
        <x:v>Not Started</x:v>
      </x:c>
      <x:c r="H1655" s="192" t="n">
        <x:v>0</x:v>
      </x:c>
    </x:row>
    <x:row r="1656" ht="56" customHeight="1">
      <x:c r="A1656" s="192" t="str">
        <x:v>hierarchical</x:v>
      </x:c>
      <x:c r="B1656" s="192" t="str">
        <x:v>word family</x:v>
      </x:c>
      <x:c r="C1656" s="194" t="str">
        <x:v>ієрархічний</x:v>
      </x:c>
      <x:c r="D1656" s="195" t="str">
        <x:v>Що стосується ієрархії.</x:v>
      </x:c>
      <x:c r="E1656" s="192" t="str">
        <x:v>AWL 7</x:v>
      </x:c>
      <x:c r="F1656" s="192" t="str">
        <x:v>Medium</x:v>
      </x:c>
      <x:c r="G1656" s="192" t="str">
        <x:v>Not Started</x:v>
      </x:c>
      <x:c r="H1656" s="192" t="n">
        <x:v>0</x:v>
      </x:c>
    </x:row>
    <x:row r="1657" ht="56" customHeight="1">
      <x:c r="A1657" s="192" t="str">
        <x:v>identical</x:v>
      </x:c>
      <x:c r="B1657" s="192" t="str">
        <x:v>word family</x:v>
      </x:c>
      <x:c r="C1657" s="194" t="str">
        <x:v>однакові</x:v>
      </x:c>
      <x:c r="D1657" s="195" t="str">
        <x:v>Маючи повну схожість, маючи абсолютно однаковий набір характеристик; нерозрізнений.</x:v>
      </x:c>
      <x:c r="E1657" s="192" t="str">
        <x:v>AWL 7</x:v>
      </x:c>
      <x:c r="F1657" s="192" t="str">
        <x:v>Medium</x:v>
      </x:c>
      <x:c r="G1657" s="192" t="str">
        <x:v>Not Started</x:v>
      </x:c>
      <x:c r="H1657" s="192" t="n">
        <x:v>0</x:v>
      </x:c>
    </x:row>
    <x:row r="1658" ht="56" customHeight="1">
      <x:c r="A1658" s="192" t="str">
        <x:v>inferred</x:v>
      </x:c>
      <x:c r="B1658" s="192" t="str">
        <x:v>word family</x:v>
      </x:c>
      <x:c r="C1658" s="194" t="str">
        <x:v>висновок</x:v>
      </x:c>
      <x:c r="D1658" s="195" t="str">
        <x:v>Вводити (щось) як аргументований висновок; робити висновок шляхом міркування або дедукції, як з приміщень або доказів.</x:v>
      </x:c>
      <x:c r="E1658" s="192" t="str">
        <x:v>AWL 7</x:v>
      </x:c>
      <x:c r="F1658" s="192" t="str">
        <x:v>Medium</x:v>
      </x:c>
      <x:c r="G1658" s="192" t="str">
        <x:v>Not Started</x:v>
      </x:c>
      <x:c r="H1658" s="192" t="n">
        <x:v>0</x:v>
      </x:c>
    </x:row>
    <x:row r="1659" ht="56" customHeight="1">
      <x:c r="A1659" s="192" t="str">
        <x:v>innovation</x:v>
      </x:c>
      <x:c r="B1659" s="192" t="str">
        <x:v>word family</x:v>
      </x:c>
      <x:c r="C1659" s="194" t="str">
        <x:v>інноваційність</x:v>
      </x:c>
      <x:c r="D1659" s="195" t="str">
        <x:v>Акт нововведення; введення чогось нового, у звичаї, обряди тощо.</x:v>
      </x:c>
      <x:c r="E1659" s="192" t="str">
        <x:v>AWL 7</x:v>
      </x:c>
      <x:c r="F1659" s="192" t="str">
        <x:v>Medium</x:v>
      </x:c>
      <x:c r="G1659" s="192" t="str">
        <x:v>Not Started</x:v>
      </x:c>
      <x:c r="H1659" s="192" t="n">
        <x:v>0</x:v>
      </x:c>
    </x:row>
    <x:row r="1660" ht="56" customHeight="1">
      <x:c r="A1660" s="192" t="str">
        <x:v>insert</x:v>
      </x:c>
      <x:c r="B1660" s="192" t="str">
        <x:v>word family</x:v>
      </x:c>
      <x:c r="C1660" s="194" t="str">
        <x:v>вставка</x:v>
      </x:c>
      <x:c r="D1660" s="195" t="str">
        <x:v>Поміщати щось усередину або між іншими предметами чи частинами.</x:v>
      </x:c>
      <x:c r="E1660" s="192" t="str">
        <x:v>AWL 7</x:v>
      </x:c>
      <x:c r="F1660" s="192" t="str">
        <x:v>Medium</x:v>
      </x:c>
      <x:c r="G1660" s="192" t="str">
        <x:v>Not Started</x:v>
      </x:c>
      <x:c r="H1660" s="192" t="n">
        <x:v>0</x:v>
      </x:c>
    </x:row>
    <x:row r="1661" ht="56" customHeight="1">
      <x:c r="A1661" s="192" t="str">
        <x:v>isolated</x:v>
      </x:c>
      <x:c r="B1661" s="192" t="str">
        <x:v>word family</x:v>
      </x:c>
      <x:c r="C1661" s="194" t="str">
        <x:v>ізольований</x:v>
      </x:c>
      <x:c r="D1661" s="195" t="str">
        <x:v>Розміщені або стоять окремо або окремо; в ізоляції.</x:v>
      </x:c>
      <x:c r="E1661" s="192" t="str">
        <x:v>AWL 7</x:v>
      </x:c>
      <x:c r="F1661" s="192" t="str">
        <x:v>Medium</x:v>
      </x:c>
      <x:c r="G1661" s="192" t="str">
        <x:v>Not Started</x:v>
      </x:c>
      <x:c r="H1661" s="192" t="n">
        <x:v>0</x:v>
      </x:c>
    </x:row>
    <x:row r="1662" ht="56" customHeight="1">
      <x:c r="A1662" s="192" t="str">
        <x:v>media</x:v>
      </x:c>
      <x:c r="B1662" s="192" t="str">
        <x:v>word family</x:v>
      </x:c>
      <x:c r="C1662" s="194" t="str">
        <x:v>ЗМІ</x:v>
      </x:c>
      <x:c r="D1662" s="195" t="str">
        <x:v>Засоби та інститути публікації та трансляції інформації.</x:v>
      </x:c>
      <x:c r="E1662" s="192" t="str">
        <x:v>AWL 7</x:v>
      </x:c>
      <x:c r="F1662" s="192" t="str">
        <x:v>Medium</x:v>
      </x:c>
      <x:c r="G1662" s="192" t="str">
        <x:v>Not Started</x:v>
      </x:c>
      <x:c r="H1662" s="192" t="n">
        <x:v>0</x:v>
      </x:c>
    </x:row>
    <x:row r="1663" ht="56" customHeight="1">
      <x:c r="A1663" s="192" t="str">
        <x:v>mode</x:v>
      </x:c>
      <x:c r="B1663" s="192" t="str">
        <x:v>word family</x:v>
      </x:c>
      <x:c r="C1663" s="194" t="str">
        <x:v>режим</x:v>
      </x:c>
      <x:c r="D1663" s="195" t="str">
        <x:v>Особливий засіб досягнення чогось.</x:v>
      </x:c>
      <x:c r="E1663" s="192" t="str">
        <x:v>AWL 7</x:v>
      </x:c>
      <x:c r="F1663" s="192" t="str">
        <x:v>Medium</x:v>
      </x:c>
      <x:c r="G1663" s="192" t="str">
        <x:v>Not Started</x:v>
      </x:c>
      <x:c r="H1663" s="192" t="n">
        <x:v>0</x:v>
      </x:c>
    </x:row>
    <x:row r="1664" ht="56" customHeight="1">
      <x:c r="A1664" s="192" t="str">
        <x:v>paradigm</x:v>
      </x:c>
      <x:c r="B1664" s="192" t="str">
        <x:v>word family</x:v>
      </x:c>
      <x:c r="C1664" s="194" t="str">
        <x:v>парадигма</x:v>
      </x:c>
      <x:c r="D1664" s="195" t="str">
        <x:v>Зразок, спосіб виконання чогось; особливо модель мислення, система вірувань, концептуальна основа.</x:v>
      </x:c>
      <x:c r="E1664" s="192" t="str">
        <x:v>AWL 7</x:v>
      </x:c>
      <x:c r="F1664" s="192" t="str">
        <x:v>Medium</x:v>
      </x:c>
      <x:c r="G1664" s="192" t="str">
        <x:v>Not Started</x:v>
      </x:c>
      <x:c r="H1664" s="192" t="n">
        <x:v>0</x:v>
      </x:c>
    </x:row>
    <x:row r="1665" ht="56" customHeight="1">
      <x:c r="A1665" s="192" t="str">
        <x:v>phenomenon</x:v>
      </x:c>
      <x:c r="B1665" s="192" t="str">
        <x:v>word family</x:v>
      </x:c>
      <x:c r="C1665" s="194" t="str">
        <x:v>явище</x:v>
      </x:c>
      <x:c r="D1665" s="195" t="str">
        <x:v>Річ або істота, подія або процес, що сприймаються органами чуття; або факт чи подія цього.</x:v>
      </x:c>
      <x:c r="E1665" s="192" t="str">
        <x:v>AWL 7</x:v>
      </x:c>
      <x:c r="F1665" s="192" t="str">
        <x:v>Medium</x:v>
      </x:c>
      <x:c r="G1665" s="192" t="str">
        <x:v>Not Started</x:v>
      </x:c>
      <x:c r="H1665" s="192" t="n">
        <x:v>0</x:v>
      </x:c>
    </x:row>
    <x:row r="1666" ht="56" customHeight="1">
      <x:c r="A1666" s="192" t="str">
        <x:v>priority</x:v>
      </x:c>
      <x:c r="B1666" s="192" t="str">
        <x:v>word family</x:v>
      </x:c>
      <x:c r="C1666" s="194" t="str">
        <x:v>пріоритет</x:v>
      </x:c>
      <x:c r="D1666" s="195" t="str">
        <x:v>Відносна важливість елемента.</x:v>
      </x:c>
      <x:c r="E1666" s="192" t="str">
        <x:v>AWL 7</x:v>
      </x:c>
      <x:c r="F1666" s="192" t="str">
        <x:v>Medium</x:v>
      </x:c>
      <x:c r="G1666" s="192" t="str">
        <x:v>Not Started</x:v>
      </x:c>
      <x:c r="H1666" s="192" t="n">
        <x:v>0</x:v>
      </x:c>
    </x:row>
    <x:row r="1667" ht="56" customHeight="1">
      <x:c r="A1667" s="192" t="str">
        <x:v>prohibited</x:v>
      </x:c>
      <x:c r="B1667" s="192" t="str">
        <x:v>word family</x:v>
      </x:c>
      <x:c r="C1667" s="194" t="str">
        <x:v>заборонено</x:v>
      </x:c>
      <x:c r="D1667" s="195" t="str">
        <x:v>Заборонено; заборонений; недозволено.</x:v>
      </x:c>
      <x:c r="E1667" s="192" t="str">
        <x:v>AWL 7</x:v>
      </x:c>
      <x:c r="F1667" s="192" t="str">
        <x:v>Medium</x:v>
      </x:c>
      <x:c r="G1667" s="192" t="str">
        <x:v>Not Started</x:v>
      </x:c>
      <x:c r="H1667" s="192" t="n">
        <x:v>0</x:v>
      </x:c>
    </x:row>
    <x:row r="1668" ht="56" customHeight="1">
      <x:c r="A1668" s="192" t="str">
        <x:v>publication</x:v>
      </x:c>
      <x:c r="B1668" s="192" t="str">
        <x:v>word family</x:v>
      </x:c>
      <x:c r="C1668" s="194" t="str">
        <x:v>публікація</x:v>
      </x:c>
      <x:c r="D1668" s="195" t="str">
        <x:v>Акт видання друкованого чи іншого видання.</x:v>
      </x:c>
      <x:c r="E1668" s="192" t="str">
        <x:v>AWL 7</x:v>
      </x:c>
      <x:c r="F1668" s="192" t="str">
        <x:v>Medium</x:v>
      </x:c>
      <x:c r="G1668" s="192" t="str">
        <x:v>Not Started</x:v>
      </x:c>
      <x:c r="H1668" s="192" t="n">
        <x:v>0</x:v>
      </x:c>
    </x:row>
    <x:row r="1669" ht="56" customHeight="1">
      <x:c r="A1669" s="192" t="str">
        <x:v>quotation</x:v>
      </x:c>
      <x:c r="B1669" s="192" t="str">
        <x:v>word family</x:v>
      </x:c>
      <x:c r="C1669" s="194" t="str">
        <x:v>цитата</x:v>
      </x:c>
      <x:c r="D1669" s="195" t="str">
        <x:v>Фрагмент людського виразу, який повторює хтось інший, наприклад, з літератури чи відомої промови.</x:v>
      </x:c>
      <x:c r="E1669" s="192" t="str">
        <x:v>AWL 7</x:v>
      </x:c>
      <x:c r="F1669" s="192" t="str">
        <x:v>Medium</x:v>
      </x:c>
      <x:c r="G1669" s="192" t="str">
        <x:v>Not Started</x:v>
      </x:c>
      <x:c r="H1669" s="192" t="n">
        <x:v>0</x:v>
      </x:c>
    </x:row>
    <x:row r="1670" ht="56" customHeight="1">
      <x:c r="A1670" s="192" t="str">
        <x:v>release</x:v>
      </x:c>
      <x:c r="B1670" s="192" t="str">
        <x:v>word family</x:v>
      </x:c>
      <x:c r="C1670" s="194" t="str">
        <x:v>реліз</x:v>
      </x:c>
      <x:c r="D1670" s="195" t="str">
        <x:v>Розповсюдження, публічне чи приватне, початкової або нової та оновленої версії комп’ютерного програмного продукту.</x:v>
      </x:c>
      <x:c r="E1670" s="192" t="str">
        <x:v>AWL 7</x:v>
      </x:c>
      <x:c r="F1670" s="192" t="str">
        <x:v>Medium</x:v>
      </x:c>
      <x:c r="G1670" s="192" t="str">
        <x:v>Not Started</x:v>
      </x:c>
      <x:c r="H1670" s="192" t="n">
        <x:v>0</x:v>
      </x:c>
    </x:row>
    <x:row r="1671" ht="56" customHeight="1">
      <x:c r="A1671" s="192" t="str">
        <x:v>somewhat</x:v>
      </x:c>
      <x:c r="B1671" s="192" t="str">
        <x:v>word family</x:v>
      </x:c>
      <x:c r="C1671" s="194" t="str">
        <x:v>дещо</x:v>
      </x:c>
      <x:c r="D1671" s="195" t="str">
        <x:v>В обмеженій мірі або ступені; не повністю.</x:v>
      </x:c>
      <x:c r="E1671" s="192" t="str">
        <x:v>AWL 7</x:v>
      </x:c>
      <x:c r="F1671" s="192" t="str">
        <x:v>Medium</x:v>
      </x:c>
      <x:c r="G1671" s="192" t="str">
        <x:v>Not Started</x:v>
      </x:c>
      <x:c r="H1671" s="192" t="n">
        <x:v>0</x:v>
      </x:c>
    </x:row>
    <x:row r="1672" ht="56" customHeight="1">
      <x:c r="A1672" s="192" t="str">
        <x:v>submitted</x:v>
      </x:c>
      <x:c r="B1672" s="192" t="str">
        <x:v>word family</x:v>
      </x:c>
      <x:c r="C1672" s="194" t="str">
        <x:v>подано</x:v>
      </x:c>
      <x:c r="D1672" s="195" t="str">
        <x:v>Внести або винести на затвердження, розгляд, відмітку тощо.</x:v>
      </x:c>
      <x:c r="E1672" s="192" t="str">
        <x:v>AWL 7</x:v>
      </x:c>
      <x:c r="F1672" s="192" t="str">
        <x:v>Medium</x:v>
      </x:c>
      <x:c r="G1672" s="192" t="str">
        <x:v>Not Started</x:v>
      </x:c>
      <x:c r="H1672" s="192" t="n">
        <x:v>0</x:v>
      </x:c>
    </x:row>
    <x:row r="1673" ht="56" customHeight="1">
      <x:c r="A1673" s="192" t="str">
        <x:v>survive</x:v>
      </x:c>
      <x:c r="B1673" s="192" t="str">
        <x:v>word family</x:v>
      </x:c>
      <x:c r="C1673" s="194" t="str">
        <x:v>вижити</x:v>
      </x:c>
      <x:c r="D1673" s="195" t="str">
        <x:v>Про людину, продовжувати жити; залишитися живим.</x:v>
      </x:c>
      <x:c r="E1673" s="192" t="str">
        <x:v>AWL 7</x:v>
      </x:c>
      <x:c r="F1673" s="192" t="str">
        <x:v>Medium</x:v>
      </x:c>
      <x:c r="G1673" s="192" t="str">
        <x:v>Not Started</x:v>
      </x:c>
      <x:c r="H1673" s="192" t="n">
        <x:v>0</x:v>
      </x:c>
    </x:row>
    <x:row r="1674" ht="56" customHeight="1">
      <x:c r="A1674" s="192" t="str">
        <x:v>thesis</x:v>
      </x:c>
      <x:c r="B1674" s="192" t="str">
        <x:v>word family</x:v>
      </x:c>
      <x:c r="C1674" s="194" t="str">
        <x:v>теза</x:v>
      </x:c>
      <x:c r="D1674" s="195" t="str">
        <x:v>Розгорнута наукова робота або основне твердження, яке автор обґрунтовує доказами.</x:v>
      </x:c>
      <x:c r="E1674" s="192" t="str">
        <x:v>AWL 7</x:v>
      </x:c>
      <x:c r="F1674" s="192" t="str">
        <x:v>Medium</x:v>
      </x:c>
      <x:c r="G1674" s="192" t="str">
        <x:v>Not Started</x:v>
      </x:c>
      <x:c r="H1674" s="192" t="n">
        <x:v>0</x:v>
      </x:c>
    </x:row>
    <x:row r="1675" ht="56" customHeight="1">
      <x:c r="A1675" s="192" t="str">
        <x:v>topic</x:v>
      </x:c>
      <x:c r="B1675" s="192" t="str">
        <x:v>word family</x:v>
      </x:c>
      <x:c r="C1675" s="194" t="str">
        <x:v>тема</x:v>
      </x:c>
      <x:c r="D1675" s="195" t="str">
        <x:v>Тема; тема; категорія або загальна сфера інтересів.</x:v>
      </x:c>
      <x:c r="E1675" s="192" t="str">
        <x:v>AWL 7</x:v>
      </x:c>
      <x:c r="F1675" s="192" t="str">
        <x:v>Medium</x:v>
      </x:c>
      <x:c r="G1675" s="192" t="str">
        <x:v>Not Started</x:v>
      </x:c>
      <x:c r="H1675" s="192" t="n">
        <x:v>0</x:v>
      </x:c>
    </x:row>
    <x:row r="1676" ht="56" customHeight="1">
      <x:c r="A1676" s="192" t="str">
        <x:v>ultimately</x:v>
      </x:c>
      <x:c r="B1676" s="192" t="str">
        <x:v>word family</x:v>
      </x:c>
      <x:c r="C1676" s="194" t="str">
        <x:v>зрештою</x:v>
      </x:c>
      <x:c r="D1676" s="195" t="str">
        <x:v>Зрештою; нарешті.</x:v>
      </x:c>
      <x:c r="E1676" s="192" t="str">
        <x:v>AWL 7</x:v>
      </x:c>
      <x:c r="F1676" s="192" t="str">
        <x:v>Medium</x:v>
      </x:c>
      <x:c r="G1676" s="192" t="str">
        <x:v>Not Started</x:v>
      </x:c>
      <x:c r="H1676" s="192" t="n">
        <x:v>0</x:v>
      </x:c>
    </x:row>
    <x:row r="1677" ht="56" customHeight="1">
      <x:c r="A1677" s="192" t="str">
        <x:v>unique</x:v>
      </x:c>
      <x:c r="B1677" s="192" t="str">
        <x:v>word family</x:v>
      </x:c>
      <x:c r="C1677" s="194" t="str">
        <x:v>унікальний</x:v>
      </x:c>
      <x:c r="D1677" s="195" t="str">
        <x:v>Бути єдиним у своєму роді; незрівнянний, незрівнянний або незрівнянний.</x:v>
      </x:c>
      <x:c r="E1677" s="192" t="str">
        <x:v>AWL 7</x:v>
      </x:c>
      <x:c r="F1677" s="192" t="str">
        <x:v>Medium</x:v>
      </x:c>
      <x:c r="G1677" s="192" t="str">
        <x:v>Not Started</x:v>
      </x:c>
      <x:c r="H1677" s="192" t="n">
        <x:v>0</x:v>
      </x:c>
    </x:row>
    <x:row r="1678" ht="56" customHeight="1">
      <x:c r="A1678" s="192" t="str">
        <x:v>visible</x:v>
      </x:c>
      <x:c r="B1678" s="192" t="str">
        <x:v>word family</x:v>
      </x:c>
      <x:c r="C1678" s="194" t="str">
        <x:v>видно</x:v>
      </x:c>
      <x:c r="D1678" s="195" t="str">
        <x:v>Здатний бути побаченим.</x:v>
      </x:c>
      <x:c r="E1678" s="192" t="str">
        <x:v>AWL 7</x:v>
      </x:c>
      <x:c r="F1678" s="192" t="str">
        <x:v>Medium</x:v>
      </x:c>
      <x:c r="G1678" s="192" t="str">
        <x:v>Not Started</x:v>
      </x:c>
      <x:c r="H1678" s="192" t="n">
        <x:v>0</x:v>
      </x:c>
    </x:row>
    <x:row r="1679" ht="56" customHeight="1">
      <x:c r="A1679" s="192" t="str">
        <x:v>voluntary</x:v>
      </x:c>
      <x:c r="B1679" s="192" t="str">
        <x:v>word family</x:v>
      </x:c>
      <x:c r="C1679" s="194" t="str">
        <x:v>добровільний</x:v>
      </x:c>
      <x:c r="D1679" s="195" t="str">
        <x:v>Робиться, дається або діє за власним бажанням.</x:v>
      </x:c>
      <x:c r="E1679" s="192" t="str">
        <x:v>AWL 7</x:v>
      </x:c>
      <x:c r="F1679" s="192" t="str">
        <x:v>Medium</x:v>
      </x:c>
      <x:c r="G1679" s="192" t="str">
        <x:v>Not Started</x:v>
      </x:c>
      <x:c r="H1679" s="192" t="n">
        <x:v>0</x:v>
      </x:c>
    </x:row>
    <x:row r="1680" ht="56" customHeight="1">
      <x:c r="A1680" s="192" t="str">
        <x:v>abandon</x:v>
      </x:c>
      <x:c r="B1680" s="192" t="str">
        <x:v>word family</x:v>
      </x:c>
      <x:c r="C1680" s="194" t="str">
        <x:v>відмовитися</x:v>
      </x:c>
      <x:c r="D1680" s="195" t="str">
        <x:v>Відмовитися від контролю або відмовитися від контролю, здатися або піддатися, або підкоритися своїм емоціям.</x:v>
      </x:c>
      <x:c r="E1680" s="192" t="str">
        <x:v>AWL 8</x:v>
      </x:c>
      <x:c r="F1680" s="192" t="str">
        <x:v>Medium</x:v>
      </x:c>
      <x:c r="G1680" s="192" t="str">
        <x:v>Not Started</x:v>
      </x:c>
      <x:c r="H1680" s="192" t="n">
        <x:v>0</x:v>
      </x:c>
    </x:row>
    <x:row r="1681" ht="56" customHeight="1">
      <x:c r="A1681" s="192" t="str">
        <x:v>accompanied</x:v>
      </x:c>
      <x:c r="B1681" s="192" t="str">
        <x:v>word family</x:v>
      </x:c>
      <x:c r="C1681" s="194" t="str">
        <x:v>у супроводі</x:v>
      </x:c>
      <x:c r="D1681" s="195" t="str">
        <x:v>Наявність супроводу; бути частиною групи щонайменше з двох.</x:v>
      </x:c>
      <x:c r="E1681" s="192" t="str">
        <x:v>AWL 8</x:v>
      </x:c>
      <x:c r="F1681" s="192" t="str">
        <x:v>Medium</x:v>
      </x:c>
      <x:c r="G1681" s="192" t="str">
        <x:v>Not Started</x:v>
      </x:c>
      <x:c r="H1681" s="192" t="n">
        <x:v>0</x:v>
      </x:c>
    </x:row>
    <x:row r="1682" ht="56" customHeight="1">
      <x:c r="A1682" s="192" t="str">
        <x:v>ambiguous</x:v>
      </x:c>
      <x:c r="B1682" s="192" t="str">
        <x:v>word family</x:v>
      </x:c>
      <x:c r="C1682" s="194" t="str">
        <x:v>неоднозначний</x:v>
      </x:c>
      <x:c r="D1682" s="195" t="str">
        <x:v>Відкритий для багатьох інтерпретацій.</x:v>
      </x:c>
      <x:c r="E1682" s="192" t="str">
        <x:v>AWL 8</x:v>
      </x:c>
      <x:c r="F1682" s="192" t="str">
        <x:v>Medium</x:v>
      </x:c>
      <x:c r="G1682" s="192" t="str">
        <x:v>Not Started</x:v>
      </x:c>
      <x:c r="H1682" s="192" t="n">
        <x:v>0</x:v>
      </x:c>
    </x:row>
    <x:row r="1683" ht="56" customHeight="1">
      <x:c r="A1683" s="192" t="str">
        <x:v>appendix</x:v>
      </x:c>
      <x:c r="B1683" s="192" t="str">
        <x:v>word family</x:v>
      </x:c>
      <x:c r="C1683" s="194" t="str">
        <x:v>апендикс</x:v>
      </x:c>
      <x:c r="D1683" s="195" t="str">
        <x:v>Текст, доданий у кінець книги чи статті, що містить додаткову інформацію.</x:v>
      </x:c>
      <x:c r="E1683" s="192" t="str">
        <x:v>AWL 8</x:v>
      </x:c>
      <x:c r="F1683" s="192" t="str">
        <x:v>Medium</x:v>
      </x:c>
      <x:c r="G1683" s="192" t="str">
        <x:v>Not Started</x:v>
      </x:c>
      <x:c r="H1683" s="192" t="n">
        <x:v>0</x:v>
      </x:c>
    </x:row>
    <x:row r="1684" ht="56" customHeight="1">
      <x:c r="A1684" s="192" t="str">
        <x:v>automatically</x:v>
      </x:c>
      <x:c r="B1684" s="192" t="str">
        <x:v>word family</x:v>
      </x:c>
      <x:c r="C1684" s="194" t="str">
        <x:v>автоматично</x:v>
      </x:c>
      <x:c r="D1684" s="195" t="str">
        <x:v>Автоматичним способом.</x:v>
      </x:c>
      <x:c r="E1684" s="192" t="str">
        <x:v>AWL 8</x:v>
      </x:c>
      <x:c r="F1684" s="192" t="str">
        <x:v>Medium</x:v>
      </x:c>
      <x:c r="G1684" s="192" t="str">
        <x:v>Not Started</x:v>
      </x:c>
      <x:c r="H1684" s="192" t="n">
        <x:v>0</x:v>
      </x:c>
    </x:row>
    <x:row r="1685" ht="56" customHeight="1">
      <x:c r="A1685" s="192" t="str">
        <x:v>bias</x:v>
      </x:c>
      <x:c r="B1685" s="192" t="str">
        <x:v>word family</x:v>
      </x:c>
      <x:c r="C1685" s="194" t="str">
        <x:v>упередженість</x:v>
      </x:c>
      <x:c r="D1685" s="195" t="str">
        <x:v>Схильність до чогось.</x:v>
      </x:c>
      <x:c r="E1685" s="192" t="str">
        <x:v>AWL 8</x:v>
      </x:c>
      <x:c r="F1685" s="192" t="str">
        <x:v>Medium</x:v>
      </x:c>
      <x:c r="G1685" s="192" t="str">
        <x:v>Not Started</x:v>
      </x:c>
      <x:c r="H1685" s="192" t="n">
        <x:v>0</x:v>
      </x:c>
    </x:row>
    <x:row r="1686" ht="56" customHeight="1">
      <x:c r="A1686" s="192" t="str">
        <x:v>chart</x:v>
      </x:c>
      <x:c r="B1686" s="192" t="str">
        <x:v>word family</x:v>
      </x:c>
      <x:c r="C1686" s="194" t="str">
        <x:v>діаграма</x:v>
      </x:c>
      <x:c r="D1686" s="195" t="str">
        <x:v>Карта.</x:v>
      </x:c>
      <x:c r="E1686" s="192" t="str">
        <x:v>AWL 8</x:v>
      </x:c>
      <x:c r="F1686" s="192" t="str">
        <x:v>Medium</x:v>
      </x:c>
      <x:c r="G1686" s="192" t="str">
        <x:v>Not Started</x:v>
      </x:c>
      <x:c r="H1686" s="192" t="n">
        <x:v>0</x:v>
      </x:c>
    </x:row>
    <x:row r="1687" ht="56" customHeight="1">
      <x:c r="A1687" s="192" t="str">
        <x:v>conformity</x:v>
      </x:c>
      <x:c r="B1687" s="192" t="str">
        <x:v>word family</x:v>
      </x:c>
      <x:c r="C1687" s="194" t="str">
        <x:v>відповідність</x:v>
      </x:c>
      <x:c r="D1687" s="195" t="str">
        <x:v>Стан відповідності, дотримання набору правил, норми чи стандарту.</x:v>
      </x:c>
      <x:c r="E1687" s="192" t="str">
        <x:v>AWL 8</x:v>
      </x:c>
      <x:c r="F1687" s="192" t="str">
        <x:v>Medium</x:v>
      </x:c>
      <x:c r="G1687" s="192" t="str">
        <x:v>Not Started</x:v>
      </x:c>
      <x:c r="H1687" s="192" t="n">
        <x:v>0</x:v>
      </x:c>
    </x:row>
    <x:row r="1688" ht="56" customHeight="1">
      <x:c r="A1688" s="192" t="str">
        <x:v>contemporary</x:v>
      </x:c>
      <x:c r="B1688" s="192" t="str">
        <x:v>word family</x:v>
      </x:c>
      <x:c r="C1688" s="194" t="str">
        <x:v>сучасний</x:v>
      </x:c>
      <x:c r="D1688" s="195" t="str">
        <x:v>Сучасний, сучасного віку (скорочення від «сучасний із сучасним»).</x:v>
      </x:c>
      <x:c r="E1688" s="192" t="str">
        <x:v>AWL 8</x:v>
      </x:c>
      <x:c r="F1688" s="192" t="str">
        <x:v>Medium</x:v>
      </x:c>
      <x:c r="G1688" s="192" t="str">
        <x:v>Not Started</x:v>
      </x:c>
      <x:c r="H1688" s="192" t="n">
        <x:v>0</x:v>
      </x:c>
    </x:row>
    <x:row r="1689" ht="56" customHeight="1">
      <x:c r="A1689" s="192" t="str">
        <x:v>crucial</x:v>
      </x:c>
      <x:c r="B1689" s="192" t="str">
        <x:v>word family</x:v>
      </x:c>
      <x:c r="C1689" s="194" t="str">
        <x:v>вирішальне значення</x:v>
      </x:c>
      <x:c r="D1689" s="195" t="str">
        <x:v>Суттєвий або вирішальний для визначення результату або майбутнього чогось; надзвичайно важливі; життєво важливий.</x:v>
      </x:c>
      <x:c r="E1689" s="192" t="str">
        <x:v>AWL 8</x:v>
      </x:c>
      <x:c r="F1689" s="192" t="str">
        <x:v>Medium</x:v>
      </x:c>
      <x:c r="G1689" s="192" t="str">
        <x:v>Not Started</x:v>
      </x:c>
      <x:c r="H1689" s="192" t="n">
        <x:v>0</x:v>
      </x:c>
    </x:row>
    <x:row r="1690" ht="56" customHeight="1">
      <x:c r="A1690" s="192" t="str">
        <x:v>currency</x:v>
      </x:c>
      <x:c r="B1690" s="192" t="str">
        <x:v>word family</x:v>
      </x:c>
      <x:c r="C1690" s="194" t="str">
        <x:v>валюта</x:v>
      </x:c>
      <x:c r="D1690" s="195" t="str">
        <x:v>Гроші чи інші предмети, які використовуються для здійснення операцій.</x:v>
      </x:c>
      <x:c r="E1690" s="192" t="str">
        <x:v>AWL 8</x:v>
      </x:c>
      <x:c r="F1690" s="192" t="str">
        <x:v>Medium</x:v>
      </x:c>
      <x:c r="G1690" s="192" t="str">
        <x:v>Not Started</x:v>
      </x:c>
      <x:c r="H1690" s="192" t="n">
        <x:v>0</x:v>
      </x:c>
    </x:row>
    <x:row r="1691" ht="56" customHeight="1">
      <x:c r="A1691" s="192" t="str">
        <x:v>denote</x:v>
      </x:c>
      <x:c r="B1691" s="192" t="str">
        <x:v>word family</x:v>
      </x:c>
      <x:c r="C1691" s="194" t="str">
        <x:v>позначають</x:v>
      </x:c>
      <x:c r="D1691" s="195" t="str">
        <x:v>Позначати буквально; передати як об'єктивне значення.</x:v>
      </x:c>
      <x:c r="E1691" s="192" t="str">
        <x:v>AWL 8</x:v>
      </x:c>
      <x:c r="F1691" s="192" t="str">
        <x:v>Medium</x:v>
      </x:c>
      <x:c r="G1691" s="192" t="str">
        <x:v>Not Started</x:v>
      </x:c>
      <x:c r="H1691" s="192" t="n">
        <x:v>0</x:v>
      </x:c>
    </x:row>
    <x:row r="1692" ht="56" customHeight="1">
      <x:c r="A1692" s="192" t="str">
        <x:v>detected</x:v>
      </x:c>
      <x:c r="B1692" s="192" t="str">
        <x:v>word family</x:v>
      </x:c>
      <x:c r="C1692" s="194" t="str">
        <x:v>виявлено</x:v>
      </x:c>
      <x:c r="D1692" s="195" t="str">
        <x:v>Будучи поміченим.</x:v>
      </x:c>
      <x:c r="E1692" s="192" t="str">
        <x:v>AWL 8</x:v>
      </x:c>
      <x:c r="F1692" s="192" t="str">
        <x:v>Medium</x:v>
      </x:c>
      <x:c r="G1692" s="192" t="str">
        <x:v>Not Started</x:v>
      </x:c>
      <x:c r="H1692" s="192" t="n">
        <x:v>0</x:v>
      </x:c>
    </x:row>
    <x:row r="1693" ht="56" customHeight="1">
      <x:c r="A1693" s="192" t="str">
        <x:v>deviation</x:v>
      </x:c>
      <x:c r="B1693" s="192" t="str">
        <x:v>word family</x:v>
      </x:c>
      <x:c r="C1693" s="194" t="str">
        <x:v>відхилення</x:v>
      </x:c>
      <x:c r="D1693" s="195" t="str">
        <x:v>Відхід від правильного способу дій.</x:v>
      </x:c>
      <x:c r="E1693" s="192" t="str">
        <x:v>AWL 8</x:v>
      </x:c>
      <x:c r="F1693" s="192" t="str">
        <x:v>Medium</x:v>
      </x:c>
      <x:c r="G1693" s="192" t="str">
        <x:v>Not Started</x:v>
      </x:c>
      <x:c r="H1693" s="192" t="n">
        <x:v>0</x:v>
      </x:c>
    </x:row>
    <x:row r="1694" ht="56" customHeight="1">
      <x:c r="A1694" s="192" t="str">
        <x:v>displacement</x:v>
      </x:c>
      <x:c r="B1694" s="192" t="str">
        <x:v>word family</x:v>
      </x:c>
      <x:c r="C1694" s="194" t="str">
        <x:v>переміщення</x:v>
      </x:c>
      <x:c r="D1694" s="195" t="str">
        <x:v>Акт витіснення або стан витіснення; постановка з місця.</x:v>
      </x:c>
      <x:c r="E1694" s="192" t="str">
        <x:v>AWL 8</x:v>
      </x:c>
      <x:c r="F1694" s="192" t="str">
        <x:v>Medium</x:v>
      </x:c>
      <x:c r="G1694" s="192" t="str">
        <x:v>Not Started</x:v>
      </x:c>
      <x:c r="H1694" s="192" t="n">
        <x:v>0</x:v>
      </x:c>
    </x:row>
    <x:row r="1695" ht="56" customHeight="1">
      <x:c r="A1695" s="192" t="str">
        <x:v>dramatic</x:v>
      </x:c>
      <x:c r="B1695" s="192" t="str">
        <x:v>word family</x:v>
      </x:c>
      <x:c r="C1695" s="194" t="str">
        <x:v>драматичний</x:v>
      </x:c>
      <x:c r="D1695" s="195" t="str">
        <x:v>Відносно або пов’язане з драмою.</x:v>
      </x:c>
      <x:c r="E1695" s="192" t="str">
        <x:v>AWL 8</x:v>
      </x:c>
      <x:c r="F1695" s="192" t="str">
        <x:v>Medium</x:v>
      </x:c>
      <x:c r="G1695" s="192" t="str">
        <x:v>Not Started</x:v>
      </x:c>
      <x:c r="H1695" s="192" t="n">
        <x:v>0</x:v>
      </x:c>
    </x:row>
    <x:row r="1696" ht="56" customHeight="1">
      <x:c r="A1696" s="192" t="str">
        <x:v>eventually</x:v>
      </x:c>
      <x:c r="B1696" s="192" t="str">
        <x:v>word family</x:v>
      </x:c>
      <x:c r="C1696" s="194" t="str">
        <x:v>зрештою</x:v>
      </x:c>
      <x:c r="D1696" s="195" t="str">
        <x:v>Зрештою; пізніше, особливо після тривалого часу, серія проблем, боротьби, затримок або невдач.</x:v>
      </x:c>
      <x:c r="E1696" s="192" t="str">
        <x:v>AWL 8</x:v>
      </x:c>
      <x:c r="F1696" s="192" t="str">
        <x:v>Medium</x:v>
      </x:c>
      <x:c r="G1696" s="192" t="str">
        <x:v>Not Started</x:v>
      </x:c>
      <x:c r="H1696" s="192" t="n">
        <x:v>0</x:v>
      </x:c>
    </x:row>
    <x:row r="1697" ht="56" customHeight="1">
      <x:c r="A1697" s="192" t="str">
        <x:v>exhibit</x:v>
      </x:c>
      <x:c r="B1697" s="192" t="str">
        <x:v>word family</x:v>
      </x:c>
      <x:c r="C1697" s="194" t="str">
        <x:v>експонат</x:v>
      </x:c>
      <x:c r="D1697" s="195" t="str">
        <x:v>Демонструвати або показувати (щось) для інших, особливо на виставці чи конкурсі.</x:v>
      </x:c>
      <x:c r="E1697" s="192" t="str">
        <x:v>AWL 8</x:v>
      </x:c>
      <x:c r="F1697" s="192" t="str">
        <x:v>Medium</x:v>
      </x:c>
      <x:c r="G1697" s="192" t="str">
        <x:v>Not Started</x:v>
      </x:c>
      <x:c r="H1697" s="192" t="n">
        <x:v>0</x:v>
      </x:c>
    </x:row>
    <x:row r="1698" ht="56" customHeight="1">
      <x:c r="A1698" s="192" t="str">
        <x:v>fluctuations</x:v>
      </x:c>
      <x:c r="B1698" s="192" t="str">
        <x:v>word family</x:v>
      </x:c>
      <x:c r="C1698" s="194" t="str">
        <x:v>коливання</x:v>
      </x:c>
      <x:c r="D1698" s="195" t="str">
        <x:v>Рух, подібний до руху хвиль; a рух в тому чи іншому напрямку; нерегулярний підйом і спад.</x:v>
      </x:c>
      <x:c r="E1698" s="192" t="str">
        <x:v>AWL 8</x:v>
      </x:c>
      <x:c r="F1698" s="192" t="str">
        <x:v>Medium</x:v>
      </x:c>
      <x:c r="G1698" s="192" t="str">
        <x:v>Not Started</x:v>
      </x:c>
      <x:c r="H1698" s="192" t="n">
        <x:v>0</x:v>
      </x:c>
    </x:row>
    <x:row r="1699" ht="56" customHeight="1">
      <x:c r="A1699" s="192" t="str">
        <x:v>guidelines</x:v>
      </x:c>
      <x:c r="B1699" s="192" t="str">
        <x:v>word family</x:v>
      </x:c>
      <x:c r="C1699" s="194" t="str">
        <x:v>настанови</x:v>
      </x:c>
      <x:c r="D1699" s="195" t="str">
        <x:v>Неконкретне правило або принцип, який забезпечує напрямок дій або поведінки.</x:v>
      </x:c>
      <x:c r="E1699" s="192" t="str">
        <x:v>AWL 8</x:v>
      </x:c>
      <x:c r="F1699" s="192" t="str">
        <x:v>Medium</x:v>
      </x:c>
      <x:c r="G1699" s="192" t="str">
        <x:v>Not Started</x:v>
      </x:c>
      <x:c r="H1699" s="192" t="n">
        <x:v>0</x:v>
      </x:c>
    </x:row>
    <x:row r="1700" ht="56" customHeight="1">
      <x:c r="A1700" s="192" t="str">
        <x:v>highlighted</x:v>
      </x:c>
      <x:c r="B1700" s="192" t="str">
        <x:v>word family</x:v>
      </x:c>
      <x:c r="C1700" s="194" t="str">
        <x:v>виділено</x:v>
      </x:c>
      <x:c r="D1700" s="195" t="str">
        <x:v>Наявність відблисків.</x:v>
      </x:c>
      <x:c r="E1700" s="192" t="str">
        <x:v>AWL 8</x:v>
      </x:c>
      <x:c r="F1700" s="192" t="str">
        <x:v>Medium</x:v>
      </x:c>
      <x:c r="G1700" s="192" t="str">
        <x:v>Not Started</x:v>
      </x:c>
      <x:c r="H1700" s="192" t="n">
        <x:v>0</x:v>
      </x:c>
    </x:row>
    <x:row r="1701" ht="56" customHeight="1">
      <x:c r="A1701" s="192" t="str">
        <x:v>implicit</x:v>
      </x:c>
      <x:c r="B1701" s="192" t="str">
        <x:v>word family</x:v>
      </x:c>
      <x:c r="C1701" s="194" t="str">
        <x:v>неявний</x:v>
      </x:c>
      <x:c r="D1701" s="195" t="str">
        <x:v>Пропонується опосередковано, без прямого вираження.</x:v>
      </x:c>
      <x:c r="E1701" s="192" t="str">
        <x:v>AWL 8</x:v>
      </x:c>
      <x:c r="F1701" s="192" t="str">
        <x:v>Medium</x:v>
      </x:c>
      <x:c r="G1701" s="192" t="str">
        <x:v>Not Started</x:v>
      </x:c>
      <x:c r="H1701" s="192" t="n">
        <x:v>0</x:v>
      </x:c>
    </x:row>
    <x:row r="1702" ht="56" customHeight="1">
      <x:c r="A1702" s="192" t="str">
        <x:v>induced</x:v>
      </x:c>
      <x:c r="B1702" s="192" t="str">
        <x:v>word family</x:v>
      </x:c>
      <x:c r="C1702" s="194" t="str">
        <x:v>індукований</x:v>
      </x:c>
      <x:c r="D1702" s="195" t="str">
        <x:v>Принесено; спричинений трапитися.</x:v>
      </x:c>
      <x:c r="E1702" s="192" t="str">
        <x:v>AWL 8</x:v>
      </x:c>
      <x:c r="F1702" s="192" t="str">
        <x:v>Medium</x:v>
      </x:c>
      <x:c r="G1702" s="192" t="str">
        <x:v>Not Started</x:v>
      </x:c>
      <x:c r="H1702" s="192" t="n">
        <x:v>0</x:v>
      </x:c>
    </x:row>
    <x:row r="1703" ht="56" customHeight="1">
      <x:c r="A1703" s="192" t="str">
        <x:v>inevitably</x:v>
      </x:c>
      <x:c r="B1703" s="192" t="str">
        <x:v>word family</x:v>
      </x:c>
      <x:c r="C1703" s="194" t="str">
        <x:v>неминуче</x:v>
      </x:c>
      <x:c r="D1703" s="195" t="str">
        <x:v>Таким чином, якого неможливо уникнути або запобігти.</x:v>
      </x:c>
      <x:c r="E1703" s="192" t="str">
        <x:v>AWL 8</x:v>
      </x:c>
      <x:c r="F1703" s="192" t="str">
        <x:v>Medium</x:v>
      </x:c>
      <x:c r="G1703" s="192" t="str">
        <x:v>Not Started</x:v>
      </x:c>
      <x:c r="H1703" s="192" t="n">
        <x:v>0</x:v>
      </x:c>
    </x:row>
    <x:row r="1704" ht="56" customHeight="1">
      <x:c r="A1704" s="192" t="str">
        <x:v>infrastructure</x:v>
      </x:c>
      <x:c r="B1704" s="192" t="str">
        <x:v>word family</x:v>
      </x:c>
      <x:c r="C1704" s="194" t="str">
        <x:v>інфраструктура</x:v>
      </x:c>
      <x:c r="D1704" s="195" t="str">
        <x:v>Об’єкти, послуги та обладнання, необхідні для функціонування спільноти чи суспільства.</x:v>
      </x:c>
      <x:c r="E1704" s="192" t="str">
        <x:v>AWL 8</x:v>
      </x:c>
      <x:c r="F1704" s="192" t="str">
        <x:v>Medium</x:v>
      </x:c>
      <x:c r="G1704" s="192" t="str">
        <x:v>Not Started</x:v>
      </x:c>
      <x:c r="H1704" s="192" t="n">
        <x:v>0</x:v>
      </x:c>
    </x:row>
    <x:row r="1705" ht="56" customHeight="1">
      <x:c r="A1705" s="192" t="str">
        <x:v>minimised</x:v>
      </x:c>
      <x:c r="B1705" s="192" t="str">
        <x:v>word family</x:v>
      </x:c>
      <x:c r="C1705" s="194" t="str">
        <x:v>зведений до мінімуму</x:v>
      </x:c>
      <x:c r="D1705" s="195" t="str">
        <x:v>Зменшений до найнижчого можливого рівня, кількості або ступеня.</x:v>
      </x:c>
      <x:c r="E1705" s="192" t="str">
        <x:v>AWL 8</x:v>
      </x:c>
      <x:c r="F1705" s="192" t="str">
        <x:v>Medium</x:v>
      </x:c>
      <x:c r="G1705" s="192" t="str">
        <x:v>Not Started</x:v>
      </x:c>
      <x:c r="H1705" s="192" t="n">
        <x:v>0</x:v>
      </x:c>
    </x:row>
    <x:row r="1706" ht="56" customHeight="1">
      <x:c r="A1706" s="192" t="str">
        <x:v>nuclear</x:v>
      </x:c>
      <x:c r="B1706" s="192" t="str">
        <x:v>word family</x:v>
      </x:c>
      <x:c r="C1706" s="194" t="str">
        <x:v>ядерний</x:v>
      </x:c>
      <x:c r="D1706" s="195" t="str">
        <x:v>Залучення енергії, що виділяється в результаті ядерних реакцій (поділу, синтезу, радіоактивного розпаду).</x:v>
      </x:c>
      <x:c r="E1706" s="192" t="str">
        <x:v>AWL 8</x:v>
      </x:c>
      <x:c r="F1706" s="192" t="str">
        <x:v>Medium</x:v>
      </x:c>
      <x:c r="G1706" s="192" t="str">
        <x:v>Not Started</x:v>
      </x:c>
      <x:c r="H1706" s="192" t="n">
        <x:v>0</x:v>
      </x:c>
    </x:row>
    <x:row r="1707" ht="56" customHeight="1">
      <x:c r="A1707" s="192" t="str">
        <x:v>offset</x:v>
      </x:c>
      <x:c r="B1707" s="192" t="str">
        <x:v>word family</x:v>
      </x:c>
      <x:c r="C1707" s="194" t="str">
        <x:v>зсув</x:v>
      </x:c>
      <x:c r="D1707" s="195" t="str">
        <x:v>Все, що діє як противага; компенсаційний еквівалент.</x:v>
      </x:c>
      <x:c r="E1707" s="192" t="str">
        <x:v>AWL 8</x:v>
      </x:c>
      <x:c r="F1707" s="192" t="str">
        <x:v>Medium</x:v>
      </x:c>
      <x:c r="G1707" s="192" t="str">
        <x:v>Not Started</x:v>
      </x:c>
      <x:c r="H1707" s="192" t="n">
        <x:v>0</x:v>
      </x:c>
    </x:row>
    <x:row r="1708" ht="56" customHeight="1">
      <x:c r="A1708" s="192" t="str">
        <x:v>paragraph</x:v>
      </x:c>
      <x:c r="B1708" s="192" t="str">
        <x:v>word family</x:v>
      </x:c>
      <x:c r="C1708" s="194" t="str">
        <x:v>пункт</x:v>
      </x:c>
      <x:c r="D1708" s="195" t="str">
        <x:v>Уривок у тексті, який починається з нового рядка, перший рядок іноді має відступ, і зазвичай позначає зміну теми.</x:v>
      </x:c>
      <x:c r="E1708" s="192" t="str">
        <x:v>AWL 8</x:v>
      </x:c>
      <x:c r="F1708" s="192" t="str">
        <x:v>Medium</x:v>
      </x:c>
      <x:c r="G1708" s="192" t="str">
        <x:v>Not Started</x:v>
      </x:c>
      <x:c r="H1708" s="192" t="n">
        <x:v>0</x:v>
      </x:c>
    </x:row>
    <x:row r="1709" ht="56" customHeight="1">
      <x:c r="A1709" s="192" t="str">
        <x:v>plus</x:v>
      </x:c>
      <x:c r="B1709" s="192" t="str">
        <x:v>word family</x:v>
      </x:c>
      <x:c r="C1709" s="194" t="str">
        <x:v>плюс</x:v>
      </x:c>
      <x:c r="D1709" s="195" t="str">
        <x:v>Позитивна величина.</x:v>
      </x:c>
      <x:c r="E1709" s="192" t="str">
        <x:v>AWL 8</x:v>
      </x:c>
      <x:c r="F1709" s="192" t="str">
        <x:v>Medium</x:v>
      </x:c>
      <x:c r="G1709" s="192" t="str">
        <x:v>Not Started</x:v>
      </x:c>
      <x:c r="H1709" s="192" t="n">
        <x:v>0</x:v>
      </x:c>
    </x:row>
    <x:row r="1710" ht="56" customHeight="1">
      <x:c r="A1710" s="192" t="str">
        <x:v>practitioners</x:v>
      </x:c>
      <x:c r="B1710" s="192" t="str">
        <x:v>word family</x:v>
      </x:c>
      <x:c r="C1710" s="194" t="str">
        <x:v>практиків</x:v>
      </x:c>
      <x:c r="D1710" s="195" t="str">
        <x:v>Людина, яка займається професією чи мистецтвом, особливо правом чи медициною.</x:v>
      </x:c>
      <x:c r="E1710" s="192" t="str">
        <x:v>AWL 8</x:v>
      </x:c>
      <x:c r="F1710" s="192" t="str">
        <x:v>Medium</x:v>
      </x:c>
      <x:c r="G1710" s="192" t="str">
        <x:v>Not Started</x:v>
      </x:c>
      <x:c r="H1710" s="192" t="n">
        <x:v>0</x:v>
      </x:c>
    </x:row>
    <x:row r="1711" ht="56" customHeight="1">
      <x:c r="A1711" s="192" t="str">
        <x:v>prospect</x:v>
      </x:c>
      <x:c r="B1711" s="192" t="str">
        <x:v>word family</x:v>
      </x:c>
      <x:c r="C1711" s="194" t="str">
        <x:v>перспектива</x:v>
      </x:c>
      <x:c r="D1711" s="195" t="str">
        <x:v>Потенційні речі, які можуть статися, часто сприятливі.</x:v>
      </x:c>
      <x:c r="E1711" s="192" t="str">
        <x:v>AWL 8</x:v>
      </x:c>
      <x:c r="F1711" s="192" t="str">
        <x:v>Medium</x:v>
      </x:c>
      <x:c r="G1711" s="192" t="str">
        <x:v>Not Started</x:v>
      </x:c>
      <x:c r="H1711" s="192" t="n">
        <x:v>0</x:v>
      </x:c>
    </x:row>
    <x:row r="1712" ht="56" customHeight="1">
      <x:c r="A1712" s="192" t="str">
        <x:v>random</x:v>
      </x:c>
      <x:c r="B1712" s="192" t="str">
        <x:v>word family</x:v>
      </x:c>
      <x:c r="C1712" s="194" t="str">
        <x:v>випадковий</x:v>
      </x:c>
      <x:c r="D1712" s="195" t="str">
        <x:v>Виникає без особливої ​​причини; випадковий, непередбачуваний.</x:v>
      </x:c>
      <x:c r="E1712" s="192" t="str">
        <x:v>AWL 8</x:v>
      </x:c>
      <x:c r="F1712" s="192" t="str">
        <x:v>Medium</x:v>
      </x:c>
      <x:c r="G1712" s="192" t="str">
        <x:v>Not Started</x:v>
      </x:c>
      <x:c r="H1712" s="192" t="n">
        <x:v>0</x:v>
      </x:c>
    </x:row>
    <x:row r="1713" ht="56" customHeight="1">
      <x:c r="A1713" s="192" t="str">
        <x:v>reinforced</x:v>
      </x:c>
      <x:c r="B1713" s="192" t="str">
        <x:v>word family</x:v>
      </x:c>
      <x:c r="C1713" s="194" t="str">
        <x:v>посилений</x:v>
      </x:c>
      <x:c r="D1713" s="195" t="str">
        <x:v>Був або містить підкріплення.</x:v>
      </x:c>
      <x:c r="E1713" s="192" t="str">
        <x:v>AWL 8</x:v>
      </x:c>
      <x:c r="F1713" s="192" t="str">
        <x:v>Medium</x:v>
      </x:c>
      <x:c r="G1713" s="192" t="str">
        <x:v>Not Started</x:v>
      </x:c>
      <x:c r="H1713" s="192" t="n">
        <x:v>0</x:v>
      </x:c>
    </x:row>
    <x:row r="1714" ht="56" customHeight="1">
      <x:c r="A1714" s="192" t="str">
        <x:v>restore</x:v>
      </x:c>
      <x:c r="B1714" s="192" t="str">
        <x:v>word family</x:v>
      </x:c>
      <x:c r="C1714" s="194" t="str">
        <x:v>відновити</x:v>
      </x:c>
      <x:c r="D1714" s="195" t="str">
        <x:v>Щоб відновити або повернути до існування.</x:v>
      </x:c>
      <x:c r="E1714" s="192" t="str">
        <x:v>AWL 8</x:v>
      </x:c>
      <x:c r="F1714" s="192" t="str">
        <x:v>Medium</x:v>
      </x:c>
      <x:c r="G1714" s="192" t="str">
        <x:v>Not Started</x:v>
      </x:c>
      <x:c r="H1714" s="192" t="n">
        <x:v>0</x:v>
      </x:c>
    </x:row>
    <x:row r="1715" ht="56" customHeight="1">
      <x:c r="A1715" s="192" t="str">
        <x:v>revision</x:v>
      </x:c>
      <x:c r="B1715" s="192" t="str">
        <x:v>word family</x:v>
      </x:c>
      <x:c r="C1715" s="194" t="str">
        <x:v>перегляд</x:v>
      </x:c>
      <x:c r="D1715" s="195" t="str">
        <x:v>Дія або процес перегляду, редагування та внесення змін.</x:v>
      </x:c>
      <x:c r="E1715" s="192" t="str">
        <x:v>AWL 8</x:v>
      </x:c>
      <x:c r="F1715" s="192" t="str">
        <x:v>Medium</x:v>
      </x:c>
      <x:c r="G1715" s="192" t="str">
        <x:v>Not Started</x:v>
      </x:c>
      <x:c r="H1715" s="192" t="n">
        <x:v>0</x:v>
      </x:c>
    </x:row>
    <x:row r="1716" ht="56" customHeight="1">
      <x:c r="A1716" s="192" t="str">
        <x:v>schedule</x:v>
      </x:c>
      <x:c r="B1716" s="192" t="str">
        <x:v>word family</x:v>
      </x:c>
      <x:c r="C1716" s="194" t="str">
        <x:v>графік</x:v>
      </x:c>
      <x:c r="D1716" s="195" t="str">
        <x:v>Процедурний план, як правило, але не обов’язково табличного характеру, із зазначенням послідовності операцій і запланованого часу, коли ці операції мають виконуватися.</x:v>
      </x:c>
      <x:c r="E1716" s="192" t="str">
        <x:v>AWL 8</x:v>
      </x:c>
      <x:c r="F1716" s="192" t="str">
        <x:v>Medium</x:v>
      </x:c>
      <x:c r="G1716" s="192" t="str">
        <x:v>Not Started</x:v>
      </x:c>
      <x:c r="H1716" s="192" t="n">
        <x:v>0</x:v>
      </x:c>
    </x:row>
    <x:row r="1717" ht="56" customHeight="1">
      <x:c r="A1717" s="192" t="str">
        <x:v>tension</x:v>
      </x:c>
      <x:c r="B1717" s="192" t="str">
        <x:v>word family</x:v>
      </x:c>
      <x:c r="C1717" s="194" t="str">
        <x:v>напруга</x:v>
      </x:c>
      <x:c r="D1717" s="195" t="str">
        <x:v>Умова перебування в стані між двома або більше силами, які діють протилежно одна одній.</x:v>
      </x:c>
      <x:c r="E1717" s="192" t="str">
        <x:v>AWL 8</x:v>
      </x:c>
      <x:c r="F1717" s="192" t="str">
        <x:v>Medium</x:v>
      </x:c>
      <x:c r="G1717" s="192" t="str">
        <x:v>Not Started</x:v>
      </x:c>
      <x:c r="H1717" s="192" t="n">
        <x:v>0</x:v>
      </x:c>
    </x:row>
    <x:row r="1718" ht="56" customHeight="1">
      <x:c r="A1718" s="192" t="str">
        <x:v>termination</x:v>
      </x:c>
      <x:c r="B1718" s="192" t="str">
        <x:v>word family</x:v>
      </x:c>
      <x:c r="C1718" s="194" t="str">
        <x:v>припинення</x:v>
      </x:c>
      <x:c r="D1718" s="195" t="str">
        <x:v>Процес припинення або стан припинення.</x:v>
      </x:c>
      <x:c r="E1718" s="192" t="str">
        <x:v>AWL 8</x:v>
      </x:c>
      <x:c r="F1718" s="192" t="str">
        <x:v>Medium</x:v>
      </x:c>
      <x:c r="G1718" s="192" t="str">
        <x:v>Not Started</x:v>
      </x:c>
      <x:c r="H1718" s="192" t="n">
        <x:v>0</x:v>
      </x:c>
    </x:row>
    <x:row r="1719" ht="56" customHeight="1">
      <x:c r="A1719" s="192" t="str">
        <x:v>theme</x:v>
      </x:c>
      <x:c r="B1719" s="192" t="str">
        <x:v>word family</x:v>
      </x:c>
      <x:c r="C1719" s="194" t="str">
        <x:v>тема</x:v>
      </x:c>
      <x:c r="D1719" s="195" t="str">
        <x:v>Предмет, тепер особливо розмови чи художнього твору; тема.</x:v>
      </x:c>
      <x:c r="E1719" s="192" t="str">
        <x:v>AWL 8</x:v>
      </x:c>
      <x:c r="F1719" s="192" t="str">
        <x:v>Medium</x:v>
      </x:c>
      <x:c r="G1719" s="192" t="str">
        <x:v>Not Started</x:v>
      </x:c>
      <x:c r="H1719" s="192" t="n">
        <x:v>0</x:v>
      </x:c>
    </x:row>
    <x:row r="1720" ht="56" customHeight="1">
      <x:c r="A1720" s="192" t="str">
        <x:v>uniform</x:v>
      </x:c>
      <x:c r="B1720" s="192" t="str">
        <x:v>word family</x:v>
      </x:c>
      <x:c r="C1720" s="194" t="str">
        <x:v>уніформа</x:v>
      </x:c>
      <x:c r="D1720" s="195" t="str">
        <x:v>Відмітний одяг, який служить для ідентифікації членів групи, компанії, ув'язнених тощо.</x:v>
      </x:c>
      <x:c r="E1720" s="192" t="str">
        <x:v>AWL 8</x:v>
      </x:c>
      <x:c r="F1720" s="192" t="str">
        <x:v>Medium</x:v>
      </x:c>
      <x:c r="G1720" s="192" t="str">
        <x:v>Not Started</x:v>
      </x:c>
      <x:c r="H1720" s="192" t="n">
        <x:v>0</x:v>
      </x:c>
    </x:row>
    <x:row r="1721" ht="56" customHeight="1">
      <x:c r="A1721" s="192" t="str">
        <x:v>vehicle</x:v>
      </x:c>
      <x:c r="B1721" s="192" t="str">
        <x:v>word family</x:v>
      </x:c>
      <x:c r="C1721" s="194" t="str">
        <x:v>транспортний засіб</x:v>
      </x:c>
      <x:c r="D1721" s="195" t="str">
        <x:v>Транспортний засіб: місткий пристрій для перенесення або транспортування речовин, предметів, людей або тварин.</x:v>
      </x:c>
      <x:c r="E1721" s="192" t="str">
        <x:v>AWL 8</x:v>
      </x:c>
      <x:c r="F1721" s="192" t="str">
        <x:v>Medium</x:v>
      </x:c>
      <x:c r="G1721" s="192" t="str">
        <x:v>Not Started</x:v>
      </x:c>
      <x:c r="H1721" s="192" t="n">
        <x:v>0</x:v>
      </x:c>
    </x:row>
    <x:row r="1722" ht="56" customHeight="1">
      <x:c r="A1722" s="192" t="str">
        <x:v>via</x:v>
      </x:c>
      <x:c r="B1722" s="192" t="str">
        <x:v>word family</x:v>
      </x:c>
      <x:c r="C1722" s="194" t="str">
        <x:v>через</x:v>
      </x:c>
      <x:c r="D1722" s="195" t="str">
        <x:v>Електричне з’єднання, яке з’єднує два або більше шарів на друкованій платі або інтегральній схемі.</x:v>
      </x:c>
      <x:c r="E1722" s="192" t="str">
        <x:v>AWL 8</x:v>
      </x:c>
      <x:c r="F1722" s="192" t="str">
        <x:v>Medium</x:v>
      </x:c>
      <x:c r="G1722" s="192" t="str">
        <x:v>Not Started</x:v>
      </x:c>
      <x:c r="H1722" s="192" t="n">
        <x:v>0</x:v>
      </x:c>
    </x:row>
    <x:row r="1723" ht="56" customHeight="1">
      <x:c r="A1723" s="192" t="str">
        <x:v>virtually</x:v>
      </x:c>
      <x:c r="B1723" s="192" t="str">
        <x:v>word family</x:v>
      </x:c>
      <x:c r="C1723" s="194" t="str">
        <x:v>практично</x:v>
      </x:c>
      <x:c r="D1723" s="195" t="str">
        <x:v>Майже, але не зовсім.</x:v>
      </x:c>
      <x:c r="E1723" s="192" t="str">
        <x:v>AWL 8</x:v>
      </x:c>
      <x:c r="F1723" s="192" t="str">
        <x:v>Medium</x:v>
      </x:c>
      <x:c r="G1723" s="192" t="str">
        <x:v>Not Started</x:v>
      </x:c>
      <x:c r="H1723" s="192" t="n">
        <x:v>0</x:v>
      </x:c>
    </x:row>
    <x:row r="1724" ht="56" customHeight="1">
      <x:c r="A1724" s="192" t="str">
        <x:v>widespread</x:v>
      </x:c>
      <x:c r="B1724" s="192" t="str">
        <x:v>word family</x:v>
      </x:c>
      <x:c r="C1724" s="194" t="str">
        <x:v>широко поширені</x:v>
      </x:c>
      <x:c r="D1724" s="195" t="str">
        <x:v>Впливає на велику територію (наприклад, всю землю чи тіло) або виявляється на ній; широкий за обсягом; широко розповсюджений.</x:v>
      </x:c>
      <x:c r="E1724" s="192" t="str">
        <x:v>AWL 8</x:v>
      </x:c>
      <x:c r="F1724" s="192" t="str">
        <x:v>Medium</x:v>
      </x:c>
      <x:c r="G1724" s="192" t="str">
        <x:v>Not Started</x:v>
      </x:c>
      <x:c r="H1724" s="192" t="n">
        <x:v>0</x:v>
      </x:c>
    </x:row>
    <x:row r="1725" ht="56" customHeight="1">
      <x:c r="A1725" s="192" t="str">
        <x:v>visual</x:v>
      </x:c>
      <x:c r="B1725" s="192" t="str">
        <x:v>word family</x:v>
      </x:c>
      <x:c r="C1725" s="194" t="str">
        <x:v>візуальний</x:v>
      </x:c>
      <x:c r="D1725" s="195" t="str">
        <x:v>Пов’язані із зором або впливають на нього.</x:v>
      </x:c>
      <x:c r="E1725" s="192" t="str">
        <x:v>AWL 8</x:v>
      </x:c>
      <x:c r="F1725" s="192" t="str">
        <x:v>Medium</x:v>
      </x:c>
      <x:c r="G1725" s="192" t="str">
        <x:v>Not Started</x:v>
      </x:c>
      <x:c r="H1725" s="192" t="n">
        <x:v>0</x:v>
      </x:c>
    </x:row>
    <x:row r="1726" ht="56" customHeight="1">
      <x:c r="A1726" s="192" t="str">
        <x:v>accommodation</x:v>
      </x:c>
      <x:c r="B1726" s="192" t="str">
        <x:v>word family</x:v>
      </x:c>
      <x:c r="C1726" s="194" t="str">
        <x:v>проживання</x:v>
      </x:c>
      <x:c r="D1726" s="195" t="str">
        <x:v>Проживання в житлі чи подібних житлових приміщеннях, які надаються мандрівникам у готелях або на круїзних суднах, або ув’язненим тощо.</x:v>
      </x:c>
      <x:c r="E1726" s="192" t="str">
        <x:v>AWL 9</x:v>
      </x:c>
      <x:c r="F1726" s="192" t="str">
        <x:v>Medium</x:v>
      </x:c>
      <x:c r="G1726" s="192" t="str">
        <x:v>Not Started</x:v>
      </x:c>
      <x:c r="H1726" s="192" t="n">
        <x:v>0</x:v>
      </x:c>
    </x:row>
    <x:row r="1727" ht="56" customHeight="1">
      <x:c r="A1727" s="192" t="str">
        <x:v>analogous</x:v>
      </x:c>
      <x:c r="B1727" s="192" t="str">
        <x:v>word family</x:v>
      </x:c>
      <x:c r="C1727" s="194" t="str">
        <x:v>аналогічний</x:v>
      </x:c>
      <x:c r="D1727" s="195" t="str">
        <x:v>Наявність аналога, статус аналога; відповідний чомусь іншому; має певну схожість або схожу пропорцію (часто після «до».)</x:v>
      </x:c>
      <x:c r="E1727" s="192" t="str">
        <x:v>AWL 9</x:v>
      </x:c>
      <x:c r="F1727" s="192" t="str">
        <x:v>Medium</x:v>
      </x:c>
      <x:c r="G1727" s="192" t="str">
        <x:v>Not Started</x:v>
      </x:c>
      <x:c r="H1727" s="192" t="n">
        <x:v>0</x:v>
      </x:c>
    </x:row>
    <x:row r="1728" ht="56" customHeight="1">
      <x:c r="A1728" s="192" t="str">
        <x:v>anticipated</x:v>
      </x:c>
      <x:c r="B1728" s="192" t="str">
        <x:v>word family</x:v>
      </x:c>
      <x:c r="C1728" s="194" t="str">
        <x:v>очікуваний</x:v>
      </x:c>
      <x:c r="D1728" s="195" t="str">
        <x:v>очікується прибуття; заплановано</x:v>
      </x:c>
      <x:c r="E1728" s="192" t="str">
        <x:v>AWL 9</x:v>
      </x:c>
      <x:c r="F1728" s="192" t="str">
        <x:v>Medium</x:v>
      </x:c>
      <x:c r="G1728" s="192" t="str">
        <x:v>Not Started</x:v>
      </x:c>
      <x:c r="H1728" s="192" t="n">
        <x:v>0</x:v>
      </x:c>
    </x:row>
    <x:row r="1729" ht="56" customHeight="1">
      <x:c r="A1729" s="192" t="str">
        <x:v>attained</x:v>
      </x:c>
      <x:c r="B1729" s="192" t="str">
        <x:v>word family</x:v>
      </x:c>
      <x:c r="C1729" s="194" t="str">
        <x:v>досягнуто</x:v>
      </x:c>
      <x:c r="D1729" s="195" t="str">
        <x:v>Бути досягнутим або досягнутим.</x:v>
      </x:c>
      <x:c r="E1729" s="192" t="str">
        <x:v>AWL 9</x:v>
      </x:c>
      <x:c r="F1729" s="192" t="str">
        <x:v>Medium</x:v>
      </x:c>
      <x:c r="G1729" s="192" t="str">
        <x:v>Not Started</x:v>
      </x:c>
      <x:c r="H1729" s="192" t="n">
        <x:v>0</x:v>
      </x:c>
    </x:row>
    <x:row r="1730" ht="56" customHeight="1">
      <x:c r="A1730" s="192" t="str">
        <x:v>ceases</x:v>
      </x:c>
      <x:c r="B1730" s="192" t="str">
        <x:v>word family</x:v>
      </x:c>
      <x:c r="C1730" s="194" t="str">
        <x:v>припиняється</x:v>
      </x:c>
      <x:c r="D1730" s="195" t="str">
        <x:v>Щоб зупинитися.</x:v>
      </x:c>
      <x:c r="E1730" s="192" t="str">
        <x:v>AWL 9</x:v>
      </x:c>
      <x:c r="F1730" s="192" t="str">
        <x:v>Medium</x:v>
      </x:c>
      <x:c r="G1730" s="192" t="str">
        <x:v>Not Started</x:v>
      </x:c>
      <x:c r="H1730" s="192" t="n">
        <x:v>0</x:v>
      </x:c>
    </x:row>
    <x:row r="1731" ht="56" customHeight="1">
      <x:c r="A1731" s="192" t="str">
        <x:v>coherence</x:v>
      </x:c>
      <x:c r="B1731" s="192" t="str">
        <x:v>word family</x:v>
      </x:c>
      <x:c r="C1731" s="194" t="str">
        <x:v>узгодженість</x:v>
      </x:c>
      <x:c r="D1731" s="195" t="str">
        <x:v>Якість утворення єдиного цілого.</x:v>
      </x:c>
      <x:c r="E1731" s="192" t="str">
        <x:v>AWL 9</x:v>
      </x:c>
      <x:c r="F1731" s="192" t="str">
        <x:v>Medium</x:v>
      </x:c>
      <x:c r="G1731" s="192" t="str">
        <x:v>Not Started</x:v>
      </x:c>
      <x:c r="H1731" s="192" t="n">
        <x:v>0</x:v>
      </x:c>
    </x:row>
    <x:row r="1732" ht="56" customHeight="1">
      <x:c r="A1732" s="192" t="str">
        <x:v>commenced</x:v>
      </x:c>
      <x:c r="B1732" s="192" t="str">
        <x:v>word family</x:v>
      </x:c>
      <x:c r="C1732" s="194" t="str">
        <x:v>розпочато</x:v>
      </x:c>
      <x:c r="D1732" s="195" t="str">
        <x:v>Щоб почати, почніть.</x:v>
      </x:c>
      <x:c r="E1732" s="192" t="str">
        <x:v>AWL 9</x:v>
      </x:c>
      <x:c r="F1732" s="192" t="str">
        <x:v>Medium</x:v>
      </x:c>
      <x:c r="G1732" s="192" t="str">
        <x:v>Not Started</x:v>
      </x:c>
      <x:c r="H1732" s="192" t="n">
        <x:v>0</x:v>
      </x:c>
    </x:row>
    <x:row r="1733" ht="56" customHeight="1">
      <x:c r="A1733" s="192" t="str">
        <x:v>incompatible</x:v>
      </x:c>
      <x:c r="B1733" s="192" t="str">
        <x:v>word family</x:v>
      </x:c>
      <x:c r="C1733" s="194" t="str">
        <x:v>несумісні</x:v>
      </x:c>
      <x:c r="D1733" s="195" t="str">
        <x:v>З двох речей: це не може співіснувати; не збігаються через відмінності; не можуть працювати разом через відмінності.</x:v>
      </x:c>
      <x:c r="E1733" s="192" t="str">
        <x:v>AWL 9</x:v>
      </x:c>
      <x:c r="F1733" s="192" t="str">
        <x:v>Medium</x:v>
      </x:c>
      <x:c r="G1733" s="192" t="str">
        <x:v>Not Started</x:v>
      </x:c>
      <x:c r="H1733" s="192" t="n">
        <x:v>0</x:v>
      </x:c>
    </x:row>
    <x:row r="1734" ht="56" customHeight="1">
      <x:c r="A1734" s="192" t="str">
        <x:v>concurrent</x:v>
      </x:c>
      <x:c r="B1734" s="192" t="str">
        <x:v>word family</x:v>
      </x:c>
      <x:c r="C1734" s="194" t="str">
        <x:v>одночасний</x:v>
      </x:c>
      <x:c r="D1734" s="195" t="str">
        <x:v>Відбувається одночасно; одночасний.</x:v>
      </x:c>
      <x:c r="E1734" s="192" t="str">
        <x:v>AWL 9</x:v>
      </x:c>
      <x:c r="F1734" s="192" t="str">
        <x:v>Medium</x:v>
      </x:c>
      <x:c r="G1734" s="192" t="str">
        <x:v>Not Started</x:v>
      </x:c>
      <x:c r="H1734" s="192" t="n">
        <x:v>0</x:v>
      </x:c>
    </x:row>
    <x:row r="1735" ht="56" customHeight="1">
      <x:c r="A1735" s="192" t="str">
        <x:v>confined</x:v>
      </x:c>
      <x:c r="B1735" s="192" t="str">
        <x:v>word family</x:v>
      </x:c>
      <x:c r="C1735" s="194" t="str">
        <x:v>обмежений</x:v>
      </x:c>
      <x:c r="D1735" s="195" t="str">
        <x:v>Не вільно рухатися.</x:v>
      </x:c>
      <x:c r="E1735" s="192" t="str">
        <x:v>AWL 9</x:v>
      </x:c>
      <x:c r="F1735" s="192" t="str">
        <x:v>Medium</x:v>
      </x:c>
      <x:c r="G1735" s="192" t="str">
        <x:v>Not Started</x:v>
      </x:c>
      <x:c r="H1735" s="192" t="n">
        <x:v>0</x:v>
      </x:c>
    </x:row>
    <x:row r="1736" ht="56" customHeight="1">
      <x:c r="A1736" s="192" t="str">
        <x:v>controversy</x:v>
      </x:c>
      <x:c r="B1736" s="192" t="str">
        <x:v>word family</x:v>
      </x:c>
      <x:c r="C1736" s="194" t="str">
        <x:v>суперечка</x:v>
      </x:c>
      <x:c r="D1736" s="195" t="str">
        <x:v>Дебати або обговорення протилежних думок; (загалом) сварка.</x:v>
      </x:c>
      <x:c r="E1736" s="192" t="str">
        <x:v>AWL 9</x:v>
      </x:c>
      <x:c r="F1736" s="192" t="str">
        <x:v>Medium</x:v>
      </x:c>
      <x:c r="G1736" s="192" t="str">
        <x:v>Not Started</x:v>
      </x:c>
      <x:c r="H1736" s="192" t="n">
        <x:v>0</x:v>
      </x:c>
    </x:row>
    <x:row r="1737" ht="56" customHeight="1">
      <x:c r="A1737" s="192" t="str">
        <x:v>conversely</x:v>
      </x:c>
      <x:c r="B1737" s="192" t="str">
        <x:v>word family</x:v>
      </x:c>
      <x:c r="C1737" s="194" t="str">
        <x:v>навпаки</x:v>
      </x:c>
      <x:c r="D1737" s="195" t="str">
        <x:v>З іншої точки зору; з іншого боку.</x:v>
      </x:c>
      <x:c r="E1737" s="192" t="str">
        <x:v>AWL 9</x:v>
      </x:c>
      <x:c r="F1737" s="192" t="str">
        <x:v>Medium</x:v>
      </x:c>
      <x:c r="G1737" s="192" t="str">
        <x:v>Not Started</x:v>
      </x:c>
      <x:c r="H1737" s="192" t="n">
        <x:v>0</x:v>
      </x:c>
    </x:row>
    <x:row r="1738" ht="56" customHeight="1">
      <x:c r="A1738" s="192" t="str">
        <x:v>device</x:v>
      </x:c>
      <x:c r="B1738" s="192" t="str">
        <x:v>word family</x:v>
      </x:c>
      <x:c r="C1738" s="194" t="str">
        <x:v>пристрій</x:v>
      </x:c>
      <x:c r="D1738" s="195" t="str">
        <x:v>Будь-яка частина обладнання, виготовлена ​​для певної мети, особливо механічна чи електрична.</x:v>
      </x:c>
      <x:c r="E1738" s="192" t="str">
        <x:v>AWL 9</x:v>
      </x:c>
      <x:c r="F1738" s="192" t="str">
        <x:v>Medium</x:v>
      </x:c>
      <x:c r="G1738" s="192" t="str">
        <x:v>Not Started</x:v>
      </x:c>
      <x:c r="H1738" s="192" t="n">
        <x:v>0</x:v>
      </x:c>
    </x:row>
    <x:row r="1739" ht="56" customHeight="1">
      <x:c r="A1739" s="192" t="str">
        <x:v>devoted</x:v>
      </x:c>
      <x:c r="B1739" s="192" t="str">
        <x:v>word family</x:v>
      </x:c>
      <x:c r="C1739" s="194" t="str">
        <x:v>відданий</x:v>
      </x:c>
      <x:c r="D1739" s="195" t="str">
        <x:v>Сильна емоційна прив'язаність; дуже любити когось або щось.</x:v>
      </x:c>
      <x:c r="E1739" s="192" t="str">
        <x:v>AWL 9</x:v>
      </x:c>
      <x:c r="F1739" s="192" t="str">
        <x:v>Medium</x:v>
      </x:c>
      <x:c r="G1739" s="192" t="str">
        <x:v>Not Started</x:v>
      </x:c>
      <x:c r="H1739" s="192" t="n">
        <x:v>0</x:v>
      </x:c>
    </x:row>
    <x:row r="1740" ht="56" customHeight="1">
      <x:c r="A1740" s="192" t="str">
        <x:v>diminished</x:v>
      </x:c>
      <x:c r="B1740" s="192" t="str">
        <x:v>word family</x:v>
      </x:c>
      <x:c r="C1740" s="194" t="str">
        <x:v>зменшився</x:v>
      </x:c>
      <x:c r="D1740" s="195" t="str">
        <x:v>зменшений, зменшений</x:v>
      </x:c>
      <x:c r="E1740" s="192" t="str">
        <x:v>AWL 9</x:v>
      </x:c>
      <x:c r="F1740" s="192" t="str">
        <x:v>Medium</x:v>
      </x:c>
      <x:c r="G1740" s="192" t="str">
        <x:v>Not Started</x:v>
      </x:c>
      <x:c r="H1740" s="192" t="n">
        <x:v>0</x:v>
      </x:c>
    </x:row>
    <x:row r="1741" ht="56" customHeight="1">
      <x:c r="A1741" s="192" t="str">
        <x:v>duration</x:v>
      </x:c>
      <x:c r="B1741" s="192" t="str">
        <x:v>word family</x:v>
      </x:c>
      <x:c r="C1741" s="194" t="str">
        <x:v>тривалість</x:v>
      </x:c>
      <x:c r="D1741" s="195" t="str">
        <x:v>Проміжок часу або певний проміжок часу.</x:v>
      </x:c>
      <x:c r="E1741" s="192" t="str">
        <x:v>AWL 9</x:v>
      </x:c>
      <x:c r="F1741" s="192" t="str">
        <x:v>Medium</x:v>
      </x:c>
      <x:c r="G1741" s="192" t="str">
        <x:v>Not Started</x:v>
      </x:c>
      <x:c r="H1741" s="192" t="n">
        <x:v>0</x:v>
      </x:c>
    </x:row>
    <x:row r="1742" ht="56" customHeight="1">
      <x:c r="A1742" s="192" t="str">
        <x:v>erosion</x:v>
      </x:c>
      <x:c r="B1742" s="192" t="str">
        <x:v>word family</x:v>
      </x:c>
      <x:c r="C1742" s="194" t="str">
        <x:v>ерозія</x:v>
      </x:c>
      <x:c r="D1742" s="195" t="str">
        <x:v>Результат зносу або ерозії, як льодовик на скелі або море на скелі.</x:v>
      </x:c>
      <x:c r="E1742" s="192" t="str">
        <x:v>AWL 9</x:v>
      </x:c>
      <x:c r="F1742" s="192" t="str">
        <x:v>Medium</x:v>
      </x:c>
      <x:c r="G1742" s="192" t="str">
        <x:v>Not Started</x:v>
      </x:c>
      <x:c r="H1742" s="192" t="n">
        <x:v>0</x:v>
      </x:c>
    </x:row>
    <x:row r="1743" ht="56" customHeight="1">
      <x:c r="A1743" s="192" t="str">
        <x:v>ethical</x:v>
      </x:c>
      <x:c r="B1743" s="192" t="str">
        <x:v>word family</x:v>
      </x:c>
      <x:c r="C1743" s="194" t="str">
        <x:v>етичний</x:v>
      </x:c>
      <x:c r="D1743" s="195" t="str">
        <x:v>Що стосується загальноприйнятих принципів правильного й неправильного, особливо в певній організації чи професії.</x:v>
      </x:c>
      <x:c r="E1743" s="192" t="str">
        <x:v>AWL 9</x:v>
      </x:c>
      <x:c r="F1743" s="192" t="str">
        <x:v>Medium</x:v>
      </x:c>
      <x:c r="G1743" s="192" t="str">
        <x:v>Not Started</x:v>
      </x:c>
      <x:c r="H1743" s="192" t="n">
        <x:v>0</x:v>
      </x:c>
    </x:row>
    <x:row r="1744" ht="56" customHeight="1">
      <x:c r="A1744" s="192" t="str">
        <x:v>format</x:v>
      </x:c>
      <x:c r="B1744" s="192" t="str">
        <x:v>word family</x:v>
      </x:c>
      <x:c r="C1744" s="194" t="str">
        <x:v>формат</x:v>
      </x:c>
      <x:c r="D1744" s="195" t="str">
        <x:v>Макет публікації чи документа.</x:v>
      </x:c>
      <x:c r="E1744" s="192" t="str">
        <x:v>AWL 9</x:v>
      </x:c>
      <x:c r="F1744" s="192" t="str">
        <x:v>Medium</x:v>
      </x:c>
      <x:c r="G1744" s="192" t="str">
        <x:v>Not Started</x:v>
      </x:c>
      <x:c r="H1744" s="192" t="n">
        <x:v>0</x:v>
      </x:c>
    </x:row>
    <x:row r="1745" ht="56" customHeight="1">
      <x:c r="A1745" s="192" t="str">
        <x:v>founded</x:v>
      </x:c>
      <x:c r="B1745" s="192" t="str">
        <x:v>word family</x:v>
      </x:c>
      <x:c r="C1745" s="194" t="str">
        <x:v>заснована</x:v>
      </x:c>
      <x:c r="D1745" s="195" t="str">
        <x:v>Наявність основи.</x:v>
      </x:c>
      <x:c r="E1745" s="192" t="str">
        <x:v>AWL 9</x:v>
      </x:c>
      <x:c r="F1745" s="192" t="str">
        <x:v>Medium</x:v>
      </x:c>
      <x:c r="G1745" s="192" t="str">
        <x:v>Not Started</x:v>
      </x:c>
      <x:c r="H1745" s="192" t="n">
        <x:v>0</x:v>
      </x:c>
    </x:row>
    <x:row r="1746" ht="56" customHeight="1">
      <x:c r="A1746" s="192" t="str">
        <x:v>insights</x:v>
      </x:c>
      <x:c r="B1746" s="192" t="str">
        <x:v>word family</x:v>
      </x:c>
      <x:c r="C1746" s="194" t="str">
        <x:v>уявлення</x:v>
      </x:c>
      <x:c r="D1746" s="195" t="str">
        <x:v>Глибоке й точне розуміння складного питання або ситуації.</x:v>
      </x:c>
      <x:c r="E1746" s="192" t="str">
        <x:v>AWL 9</x:v>
      </x:c>
      <x:c r="F1746" s="192" t="str">
        <x:v>Medium</x:v>
      </x:c>
      <x:c r="G1746" s="192" t="str">
        <x:v>Not Started</x:v>
      </x:c>
      <x:c r="H1746" s="192" t="n">
        <x:v>0</x:v>
      </x:c>
    </x:row>
    <x:row r="1747" ht="56" customHeight="1">
      <x:c r="A1747" s="192" t="str">
        <x:v>manual</x:v>
      </x:c>
      <x:c r="B1747" s="192" t="str">
        <x:v>word family</x:v>
      </x:c>
      <x:c r="C1747" s="194" t="str">
        <x:v>посібник</x:v>
      </x:c>
      <x:c r="D1747" s="195" t="str">
        <x:v>Синонім довідника.</x:v>
      </x:c>
      <x:c r="E1747" s="192" t="str">
        <x:v>AWL 9</x:v>
      </x:c>
      <x:c r="F1747" s="192" t="str">
        <x:v>Medium</x:v>
      </x:c>
      <x:c r="G1747" s="192" t="str">
        <x:v>Not Started</x:v>
      </x:c>
      <x:c r="H1747" s="192" t="n">
        <x:v>0</x:v>
      </x:c>
    </x:row>
    <x:row r="1748" ht="56" customHeight="1">
      <x:c r="A1748" s="192" t="str">
        <x:v>mediation</x:v>
      </x:c>
      <x:c r="B1748" s="192" t="str">
        <x:v>word family</x:v>
      </x:c>
      <x:c r="C1748" s="194" t="str">
        <x:v>посередництво</x:v>
      </x:c>
      <x:c r="D1748" s="195" t="str">
        <x:v>Переговори для вирішення розбіжностей, які проводяться неупередженою стороною.</x:v>
      </x:c>
      <x:c r="E1748" s="192" t="str">
        <x:v>AWL 9</x:v>
      </x:c>
      <x:c r="F1748" s="192" t="str">
        <x:v>Medium</x:v>
      </x:c>
      <x:c r="G1748" s="192" t="str">
        <x:v>Not Started</x:v>
      </x:c>
      <x:c r="H1748" s="192" t="n">
        <x:v>0</x:v>
      </x:c>
    </x:row>
    <x:row r="1749" ht="56" customHeight="1">
      <x:c r="A1749" s="192" t="str">
        <x:v>medium</x:v>
      </x:c>
      <x:c r="B1749" s="192" t="str">
        <x:v>word family</x:v>
      </x:c>
      <x:c r="C1749" s="194" t="str">
        <x:v>середній</x:v>
      </x:c>
      <x:c r="D1749" s="195" t="str">
        <x:v>Формат для передачі або подання інформації.</x:v>
      </x:c>
      <x:c r="E1749" s="192" t="str">
        <x:v>AWL 9</x:v>
      </x:c>
      <x:c r="F1749" s="192" t="str">
        <x:v>Medium</x:v>
      </x:c>
      <x:c r="G1749" s="192" t="str">
        <x:v>Not Started</x:v>
      </x:c>
      <x:c r="H1749" s="192" t="n">
        <x:v>0</x:v>
      </x:c>
    </x:row>
    <x:row r="1750" ht="56" customHeight="1">
      <x:c r="A1750" s="192" t="str">
        <x:v>military</x:v>
      </x:c>
      <x:c r="B1750" s="192" t="str">
        <x:v>word family</x:v>
      </x:c>
      <x:c r="C1750" s="194" t="str">
        <x:v>військовий</x:v>
      </x:c>
      <x:c r="D1750" s="195" t="str">
        <x:v>Стосовно збройних сил, таких як армія, морська піхота, флот і авіація (часто на відміну від цивільних чи поліцейських сил).</x:v>
      </x:c>
      <x:c r="E1750" s="192" t="str">
        <x:v>AWL 9</x:v>
      </x:c>
      <x:c r="F1750" s="192" t="str">
        <x:v>Medium</x:v>
      </x:c>
      <x:c r="G1750" s="192" t="str">
        <x:v>Not Started</x:v>
      </x:c>
      <x:c r="H1750" s="192" t="n">
        <x:v>0</x:v>
      </x:c>
    </x:row>
    <x:row r="1751" ht="56" customHeight="1">
      <x:c r="A1751" s="192" t="str">
        <x:v>norms</x:v>
      </x:c>
      <x:c r="B1751" s="192" t="str">
        <x:v>word family</x:v>
      </x:c>
      <x:c r="C1751" s="194" t="str">
        <x:v>норми</x:v>
      </x:c>
      <x:c r="D1751" s="195" t="str">
        <x:v>Те, що є нормальним або типовим.</x:v>
      </x:c>
      <x:c r="E1751" s="192" t="str">
        <x:v>AWL 9</x:v>
      </x:c>
      <x:c r="F1751" s="192" t="str">
        <x:v>Medium</x:v>
      </x:c>
      <x:c r="G1751" s="192" t="str">
        <x:v>Not Started</x:v>
      </x:c>
      <x:c r="H1751" s="192" t="n">
        <x:v>0</x:v>
      </x:c>
    </x:row>
    <x:row r="1752" ht="56" customHeight="1">
      <x:c r="A1752" s="192" t="str">
        <x:v>overlap</x:v>
      </x:c>
      <x:c r="B1752" s="192" t="str">
        <x:v>word family</x:v>
      </x:c>
      <x:c r="C1752" s="194" t="str">
        <x:v>перекриття</x:v>
      </x:c>
      <x:c r="D1752" s="195" t="str">
        <x:v>Поширюватися на щось і частково покривати його.</x:v>
      </x:c>
      <x:c r="E1752" s="192" t="str">
        <x:v>AWL 9</x:v>
      </x:c>
      <x:c r="F1752" s="192" t="str">
        <x:v>Medium</x:v>
      </x:c>
      <x:c r="G1752" s="192" t="str">
        <x:v>Not Started</x:v>
      </x:c>
      <x:c r="H1752" s="192" t="n">
        <x:v>0</x:v>
      </x:c>
    </x:row>
    <x:row r="1753" ht="56" customHeight="1">
      <x:c r="A1753" s="192" t="str">
        <x:v>portion</x:v>
      </x:c>
      <x:c r="B1753" s="192" t="str">
        <x:v>word family</x:v>
      </x:c>
      <x:c r="C1753" s="194" t="str">
        <x:v>частина</x:v>
      </x:c>
      <x:c r="D1753" s="195" t="str">
        <x:v>Виділена сума.</x:v>
      </x:c>
      <x:c r="E1753" s="192" t="str">
        <x:v>AWL 9</x:v>
      </x:c>
      <x:c r="F1753" s="192" t="str">
        <x:v>Medium</x:v>
      </x:c>
      <x:c r="G1753" s="192" t="str">
        <x:v>Not Started</x:v>
      </x:c>
      <x:c r="H1753" s="192" t="n">
        <x:v>0</x:v>
      </x:c>
    </x:row>
    <x:row r="1754" ht="56" customHeight="1">
      <x:c r="A1754" s="192" t="str">
        <x:v>qualitative</x:v>
      </x:c>
      <x:c r="B1754" s="192" t="str">
        <x:v>word family</x:v>
      </x:c>
      <x:c r="C1754" s="194" t="str">
        <x:v>якісний</x:v>
      </x:c>
      <x:c r="D1754" s="195" t="str">
        <x:v>Описів або відмінностей, заснованих на певній якості, а не на певній кількості.</x:v>
      </x:c>
      <x:c r="E1754" s="192" t="str">
        <x:v>AWL 9</x:v>
      </x:c>
      <x:c r="F1754" s="192" t="str">
        <x:v>Medium</x:v>
      </x:c>
      <x:c r="G1754" s="192" t="str">
        <x:v>Not Started</x:v>
      </x:c>
      <x:c r="H1754" s="192" t="n">
        <x:v>0</x:v>
      </x:c>
    </x:row>
    <x:row r="1755" ht="56" customHeight="1">
      <x:c r="A1755" s="192" t="str">
        <x:v>refine</x:v>
      </x:c>
      <x:c r="B1755" s="192" t="str">
        <x:v>word family</x:v>
      </x:c>
      <x:c r="C1755" s="194" t="str">
        <x:v>доопрацювати</x:v>
      </x:c>
      <x:c r="D1755" s="195" t="str">
        <x:v>Щоб покращити точність, делікатність або досконалість.</x:v>
      </x:c>
      <x:c r="E1755" s="192" t="str">
        <x:v>AWL 9</x:v>
      </x:c>
      <x:c r="F1755" s="192" t="str">
        <x:v>Medium</x:v>
      </x:c>
      <x:c r="G1755" s="192" t="str">
        <x:v>Not Started</x:v>
      </x:c>
      <x:c r="H1755" s="192" t="n">
        <x:v>0</x:v>
      </x:c>
    </x:row>
    <x:row r="1756" ht="56" customHeight="1">
      <x:c r="A1756" s="192" t="str">
        <x:v>relaxed</x:v>
      </x:c>
      <x:c r="B1756" s="192" t="str">
        <x:v>word family</x:v>
      </x:c>
      <x:c r="C1756" s="194" t="str">
        <x:v>розслаблений</x:v>
      </x:c>
      <x:c r="D1756" s="195" t="str">
        <x:v>Вільний від напруги або тривоги; невимушено; неквапливий.</x:v>
      </x:c>
      <x:c r="E1756" s="192" t="str">
        <x:v>AWL 9</x:v>
      </x:c>
      <x:c r="F1756" s="192" t="str">
        <x:v>Medium</x:v>
      </x:c>
      <x:c r="G1756" s="192" t="str">
        <x:v>Not Started</x:v>
      </x:c>
      <x:c r="H1756" s="192" t="n">
        <x:v>0</x:v>
      </x:c>
    </x:row>
    <x:row r="1757" ht="56" customHeight="1">
      <x:c r="A1757" s="192" t="str">
        <x:v>restraints</x:v>
      </x:c>
      <x:c r="B1757" s="192" t="str">
        <x:v>word family</x:v>
      </x:c>
      <x:c r="C1757" s="194" t="str">
        <x:v>обмеження</x:v>
      </x:c>
      <x:c r="D1757" s="195" t="str">
        <x:v>контроль або обережність; резерв</x:v>
      </x:c>
      <x:c r="E1757" s="192" t="str">
        <x:v>AWL 9</x:v>
      </x:c>
      <x:c r="F1757" s="192" t="str">
        <x:v>Medium</x:v>
      </x:c>
      <x:c r="G1757" s="192" t="str">
        <x:v>Not Started</x:v>
      </x:c>
      <x:c r="H1757" s="192" t="n">
        <x:v>0</x:v>
      </x:c>
    </x:row>
    <x:row r="1758" ht="56" customHeight="1">
      <x:c r="A1758" s="192" t="str">
        <x:v>revolution</x:v>
      </x:c>
      <x:c r="B1758" s="192" t="str">
        <x:v>word family</x:v>
      </x:c>
      <x:c r="C1758" s="194" t="str">
        <x:v>революція</x:v>
      </x:c>
      <x:c r="D1758" s="195" t="str">
        <x:v>Політичний переворот в уряді чи державі, що характеризується великими змінами.</x:v>
      </x:c>
      <x:c r="E1758" s="192" t="str">
        <x:v>AWL 9</x:v>
      </x:c>
      <x:c r="F1758" s="192" t="str">
        <x:v>Medium</x:v>
      </x:c>
      <x:c r="G1758" s="192" t="str">
        <x:v>Not Started</x:v>
      </x:c>
      <x:c r="H1758" s="192" t="n">
        <x:v>0</x:v>
      </x:c>
    </x:row>
    <x:row r="1759" ht="56" customHeight="1">
      <x:c r="A1759" s="192" t="str">
        <x:v>rigid</x:v>
      </x:c>
      <x:c r="B1759" s="192" t="str">
        <x:v>word family</x:v>
      </x:c>
      <x:c r="C1759" s="194" t="str">
        <x:v>жорсткий</x:v>
      </x:c>
      <x:c r="D1759" s="195" t="str">
        <x:v>Жорсткий, а не гнучкий.</x:v>
      </x:c>
      <x:c r="E1759" s="192" t="str">
        <x:v>AWL 9</x:v>
      </x:c>
      <x:c r="F1759" s="192" t="str">
        <x:v>Medium</x:v>
      </x:c>
      <x:c r="G1759" s="192" t="str">
        <x:v>Not Started</x:v>
      </x:c>
      <x:c r="H1759" s="192" t="n">
        <x:v>0</x:v>
      </x:c>
    </x:row>
    <x:row r="1760" ht="56" customHeight="1">
      <x:c r="A1760" s="192" t="str">
        <x:v>route</x:v>
      </x:c>
      <x:c r="B1760" s="192" t="str">
        <x:v>word family</x:v>
      </x:c>
      <x:c r="C1760" s="194" t="str">
        <x:v>маршрут</x:v>
      </x:c>
      <x:c r="D1760" s="195" t="str">
        <x:v>Курс або шлях, який пройдено або пройдено.</x:v>
      </x:c>
      <x:c r="E1760" s="192" t="str">
        <x:v>AWL 9</x:v>
      </x:c>
      <x:c r="F1760" s="192" t="str">
        <x:v>Medium</x:v>
      </x:c>
      <x:c r="G1760" s="192" t="str">
        <x:v>Not Started</x:v>
      </x:c>
      <x:c r="H1760" s="192" t="n">
        <x:v>0</x:v>
      </x:c>
    </x:row>
    <x:row r="1761" ht="56" customHeight="1">
      <x:c r="A1761" s="192" t="str">
        <x:v>scenario</x:v>
      </x:c>
      <x:c r="B1761" s="192" t="str">
        <x:v>word family</x:v>
      </x:c>
      <x:c r="C1761" s="194" t="str">
        <x:v>сценарій</x:v>
      </x:c>
      <x:c r="D1761" s="195" t="str">
        <x:v>Схема або модель очікуваної чи передбачуваної послідовності подій.</x:v>
      </x:c>
      <x:c r="E1761" s="192" t="str">
        <x:v>AWL 9</x:v>
      </x:c>
      <x:c r="F1761" s="192" t="str">
        <x:v>Medium</x:v>
      </x:c>
      <x:c r="G1761" s="192" t="str">
        <x:v>Not Started</x:v>
      </x:c>
      <x:c r="H1761" s="192" t="n">
        <x:v>0</x:v>
      </x:c>
    </x:row>
    <x:row r="1762" ht="56" customHeight="1">
      <x:c r="A1762" s="192" t="str">
        <x:v>subordinate</x:v>
      </x:c>
      <x:c r="B1762" s="192" t="str">
        <x:v>word family</x:v>
      </x:c>
      <x:c r="C1762" s="194" t="str">
        <x:v>підлеглий</x:v>
      </x:c>
      <x:c r="D1762" s="195" t="str">
        <x:v>Поставлений у нижчий клас, ранг або посаду.</x:v>
      </x:c>
      <x:c r="E1762" s="192" t="str">
        <x:v>AWL 9</x:v>
      </x:c>
      <x:c r="F1762" s="192" t="str">
        <x:v>Medium</x:v>
      </x:c>
      <x:c r="G1762" s="192" t="str">
        <x:v>Not Started</x:v>
      </x:c>
      <x:c r="H1762" s="192" t="n">
        <x:v>0</x:v>
      </x:c>
    </x:row>
    <x:row r="1763" ht="56" customHeight="1">
      <x:c r="A1763" s="192" t="str">
        <x:v>supplementary</x:v>
      </x:c>
      <x:c r="B1763" s="192" t="str">
        <x:v>word family</x:v>
      </x:c>
      <x:c r="C1763" s="194" t="str">
        <x:v>додатковий</x:v>
      </x:c>
      <x:c r="D1763" s="195" t="str">
        <x:v>додатковий; додано, щоб забезпечити те, що потрібно.</x:v>
      </x:c>
      <x:c r="E1763" s="192" t="str">
        <x:v>AWL 9</x:v>
      </x:c>
      <x:c r="F1763" s="192" t="str">
        <x:v>Medium</x:v>
      </x:c>
      <x:c r="G1763" s="192" t="str">
        <x:v>Not Started</x:v>
      </x:c>
      <x:c r="H1763" s="192" t="n">
        <x:v>0</x:v>
      </x:c>
    </x:row>
    <x:row r="1764" ht="56" customHeight="1">
      <x:c r="A1764" s="192" t="str">
        <x:v>suspended</x:v>
      </x:c>
      <x:c r="B1764" s="192" t="str">
        <x:v>word family</x:v>
      </x:c>
      <x:c r="C1764" s="194" t="str">
        <x:v>призупинено</x:v>
      </x:c>
      <x:c r="D1764" s="195" t="str">
        <x:v>Змусив на деякий час зупинитися; переривається або затримується.</x:v>
      </x:c>
      <x:c r="E1764" s="192" t="str">
        <x:v>AWL 9</x:v>
      </x:c>
      <x:c r="F1764" s="192" t="str">
        <x:v>Medium</x:v>
      </x:c>
      <x:c r="G1764" s="192" t="str">
        <x:v>Not Started</x:v>
      </x:c>
      <x:c r="H1764" s="192" t="n">
        <x:v>0</x:v>
      </x:c>
    </x:row>
    <x:row r="1765" ht="56" customHeight="1">
      <x:c r="A1765" s="192" t="str">
        <x:v>team</x:v>
      </x:c>
      <x:c r="B1765" s="192" t="str">
        <x:v>word family</x:v>
      </x:c>
      <x:c r="C1765" s="194" t="str">
        <x:v>команда</x:v>
      </x:c>
      <x:c r="D1765" s="195" t="str">
        <x:v>Будь-яка група людей, які займаються однією діяльністю, особливо спортом або роботою.</x:v>
      </x:c>
      <x:c r="E1765" s="192" t="str">
        <x:v>AWL 9</x:v>
      </x:c>
      <x:c r="F1765" s="192" t="str">
        <x:v>Medium</x:v>
      </x:c>
      <x:c r="G1765" s="192" t="str">
        <x:v>Not Started</x:v>
      </x:c>
      <x:c r="H1765" s="192" t="n">
        <x:v>0</x:v>
      </x:c>
    </x:row>
    <x:row r="1766" ht="56" customHeight="1">
      <x:c r="A1766" s="192" t="str">
        <x:v>temporary</x:v>
      </x:c>
      <x:c r="B1766" s="192" t="str">
        <x:v>word family</x:v>
      </x:c>
      <x:c r="C1766" s="194" t="str">
        <x:v>тимчасовий</x:v>
      </x:c>
      <x:c r="D1766" s="195" t="str">
        <x:v>Не постійний; існує лише протягом періоду або періодів часу.</x:v>
      </x:c>
      <x:c r="E1766" s="192" t="str">
        <x:v>AWL 9</x:v>
      </x:c>
      <x:c r="F1766" s="192" t="str">
        <x:v>Medium</x:v>
      </x:c>
      <x:c r="G1766" s="192" t="str">
        <x:v>Not Started</x:v>
      </x:c>
      <x:c r="H1766" s="192" t="n">
        <x:v>0</x:v>
      </x:c>
    </x:row>
    <x:row r="1767" ht="56" customHeight="1">
      <x:c r="A1767" s="192" t="str">
        <x:v>unified</x:v>
      </x:c>
      <x:c r="B1767" s="192" t="str">
        <x:v>word family</x:v>
      </x:c>
      <x:c r="C1767" s="194" t="str">
        <x:v>уніфікований</x:v>
      </x:c>
      <x:c r="D1767" s="195" t="str">
        <x:v>об'єднані в ціле</x:v>
      </x:c>
      <x:c r="E1767" s="192" t="str">
        <x:v>AWL 9</x:v>
      </x:c>
      <x:c r="F1767" s="192" t="str">
        <x:v>Medium</x:v>
      </x:c>
      <x:c r="G1767" s="192" t="str">
        <x:v>Not Started</x:v>
      </x:c>
      <x:c r="H1767" s="192" t="n">
        <x:v>0</x:v>
      </x:c>
    </x:row>
    <x:row r="1768" ht="56" customHeight="1">
      <x:c r="A1768" s="192" t="str">
        <x:v>vision</x:v>
      </x:c>
      <x:c r="B1768" s="192" t="str">
        <x:v>word family</x:v>
      </x:c>
      <x:c r="C1768" s="194" t="str">
        <x:v>бачення</x:v>
      </x:c>
      <x:c r="D1768" s="195" t="str">
        <x:v>Почуття або здатність зору.</x:v>
      </x:c>
      <x:c r="E1768" s="192" t="str">
        <x:v>AWL 9</x:v>
      </x:c>
      <x:c r="F1768" s="192" t="str">
        <x:v>Medium</x:v>
      </x:c>
      <x:c r="G1768" s="192" t="str">
        <x:v>Not Started</x:v>
      </x:c>
      <x:c r="H1768" s="192" t="n">
        <x:v>0</x:v>
      </x:c>
    </x:row>
    <x:row r="1769" ht="56" customHeight="1">
      <x:c r="A1769" s="192" t="str">
        <x:v>collapse</x:v>
      </x:c>
      <x:c r="B1769" s="192" t="str">
        <x:v>word family</x:v>
      </x:c>
      <x:c r="C1769" s="194" t="str">
        <x:v>колапс</x:v>
      </x:c>
      <x:c r="D1769" s="195" t="str">
        <x:v>Раптово розриватися й падати; прогнутися.</x:v>
      </x:c>
      <x:c r="E1769" s="192" t="str">
        <x:v>AWL 10</x:v>
      </x:c>
      <x:c r="F1769" s="192" t="str">
        <x:v>Medium</x:v>
      </x:c>
      <x:c r="G1769" s="192" t="str">
        <x:v>Not Started</x:v>
      </x:c>
      <x:c r="H1769" s="192" t="n">
        <x:v>0</x:v>
      </x:c>
    </x:row>
    <x:row r="1770" ht="56" customHeight="1">
      <x:c r="A1770" s="192" t="str">
        <x:v>colleagues</x:v>
      </x:c>
      <x:c r="B1770" s="192" t="str">
        <x:v>word family</x:v>
      </x:c>
      <x:c r="C1770" s="194" t="str">
        <x:v>колеги</x:v>
      </x:c>
      <x:c r="D1770" s="195" t="str">
        <x:v>Другий член професії, співробітник, академічний факультет або інша організація; товариш, товариш по роботі.</x:v>
      </x:c>
      <x:c r="E1770" s="192" t="str">
        <x:v>AWL 10</x:v>
      </x:c>
      <x:c r="F1770" s="192" t="str">
        <x:v>Medium</x:v>
      </x:c>
      <x:c r="G1770" s="192" t="str">
        <x:v>Not Started</x:v>
      </x:c>
      <x:c r="H1770" s="192" t="n">
        <x:v>0</x:v>
      </x:c>
    </x:row>
    <x:row r="1771" ht="56" customHeight="1">
      <x:c r="A1771" s="192" t="str">
        <x:v>compiled</x:v>
      </x:c>
      <x:c r="B1771" s="192" t="str">
        <x:v>word family</x:v>
      </x:c>
      <x:c r="C1771" s="194" t="str">
        <x:v>складений</x:v>
      </x:c>
      <x:c r="D1771" s="195" t="str">
        <x:v>Використовувати компілятор для обробки вихідного коду та створення виконуваного коду.</x:v>
      </x:c>
      <x:c r="E1771" s="192" t="str">
        <x:v>AWL 10</x:v>
      </x:c>
      <x:c r="F1771" s="192" t="str">
        <x:v>Medium</x:v>
      </x:c>
      <x:c r="G1771" s="192" t="str">
        <x:v>Not Started</x:v>
      </x:c>
      <x:c r="H1771" s="192" t="n">
        <x:v>0</x:v>
      </x:c>
    </x:row>
    <x:row r="1772" ht="56" customHeight="1">
      <x:c r="A1772" s="192" t="str">
        <x:v>conceived</x:v>
      </x:c>
      <x:c r="B1772" s="192" t="str">
        <x:v>word family</x:v>
      </x:c>
      <x:c r="C1772" s="194" t="str">
        <x:v>задуманий</x:v>
      </x:c>
      <x:c r="D1772" s="195" t="str">
        <x:v>сформований у свідомості</x:v>
      </x:c>
      <x:c r="E1772" s="192" t="str">
        <x:v>AWL 10</x:v>
      </x:c>
      <x:c r="F1772" s="192" t="str">
        <x:v>Medium</x:v>
      </x:c>
      <x:c r="G1772" s="192" t="str">
        <x:v>Not Started</x:v>
      </x:c>
      <x:c r="H1772" s="192" t="n">
        <x:v>0</x:v>
      </x:c>
    </x:row>
    <x:row r="1773" ht="56" customHeight="1">
      <x:c r="A1773" s="192" t="str">
        <x:v>convinced</x:v>
      </x:c>
      <x:c r="B1773" s="192" t="str">
        <x:v>word family</x:v>
      </x:c>
      <x:c r="C1773" s="194" t="str">
        <x:v>переконаний</x:v>
      </x:c>
      <x:c r="D1773" s="195" t="str">
        <x:v>У стані віри, особливо на основі доказів, але не обов'язково.</x:v>
      </x:c>
      <x:c r="E1773" s="192" t="str">
        <x:v>AWL 10</x:v>
      </x:c>
      <x:c r="F1773" s="192" t="str">
        <x:v>Medium</x:v>
      </x:c>
      <x:c r="G1773" s="192" t="str">
        <x:v>Not Started</x:v>
      </x:c>
      <x:c r="H1773" s="192" t="n">
        <x:v>0</x:v>
      </x:c>
    </x:row>
    <x:row r="1774" ht="56" customHeight="1">
      <x:c r="A1774" s="192" t="str">
        <x:v>depression</x:v>
      </x:c>
      <x:c r="B1774" s="192" t="str">
        <x:v>word family</x:v>
      </x:c>
      <x:c r="C1774" s="194" t="str">
        <x:v>депресія</x:v>
      </x:c>
      <x:c r="D1774" s="195" t="str">
        <x:v>Душевний стан, що викликає серйозне довгострокове зниження задоволення від життя або нездатність уявити собі щасливе майбутнє; будь-який із кількох психічних розладів, головною ознакою якого є цей стан розуму.</x:v>
      </x:c>
      <x:c r="E1774" s="192" t="str">
        <x:v>AWL 10</x:v>
      </x:c>
      <x:c r="F1774" s="192" t="str">
        <x:v>Medium</x:v>
      </x:c>
      <x:c r="G1774" s="192" t="str">
        <x:v>Not Started</x:v>
      </x:c>
      <x:c r="H1774" s="192" t="n">
        <x:v>0</x:v>
      </x:c>
    </x:row>
    <x:row r="1775" ht="56" customHeight="1">
      <x:c r="A1775" s="192" t="str">
        <x:v>encountered</x:v>
      </x:c>
      <x:c r="B1775" s="192" t="str">
        <x:v>word family</x:v>
      </x:c>
      <x:c r="C1775" s="194" t="str">
        <x:v>зіткнувся</x:v>
      </x:c>
      <x:c r="D1775" s="195" t="str">
        <x:v>Зустріти (когось) або знайти (щось), особливо несподівано.</x:v>
      </x:c>
      <x:c r="E1775" s="192" t="str">
        <x:v>AWL 10</x:v>
      </x:c>
      <x:c r="F1775" s="192" t="str">
        <x:v>Medium</x:v>
      </x:c>
      <x:c r="G1775" s="192" t="str">
        <x:v>Not Started</x:v>
      </x:c>
      <x:c r="H1775" s="192" t="n">
        <x:v>0</x:v>
      </x:c>
    </x:row>
    <x:row r="1776" ht="56" customHeight="1">
      <x:c r="A1776" s="192" t="str">
        <x:v>enormous</x:v>
      </x:c>
      <x:c r="B1776" s="192" t="str">
        <x:v>word family</x:v>
      </x:c>
      <x:c r="C1776" s="194" t="str">
        <x:v>величезний</x:v>
      </x:c>
      <x:c r="D1776" s="195" t="str">
        <x:v>Надзвичайно великий; значно перевищує звичайний розмір, протяжність тощо.</x:v>
      </x:c>
      <x:c r="E1776" s="192" t="str">
        <x:v>AWL 10</x:v>
      </x:c>
      <x:c r="F1776" s="192" t="str">
        <x:v>Medium</x:v>
      </x:c>
      <x:c r="G1776" s="192" t="str">
        <x:v>Not Started</x:v>
      </x:c>
      <x:c r="H1776" s="192" t="n">
        <x:v>0</x:v>
      </x:c>
    </x:row>
    <x:row r="1777" ht="56" customHeight="1">
      <x:c r="A1777" s="192" t="str">
        <x:v>inclination</x:v>
      </x:c>
      <x:c r="B1777" s="192" t="str">
        <x:v>word family</x:v>
      </x:c>
      <x:c r="C1777" s="194" t="str">
        <x:v>нахил</x:v>
      </x:c>
      <x:c r="D1777" s="195" t="str">
        <x:v>Тенденція.</x:v>
      </x:c>
      <x:c r="E1777" s="192" t="str">
        <x:v>AWL 10</x:v>
      </x:c>
      <x:c r="F1777" s="192" t="str">
        <x:v>Medium</x:v>
      </x:c>
      <x:c r="G1777" s="192" t="str">
        <x:v>Not Started</x:v>
      </x:c>
      <x:c r="H1777" s="192" t="n">
        <x:v>0</x:v>
      </x:c>
    </x:row>
    <x:row r="1778" ht="56" customHeight="1">
      <x:c r="A1778" s="192" t="str">
        <x:v>intrinsic</x:v>
      </x:c>
      <x:c r="B1778" s="192" t="str">
        <x:v>word family</x:v>
      </x:c>
      <x:c r="C1778" s="194" t="str">
        <x:v>внутрішній</x:v>
      </x:c>
      <x:c r="D1778" s="195" t="str">
        <x:v>Вроджений, властивий, невіддільний від самої речі, істотний.</x:v>
      </x:c>
      <x:c r="E1778" s="192" t="str">
        <x:v>AWL 10</x:v>
      </x:c>
      <x:c r="F1778" s="192" t="str">
        <x:v>Medium</x:v>
      </x:c>
      <x:c r="G1778" s="192" t="str">
        <x:v>Not Started</x:v>
      </x:c>
      <x:c r="H1778" s="192" t="n">
        <x:v>0</x:v>
      </x:c>
    </x:row>
    <x:row r="1779" ht="56" customHeight="1">
      <x:c r="A1779" s="192" t="str">
        <x:v>invoked</x:v>
      </x:c>
      <x:c r="B1779" s="192" t="str">
        <x:v>word family</x:v>
      </x:c>
      <x:c r="C1779" s="194" t="str">
        <x:v>викликається</x:v>
      </x:c>
      <x:c r="D1779" s="195" t="str">
        <x:v>Закликати (людину, бога) про допомогу, допомогу чи керівництво.</x:v>
      </x:c>
      <x:c r="E1779" s="192" t="str">
        <x:v>AWL 10</x:v>
      </x:c>
      <x:c r="F1779" s="192" t="str">
        <x:v>Medium</x:v>
      </x:c>
      <x:c r="G1779" s="192" t="str">
        <x:v>Not Started</x:v>
      </x:c>
      <x:c r="H1779" s="192" t="n">
        <x:v>0</x:v>
      </x:c>
    </x:row>
    <x:row r="1780" ht="56" customHeight="1">
      <x:c r="A1780" s="192" t="str">
        <x:v>levy</x:v>
      </x:c>
      <x:c r="B1780" s="192" t="str">
        <x:v>word family</x:v>
      </x:c>
      <x:c r="C1780" s="194" t="str">
        <x:v>збір</x:v>
      </x:c>
      <x:c r="D1780" s="195" t="str">
        <x:v>Ввести (податок або штраф) для стягнення належних грошей або конфіскувати майно.</x:v>
      </x:c>
      <x:c r="E1780" s="192" t="str">
        <x:v>AWL 10</x:v>
      </x:c>
      <x:c r="F1780" s="192" t="str">
        <x:v>Medium</x:v>
      </x:c>
      <x:c r="G1780" s="192" t="str">
        <x:v>Not Started</x:v>
      </x:c>
      <x:c r="H1780" s="192" t="n">
        <x:v>0</x:v>
      </x:c>
    </x:row>
    <x:row r="1781" ht="56" customHeight="1">
      <x:c r="A1781" s="192" t="str">
        <x:v>likewise</x:v>
      </x:c>
      <x:c r="B1781" s="192" t="str">
        <x:v>word family</x:v>
      </x:c>
      <x:c r="C1781" s="194" t="str">
        <x:v>так само</x:v>
      </x:c>
      <x:c r="D1781" s="195" t="str">
        <x:v>також; крім того; теж.</x:v>
      </x:c>
      <x:c r="E1781" s="192" t="str">
        <x:v>AWL 10</x:v>
      </x:c>
      <x:c r="F1781" s="192" t="str">
        <x:v>Medium</x:v>
      </x:c>
      <x:c r="G1781" s="192" t="str">
        <x:v>Not Started</x:v>
      </x:c>
      <x:c r="H1781" s="192" t="n">
        <x:v>0</x:v>
      </x:c>
    </x:row>
    <x:row r="1782" ht="56" customHeight="1">
      <x:c r="A1782" s="192" t="str">
        <x:v>notwithstanding</x:v>
      </x:c>
      <x:c r="B1782" s="192" t="str">
        <x:v>word family</x:v>
      </x:c>
      <x:c r="C1782" s="194" t="str">
        <x:v>незважаючи на це</x:v>
      </x:c>
      <x:c r="D1782" s="195" t="str">
        <x:v>Тим не менш, все так само.</x:v>
      </x:c>
      <x:c r="E1782" s="192" t="str">
        <x:v>AWL 10</x:v>
      </x:c>
      <x:c r="F1782" s="192" t="str">
        <x:v>Medium</x:v>
      </x:c>
      <x:c r="G1782" s="192" t="str">
        <x:v>Not Started</x:v>
      </x:c>
      <x:c r="H1782" s="192" t="n">
        <x:v>0</x:v>
      </x:c>
    </x:row>
    <x:row r="1783" ht="56" customHeight="1">
      <x:c r="A1783" s="192" t="str">
        <x:v>odd</x:v>
      </x:c>
      <x:c r="B1783" s="192" t="str">
        <x:v>word family</x:v>
      </x:c>
      <x:c r="C1783" s="194" t="str">
        <x:v>непарний</x:v>
      </x:c>
      <x:c r="D1783" s="195" t="str">
        <x:v>Відрізняється від звичного, звичайного чи очікуваного.</x:v>
      </x:c>
      <x:c r="E1783" s="192" t="str">
        <x:v>AWL 10</x:v>
      </x:c>
      <x:c r="F1783" s="192" t="str">
        <x:v>Medium</x:v>
      </x:c>
      <x:c r="G1783" s="192" t="str">
        <x:v>Not Started</x:v>
      </x:c>
      <x:c r="H1783" s="192" t="n">
        <x:v>0</x:v>
      </x:c>
    </x:row>
    <x:row r="1784" ht="56" customHeight="1">
      <x:c r="A1784" s="192" t="str">
        <x:v>ongoing</x:v>
      </x:c>
      <x:c r="B1784" s="192" t="str">
        <x:v>word family</x:v>
      </x:c>
      <x:c r="C1784" s="194" t="str">
        <x:v>триває</x:v>
      </x:c>
      <x:c r="D1784" s="195" t="str">
        <x:v>Зараз або зараз відбувається; в процесі.</x:v>
      </x:c>
      <x:c r="E1784" s="192" t="str">
        <x:v>AWL 10</x:v>
      </x:c>
      <x:c r="F1784" s="192" t="str">
        <x:v>Medium</x:v>
      </x:c>
      <x:c r="G1784" s="192" t="str">
        <x:v>Not Started</x:v>
      </x:c>
      <x:c r="H1784" s="192" t="n">
        <x:v>0</x:v>
      </x:c>
    </x:row>
    <x:row r="1785" ht="56" customHeight="1">
      <x:c r="A1785" s="192" t="str">
        <x:v>panel</x:v>
      </x:c>
      <x:c r="B1785" s="192" t="str">
        <x:v>word family</x:v>
      </x:c>
      <x:c r="C1785" s="194" t="str">
        <x:v>панель</x:v>
      </x:c>
      <x:c r="D1785" s="195" t="str">
        <x:v>Група людей зібралася, щоб оцінити, взяти інтерв’ю, обговорити тощо, наприклад, на телебаченні чи радіо.</x:v>
      </x:c>
      <x:c r="E1785" s="192" t="str">
        <x:v>AWL 10</x:v>
      </x:c>
      <x:c r="F1785" s="192" t="str">
        <x:v>Medium</x:v>
      </x:c>
      <x:c r="G1785" s="192" t="str">
        <x:v>Not Started</x:v>
      </x:c>
      <x:c r="H1785" s="192" t="n">
        <x:v>0</x:v>
      </x:c>
    </x:row>
    <x:row r="1786" ht="56" customHeight="1">
      <x:c r="A1786" s="192" t="str">
        <x:v>posed</x:v>
      </x:c>
      <x:c r="B1786" s="192" t="str">
        <x:v>word family</x:v>
      </x:c>
      <x:c r="C1786" s="194" t="str">
        <x:v>позували</x:v>
      </x:c>
      <x:c r="D1786" s="195" t="str">
        <x:v>Утримання певної пози</x:v>
      </x:c>
      <x:c r="E1786" s="192" t="str">
        <x:v>AWL 10</x:v>
      </x:c>
      <x:c r="F1786" s="192" t="str">
        <x:v>Medium</x:v>
      </x:c>
      <x:c r="G1786" s="192" t="str">
        <x:v>Not Started</x:v>
      </x:c>
      <x:c r="H1786" s="192" t="n">
        <x:v>0</x:v>
      </x:c>
    </x:row>
    <x:row r="1787" ht="56" customHeight="1">
      <x:c r="A1787" s="192" t="str">
        <x:v>so-called</x:v>
      </x:c>
      <x:c r="B1787" s="192" t="str">
        <x:v>word family</x:v>
      </x:c>
      <x:c r="C1787" s="194" t="str">
        <x:v>т. зв</x:v>
      </x:c>
      <x:c r="D1787" s="195" t="str">
        <x:v>Так названо; зазвичай називають.</x:v>
      </x:c>
      <x:c r="E1787" s="192" t="str">
        <x:v>AWL 10</x:v>
      </x:c>
      <x:c r="F1787" s="192" t="str">
        <x:v>Medium</x:v>
      </x:c>
      <x:c r="G1787" s="192" t="str">
        <x:v>Not Started</x:v>
      </x:c>
      <x:c r="H1787" s="192" t="n">
        <x:v>0</x:v>
      </x:c>
    </x:row>
    <x:row r="1788" ht="56" customHeight="1">
      <x:c r="A1788" s="192" t="str">
        <x:v>undergo</x:v>
      </x:c>
      <x:c r="B1788" s="192" t="str">
        <x:v>word family</x:v>
      </x:c>
      <x:c r="C1788" s="194" t="str">
        <x:v>пройти</x:v>
      </x:c>
      <x:c r="D1788" s="195" t="str">
        <x:v>Переживати; пройти через фазу.</x:v>
      </x:c>
      <x:c r="E1788" s="192" t="str">
        <x:v>AWL 10</x:v>
      </x:c>
      <x:c r="F1788" s="192" t="str">
        <x:v>Medium</x:v>
      </x:c>
      <x:c r="G1788" s="192" t="str">
        <x:v>Not Started</x:v>
      </x:c>
      <x:c r="H1788" s="192" t="n">
        <x:v>0</x:v>
      </x:c>
    </x:row>
  </x:sheetData>
  <x:mergeCells>
    <x:mergeCell ref="A1:H1"/>
    <x:mergeCell ref="A2:H2"/>
  </x:mergeCells>
  <x:conditionalFormatting sqref="G5:G1788">
    <x:cfRule type="containsText" dxfId="10" priority="1" operator="containsText" text="Mastered"/>
    <x:cfRule type="containsText" dxfId="11" priority="2" operator="containsText" text="In Progress"/>
    <x:cfRule type="containsText" dxfId="12" priority="3" operator="containsText" text="Needs Review"/>
  </x:conditionalFormatting>
  <x:conditionalFormatting sqref="F5:F1788">
    <x:cfRule type="containsText" dxfId="13" priority="4" operator="containsText" text="High"/>
  </x:conditionalFormatting>
  <x:dataValidations count="2">
    <x:dataValidation type="list" sqref="G5:G1788">
      <x:formula1>"Not Started,In Progress,Needs Review,Mastered"</x:formula1>
    </x:dataValidation>
    <x:dataValidation type="whole" operator="between" sqref="H5:H1788">
      <x:formula1>0</x:formula1>
      <x:formula2>5</x:formula2>
    </x:dataValidation>
  </x:dataValidations>
  <x:pageMargins left="0.7" right="0.7" top="0.75" bottom="0.75" header="0.3" footer="0.3"/>
  <x:tableParts count="1">
    <x:tablePart xmlns:r="http://schemas.openxmlformats.org/officeDocument/2006/relationships" r:id="Rabd7368cedbf4ad2"/>
  </x:tableParts>
</x:worksheet>
</file>